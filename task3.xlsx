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F:\Data Analytics\Excel\practice\task3\"/>
    </mc:Choice>
  </mc:AlternateContent>
  <xr:revisionPtr revIDLastSave="0" documentId="13_ncr:1_{71D802C4-235D-4224-9889-D5DA86B3311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3" sheetId="7" r:id="rId1"/>
    <sheet name="Sheet1" sheetId="8" r:id="rId2"/>
  </sheets>
  <definedNames>
    <definedName name="_xlnm._FilterDatabase" localSheetId="0" hidden="1">Sheet3!$A$4:$AE$4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8" l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465" i="8"/>
  <c r="I466" i="8"/>
  <c r="I467" i="8"/>
  <c r="I468" i="8"/>
  <c r="I469" i="8"/>
  <c r="I470" i="8"/>
  <c r="I471" i="8"/>
  <c r="I472" i="8"/>
  <c r="I473" i="8"/>
  <c r="I474" i="8"/>
  <c r="I475" i="8"/>
  <c r="I476" i="8"/>
  <c r="I477" i="8"/>
  <c r="I478" i="8"/>
  <c r="I479" i="8"/>
  <c r="I480" i="8"/>
  <c r="I481" i="8"/>
  <c r="I482" i="8"/>
  <c r="I483" i="8"/>
  <c r="I484" i="8"/>
  <c r="I485" i="8"/>
  <c r="I486" i="8"/>
  <c r="I487" i="8"/>
  <c r="I488" i="8"/>
  <c r="I489" i="8"/>
  <c r="I490" i="8"/>
  <c r="I491" i="8"/>
  <c r="I492" i="8"/>
  <c r="I493" i="8"/>
  <c r="I494" i="8"/>
  <c r="I495" i="8"/>
  <c r="I496" i="8"/>
  <c r="I497" i="8"/>
  <c r="I2" i="8"/>
  <c r="C518" i="7" a="1"/>
  <c r="C518" i="7" s="1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AA367" i="7"/>
  <c r="AA368" i="7"/>
  <c r="AA369" i="7"/>
  <c r="AA370" i="7"/>
  <c r="AA371" i="7"/>
  <c r="AA372" i="7"/>
  <c r="AA373" i="7"/>
  <c r="AA374" i="7"/>
  <c r="AA375" i="7"/>
  <c r="AA376" i="7"/>
  <c r="AA377" i="7"/>
  <c r="AA378" i="7"/>
  <c r="AA379" i="7"/>
  <c r="AA380" i="7"/>
  <c r="AA381" i="7"/>
  <c r="AA382" i="7"/>
  <c r="AA383" i="7"/>
  <c r="AA384" i="7"/>
  <c r="AA385" i="7"/>
  <c r="AA386" i="7"/>
  <c r="AA387" i="7"/>
  <c r="AA388" i="7"/>
  <c r="AA389" i="7"/>
  <c r="AA390" i="7"/>
  <c r="AA391" i="7"/>
  <c r="AA392" i="7"/>
  <c r="AA393" i="7"/>
  <c r="AA394" i="7"/>
  <c r="AA395" i="7"/>
  <c r="AA396" i="7"/>
  <c r="AA397" i="7"/>
  <c r="AA398" i="7"/>
  <c r="AA399" i="7"/>
  <c r="AA400" i="7"/>
  <c r="AA401" i="7"/>
  <c r="AA402" i="7"/>
  <c r="AA403" i="7"/>
  <c r="AA404" i="7"/>
  <c r="AA405" i="7"/>
  <c r="AA406" i="7"/>
  <c r="AA407" i="7"/>
  <c r="AA408" i="7"/>
  <c r="AA409" i="7"/>
  <c r="AA410" i="7"/>
  <c r="AA411" i="7"/>
  <c r="AA412" i="7"/>
  <c r="AA413" i="7"/>
  <c r="AA414" i="7"/>
  <c r="AA415" i="7"/>
  <c r="AA416" i="7"/>
  <c r="AA417" i="7"/>
  <c r="AA418" i="7"/>
  <c r="AA419" i="7"/>
  <c r="AA420" i="7"/>
  <c r="AA421" i="7"/>
  <c r="AA422" i="7"/>
  <c r="AA423" i="7"/>
  <c r="AA424" i="7"/>
  <c r="AA425" i="7"/>
  <c r="AA426" i="7"/>
  <c r="AA427" i="7"/>
  <c r="AA428" i="7"/>
  <c r="AA429" i="7"/>
  <c r="AA430" i="7"/>
  <c r="AA431" i="7"/>
  <c r="AA432" i="7"/>
  <c r="AA433" i="7"/>
  <c r="AA434" i="7"/>
  <c r="AA435" i="7"/>
  <c r="AA436" i="7"/>
  <c r="AA437" i="7"/>
  <c r="AA438" i="7"/>
  <c r="AA439" i="7"/>
  <c r="AA440" i="7"/>
  <c r="AA441" i="7"/>
  <c r="AA442" i="7"/>
  <c r="AA443" i="7"/>
  <c r="AA444" i="7"/>
  <c r="AA445" i="7"/>
  <c r="AA446" i="7"/>
  <c r="AA447" i="7"/>
  <c r="AA448" i="7"/>
  <c r="AA449" i="7"/>
  <c r="AA450" i="7"/>
  <c r="AA451" i="7"/>
  <c r="AA452" i="7"/>
  <c r="AA453" i="7"/>
  <c r="AA454" i="7"/>
  <c r="AA455" i="7"/>
  <c r="AA456" i="7"/>
  <c r="AA457" i="7"/>
  <c r="AA458" i="7"/>
  <c r="AA459" i="7"/>
  <c r="AA460" i="7"/>
  <c r="AA461" i="7"/>
  <c r="AA462" i="7"/>
  <c r="AA463" i="7"/>
  <c r="AA464" i="7"/>
  <c r="AA465" i="7"/>
  <c r="AA466" i="7"/>
  <c r="AA467" i="7"/>
  <c r="AA468" i="7"/>
  <c r="AA469" i="7"/>
  <c r="AA470" i="7"/>
  <c r="AA471" i="7"/>
  <c r="AA472" i="7"/>
  <c r="AA473" i="7"/>
  <c r="AA474" i="7"/>
  <c r="AA475" i="7"/>
  <c r="AA476" i="7"/>
  <c r="AA477" i="7"/>
  <c r="AA478" i="7"/>
  <c r="AA479" i="7"/>
  <c r="AA480" i="7"/>
  <c r="AA481" i="7"/>
  <c r="AA482" i="7"/>
  <c r="AA483" i="7"/>
  <c r="AA484" i="7"/>
  <c r="AA485" i="7"/>
  <c r="AA486" i="7"/>
  <c r="AA487" i="7"/>
  <c r="AA488" i="7"/>
  <c r="AA489" i="7"/>
  <c r="AA490" i="7"/>
  <c r="AA491" i="7"/>
  <c r="AA492" i="7"/>
  <c r="AA493" i="7"/>
  <c r="AA494" i="7"/>
  <c r="AA495" i="7"/>
  <c r="AA496" i="7"/>
  <c r="AA497" i="7"/>
  <c r="AA498" i="7"/>
  <c r="AA499" i="7"/>
  <c r="AA500" i="7"/>
  <c r="AA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37" i="7"/>
  <c r="Y338" i="7"/>
  <c r="Y339" i="7"/>
  <c r="Y340" i="7"/>
  <c r="Y341" i="7"/>
  <c r="Y342" i="7"/>
  <c r="Y343" i="7"/>
  <c r="Y344" i="7"/>
  <c r="Y345" i="7"/>
  <c r="Y346" i="7"/>
  <c r="Y347" i="7"/>
  <c r="Y348" i="7"/>
  <c r="Y349" i="7"/>
  <c r="Y350" i="7"/>
  <c r="Y351" i="7"/>
  <c r="Y352" i="7"/>
  <c r="Y353" i="7"/>
  <c r="Y354" i="7"/>
  <c r="Y355" i="7"/>
  <c r="Y356" i="7"/>
  <c r="Y357" i="7"/>
  <c r="Y358" i="7"/>
  <c r="Y359" i="7"/>
  <c r="Y360" i="7"/>
  <c r="Y361" i="7"/>
  <c r="Y362" i="7"/>
  <c r="Y363" i="7"/>
  <c r="Y364" i="7"/>
  <c r="Y365" i="7"/>
  <c r="Y366" i="7"/>
  <c r="Y367" i="7"/>
  <c r="Y368" i="7"/>
  <c r="Y369" i="7"/>
  <c r="Y370" i="7"/>
  <c r="Y371" i="7"/>
  <c r="Y372" i="7"/>
  <c r="Y373" i="7"/>
  <c r="Y374" i="7"/>
  <c r="Y375" i="7"/>
  <c r="Y376" i="7"/>
  <c r="Y377" i="7"/>
  <c r="Y378" i="7"/>
  <c r="Y379" i="7"/>
  <c r="Y380" i="7"/>
  <c r="Y381" i="7"/>
  <c r="Y382" i="7"/>
  <c r="Y383" i="7"/>
  <c r="Y384" i="7"/>
  <c r="Y385" i="7"/>
  <c r="Y386" i="7"/>
  <c r="Y387" i="7"/>
  <c r="Y388" i="7"/>
  <c r="Y389" i="7"/>
  <c r="Y390" i="7"/>
  <c r="Y391" i="7"/>
  <c r="Y392" i="7"/>
  <c r="Y393" i="7"/>
  <c r="Y394" i="7"/>
  <c r="Y395" i="7"/>
  <c r="Y396" i="7"/>
  <c r="Y397" i="7"/>
  <c r="Y398" i="7"/>
  <c r="Y399" i="7"/>
  <c r="Y400" i="7"/>
  <c r="Y401" i="7"/>
  <c r="Y402" i="7"/>
  <c r="Y403" i="7"/>
  <c r="Y404" i="7"/>
  <c r="Y405" i="7"/>
  <c r="Y406" i="7"/>
  <c r="Y407" i="7"/>
  <c r="Y408" i="7"/>
  <c r="Y409" i="7"/>
  <c r="Y410" i="7"/>
  <c r="Y411" i="7"/>
  <c r="Y412" i="7"/>
  <c r="Y413" i="7"/>
  <c r="Y414" i="7"/>
  <c r="Y415" i="7"/>
  <c r="Y416" i="7"/>
  <c r="Y417" i="7"/>
  <c r="Y418" i="7"/>
  <c r="Y419" i="7"/>
  <c r="Y420" i="7"/>
  <c r="Y421" i="7"/>
  <c r="Y422" i="7"/>
  <c r="Y423" i="7"/>
  <c r="Y424" i="7"/>
  <c r="Y425" i="7"/>
  <c r="Y426" i="7"/>
  <c r="Y427" i="7"/>
  <c r="Y428" i="7"/>
  <c r="Y429" i="7"/>
  <c r="Y430" i="7"/>
  <c r="Y431" i="7"/>
  <c r="Y432" i="7"/>
  <c r="Y433" i="7"/>
  <c r="Y434" i="7"/>
  <c r="Y435" i="7"/>
  <c r="Y436" i="7"/>
  <c r="Y437" i="7"/>
  <c r="Y438" i="7"/>
  <c r="Y439" i="7"/>
  <c r="Y440" i="7"/>
  <c r="Y441" i="7"/>
  <c r="Y442" i="7"/>
  <c r="Y443" i="7"/>
  <c r="Y444" i="7"/>
  <c r="Y445" i="7"/>
  <c r="Y446" i="7"/>
  <c r="Y447" i="7"/>
  <c r="Y448" i="7"/>
  <c r="Y449" i="7"/>
  <c r="Y450" i="7"/>
  <c r="Y451" i="7"/>
  <c r="Y452" i="7"/>
  <c r="Y453" i="7"/>
  <c r="Y454" i="7"/>
  <c r="Y455" i="7"/>
  <c r="Y456" i="7"/>
  <c r="Y457" i="7"/>
  <c r="Y458" i="7"/>
  <c r="Y459" i="7"/>
  <c r="Y460" i="7"/>
  <c r="Y461" i="7"/>
  <c r="Y462" i="7"/>
  <c r="Y463" i="7"/>
  <c r="Y464" i="7"/>
  <c r="Y465" i="7"/>
  <c r="Y466" i="7"/>
  <c r="Y467" i="7"/>
  <c r="Y468" i="7"/>
  <c r="Y469" i="7"/>
  <c r="Y470" i="7"/>
  <c r="Y471" i="7"/>
  <c r="Y472" i="7"/>
  <c r="Y473" i="7"/>
  <c r="Y474" i="7"/>
  <c r="Y475" i="7"/>
  <c r="Y476" i="7"/>
  <c r="Y477" i="7"/>
  <c r="Y478" i="7"/>
  <c r="Y479" i="7"/>
  <c r="Y480" i="7"/>
  <c r="Y481" i="7"/>
  <c r="Y482" i="7"/>
  <c r="Y483" i="7"/>
  <c r="Y484" i="7"/>
  <c r="Y485" i="7"/>
  <c r="Y486" i="7"/>
  <c r="Y487" i="7"/>
  <c r="Y488" i="7"/>
  <c r="Y489" i="7"/>
  <c r="Y490" i="7"/>
  <c r="Y491" i="7"/>
  <c r="Y492" i="7"/>
  <c r="Y493" i="7"/>
  <c r="Y494" i="7"/>
  <c r="Y495" i="7"/>
  <c r="Y496" i="7"/>
  <c r="Y497" i="7"/>
  <c r="Y498" i="7"/>
  <c r="Y499" i="7"/>
  <c r="Y500" i="7"/>
  <c r="Y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2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2" i="7"/>
  <c r="V463" i="7"/>
  <c r="V464" i="7"/>
  <c r="V465" i="7"/>
  <c r="V466" i="7"/>
  <c r="V467" i="7"/>
  <c r="V468" i="7"/>
  <c r="V469" i="7"/>
  <c r="V470" i="7"/>
  <c r="V471" i="7"/>
  <c r="V472" i="7"/>
  <c r="V473" i="7"/>
  <c r="V474" i="7"/>
  <c r="V475" i="7"/>
  <c r="V476" i="7"/>
  <c r="V477" i="7"/>
  <c r="V478" i="7"/>
  <c r="V479" i="7"/>
  <c r="V480" i="7"/>
  <c r="V481" i="7"/>
  <c r="V482" i="7"/>
  <c r="V483" i="7"/>
  <c r="V484" i="7"/>
  <c r="V485" i="7"/>
  <c r="V486" i="7"/>
  <c r="V487" i="7"/>
  <c r="V488" i="7"/>
  <c r="V489" i="7"/>
  <c r="V490" i="7"/>
  <c r="V491" i="7"/>
  <c r="V492" i="7"/>
  <c r="V493" i="7"/>
  <c r="V494" i="7"/>
  <c r="V495" i="7"/>
  <c r="V496" i="7"/>
  <c r="V497" i="7"/>
  <c r="V498" i="7"/>
  <c r="V499" i="7"/>
  <c r="V500" i="7"/>
  <c r="V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7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62" i="7"/>
  <c r="U463" i="7"/>
  <c r="U464" i="7"/>
  <c r="U465" i="7"/>
  <c r="U466" i="7"/>
  <c r="U467" i="7"/>
  <c r="U468" i="7"/>
  <c r="U469" i="7"/>
  <c r="U470" i="7"/>
  <c r="U471" i="7"/>
  <c r="U472" i="7"/>
  <c r="U473" i="7"/>
  <c r="U474" i="7"/>
  <c r="U475" i="7"/>
  <c r="U476" i="7"/>
  <c r="U477" i="7"/>
  <c r="U478" i="7"/>
  <c r="U479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2" i="7"/>
  <c r="U493" i="7"/>
  <c r="U494" i="7"/>
  <c r="U495" i="7"/>
  <c r="U496" i="7"/>
  <c r="U497" i="7"/>
  <c r="U498" i="7"/>
  <c r="U499" i="7"/>
  <c r="U500" i="7"/>
  <c r="U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S367" i="7"/>
  <c r="S368" i="7"/>
  <c r="S369" i="7"/>
  <c r="S370" i="7"/>
  <c r="S371" i="7"/>
  <c r="S372" i="7"/>
  <c r="S373" i="7"/>
  <c r="S374" i="7"/>
  <c r="S375" i="7"/>
  <c r="S376" i="7"/>
  <c r="S377" i="7"/>
  <c r="S378" i="7"/>
  <c r="S379" i="7"/>
  <c r="S380" i="7"/>
  <c r="S381" i="7"/>
  <c r="S382" i="7"/>
  <c r="S383" i="7"/>
  <c r="S384" i="7"/>
  <c r="S385" i="7"/>
  <c r="S386" i="7"/>
  <c r="S387" i="7"/>
  <c r="S388" i="7"/>
  <c r="S389" i="7"/>
  <c r="S390" i="7"/>
  <c r="S391" i="7"/>
  <c r="S392" i="7"/>
  <c r="S393" i="7"/>
  <c r="S394" i="7"/>
  <c r="S395" i="7"/>
  <c r="S396" i="7"/>
  <c r="S397" i="7"/>
  <c r="S398" i="7"/>
  <c r="S399" i="7"/>
  <c r="S400" i="7"/>
  <c r="S401" i="7"/>
  <c r="S402" i="7"/>
  <c r="S403" i="7"/>
  <c r="S404" i="7"/>
  <c r="S405" i="7"/>
  <c r="S406" i="7"/>
  <c r="S407" i="7"/>
  <c r="S408" i="7"/>
  <c r="S409" i="7"/>
  <c r="S410" i="7"/>
  <c r="S411" i="7"/>
  <c r="S412" i="7"/>
  <c r="S413" i="7"/>
  <c r="S414" i="7"/>
  <c r="S415" i="7"/>
  <c r="S416" i="7"/>
  <c r="S417" i="7"/>
  <c r="S418" i="7"/>
  <c r="S419" i="7"/>
  <c r="S420" i="7"/>
  <c r="S421" i="7"/>
  <c r="S422" i="7"/>
  <c r="S423" i="7"/>
  <c r="S424" i="7"/>
  <c r="S425" i="7"/>
  <c r="S426" i="7"/>
  <c r="S427" i="7"/>
  <c r="S428" i="7"/>
  <c r="S429" i="7"/>
  <c r="S430" i="7"/>
  <c r="S431" i="7"/>
  <c r="S432" i="7"/>
  <c r="S433" i="7"/>
  <c r="S434" i="7"/>
  <c r="S435" i="7"/>
  <c r="S436" i="7"/>
  <c r="S437" i="7"/>
  <c r="S438" i="7"/>
  <c r="S439" i="7"/>
  <c r="S440" i="7"/>
  <c r="S441" i="7"/>
  <c r="S442" i="7"/>
  <c r="S443" i="7"/>
  <c r="S444" i="7"/>
  <c r="S445" i="7"/>
  <c r="S446" i="7"/>
  <c r="S447" i="7"/>
  <c r="S448" i="7"/>
  <c r="S449" i="7"/>
  <c r="S450" i="7"/>
  <c r="S451" i="7"/>
  <c r="S452" i="7"/>
  <c r="S453" i="7"/>
  <c r="S454" i="7"/>
  <c r="S455" i="7"/>
  <c r="S456" i="7"/>
  <c r="S457" i="7"/>
  <c r="S458" i="7"/>
  <c r="S459" i="7"/>
  <c r="S460" i="7"/>
  <c r="S461" i="7"/>
  <c r="S462" i="7"/>
  <c r="S463" i="7"/>
  <c r="S464" i="7"/>
  <c r="S465" i="7"/>
  <c r="S466" i="7"/>
  <c r="S467" i="7"/>
  <c r="S468" i="7"/>
  <c r="S469" i="7"/>
  <c r="S470" i="7"/>
  <c r="S471" i="7"/>
  <c r="S472" i="7"/>
  <c r="S473" i="7"/>
  <c r="S474" i="7"/>
  <c r="S475" i="7"/>
  <c r="S476" i="7"/>
  <c r="S477" i="7"/>
  <c r="S478" i="7"/>
  <c r="S479" i="7"/>
  <c r="S480" i="7"/>
  <c r="S481" i="7"/>
  <c r="S482" i="7"/>
  <c r="S483" i="7"/>
  <c r="S484" i="7"/>
  <c r="S485" i="7"/>
  <c r="S486" i="7"/>
  <c r="S487" i="7"/>
  <c r="S488" i="7"/>
  <c r="S489" i="7"/>
  <c r="S490" i="7"/>
  <c r="S491" i="7"/>
  <c r="S492" i="7"/>
  <c r="S493" i="7"/>
  <c r="S494" i="7"/>
  <c r="S495" i="7"/>
  <c r="S496" i="7"/>
  <c r="S497" i="7"/>
  <c r="S498" i="7"/>
  <c r="S499" i="7"/>
  <c r="S500" i="7"/>
  <c r="S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R367" i="7"/>
  <c r="R368" i="7"/>
  <c r="R369" i="7"/>
  <c r="R370" i="7"/>
  <c r="R371" i="7"/>
  <c r="R372" i="7"/>
  <c r="R373" i="7"/>
  <c r="R374" i="7"/>
  <c r="R375" i="7"/>
  <c r="R376" i="7"/>
  <c r="R377" i="7"/>
  <c r="R378" i="7"/>
  <c r="R379" i="7"/>
  <c r="R380" i="7"/>
  <c r="R381" i="7"/>
  <c r="R382" i="7"/>
  <c r="R383" i="7"/>
  <c r="R384" i="7"/>
  <c r="R385" i="7"/>
  <c r="R386" i="7"/>
  <c r="R387" i="7"/>
  <c r="R388" i="7"/>
  <c r="R389" i="7"/>
  <c r="R390" i="7"/>
  <c r="R391" i="7"/>
  <c r="R392" i="7"/>
  <c r="R393" i="7"/>
  <c r="R394" i="7"/>
  <c r="R395" i="7"/>
  <c r="R396" i="7"/>
  <c r="R397" i="7"/>
  <c r="R398" i="7"/>
  <c r="R399" i="7"/>
  <c r="R400" i="7"/>
  <c r="R401" i="7"/>
  <c r="R402" i="7"/>
  <c r="R403" i="7"/>
  <c r="R404" i="7"/>
  <c r="R405" i="7"/>
  <c r="R406" i="7"/>
  <c r="R407" i="7"/>
  <c r="R408" i="7"/>
  <c r="R409" i="7"/>
  <c r="R410" i="7"/>
  <c r="R411" i="7"/>
  <c r="R412" i="7"/>
  <c r="R413" i="7"/>
  <c r="R414" i="7"/>
  <c r="R415" i="7"/>
  <c r="R416" i="7"/>
  <c r="R417" i="7"/>
  <c r="R418" i="7"/>
  <c r="R419" i="7"/>
  <c r="R420" i="7"/>
  <c r="R421" i="7"/>
  <c r="R422" i="7"/>
  <c r="R423" i="7"/>
  <c r="R424" i="7"/>
  <c r="R425" i="7"/>
  <c r="R426" i="7"/>
  <c r="R427" i="7"/>
  <c r="R428" i="7"/>
  <c r="R429" i="7"/>
  <c r="R430" i="7"/>
  <c r="R431" i="7"/>
  <c r="R432" i="7"/>
  <c r="R433" i="7"/>
  <c r="R434" i="7"/>
  <c r="R435" i="7"/>
  <c r="R436" i="7"/>
  <c r="R437" i="7"/>
  <c r="R438" i="7"/>
  <c r="R439" i="7"/>
  <c r="R440" i="7"/>
  <c r="R441" i="7"/>
  <c r="R442" i="7"/>
  <c r="R443" i="7"/>
  <c r="R444" i="7"/>
  <c r="R445" i="7"/>
  <c r="R446" i="7"/>
  <c r="R447" i="7"/>
  <c r="R448" i="7"/>
  <c r="R449" i="7"/>
  <c r="R450" i="7"/>
  <c r="R451" i="7"/>
  <c r="R452" i="7"/>
  <c r="R453" i="7"/>
  <c r="R454" i="7"/>
  <c r="R455" i="7"/>
  <c r="R456" i="7"/>
  <c r="R457" i="7"/>
  <c r="R458" i="7"/>
  <c r="R459" i="7"/>
  <c r="R460" i="7"/>
  <c r="R461" i="7"/>
  <c r="R462" i="7"/>
  <c r="R463" i="7"/>
  <c r="R464" i="7"/>
  <c r="R465" i="7"/>
  <c r="R466" i="7"/>
  <c r="R467" i="7"/>
  <c r="R468" i="7"/>
  <c r="R469" i="7"/>
  <c r="R470" i="7"/>
  <c r="R471" i="7"/>
  <c r="R472" i="7"/>
  <c r="R473" i="7"/>
  <c r="R474" i="7"/>
  <c r="R475" i="7"/>
  <c r="R476" i="7"/>
  <c r="R477" i="7"/>
  <c r="R478" i="7"/>
  <c r="R479" i="7"/>
  <c r="R480" i="7"/>
  <c r="R481" i="7"/>
  <c r="R482" i="7"/>
  <c r="R483" i="7"/>
  <c r="R484" i="7"/>
  <c r="R485" i="7"/>
  <c r="R486" i="7"/>
  <c r="R487" i="7"/>
  <c r="R488" i="7"/>
  <c r="R489" i="7"/>
  <c r="R490" i="7"/>
  <c r="R491" i="7"/>
  <c r="R492" i="7"/>
  <c r="R493" i="7"/>
  <c r="R494" i="7"/>
  <c r="R495" i="7"/>
  <c r="R496" i="7"/>
  <c r="R497" i="7"/>
  <c r="R498" i="7"/>
  <c r="R499" i="7"/>
  <c r="R500" i="7"/>
  <c r="R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345" i="7"/>
  <c r="Q346" i="7"/>
  <c r="Q347" i="7"/>
  <c r="Q348" i="7"/>
  <c r="Q349" i="7"/>
  <c r="Q350" i="7"/>
  <c r="Q351" i="7"/>
  <c r="Q352" i="7"/>
  <c r="Q353" i="7"/>
  <c r="Q354" i="7"/>
  <c r="Q355" i="7"/>
  <c r="Q356" i="7"/>
  <c r="Q357" i="7"/>
  <c r="Q358" i="7"/>
  <c r="Q359" i="7"/>
  <c r="Q360" i="7"/>
  <c r="Q361" i="7"/>
  <c r="Q362" i="7"/>
  <c r="Q363" i="7"/>
  <c r="Q364" i="7"/>
  <c r="Q365" i="7"/>
  <c r="Q366" i="7"/>
  <c r="Q367" i="7"/>
  <c r="Q368" i="7"/>
  <c r="Q369" i="7"/>
  <c r="Q370" i="7"/>
  <c r="Q371" i="7"/>
  <c r="Q372" i="7"/>
  <c r="Q373" i="7"/>
  <c r="Q374" i="7"/>
  <c r="Q375" i="7"/>
  <c r="Q376" i="7"/>
  <c r="Q377" i="7"/>
  <c r="Q378" i="7"/>
  <c r="Q379" i="7"/>
  <c r="Q380" i="7"/>
  <c r="Q381" i="7"/>
  <c r="Q382" i="7"/>
  <c r="Q383" i="7"/>
  <c r="Q384" i="7"/>
  <c r="Q385" i="7"/>
  <c r="Q386" i="7"/>
  <c r="Q387" i="7"/>
  <c r="Q388" i="7"/>
  <c r="Q389" i="7"/>
  <c r="Q390" i="7"/>
  <c r="Q391" i="7"/>
  <c r="Q392" i="7"/>
  <c r="Q393" i="7"/>
  <c r="Q394" i="7"/>
  <c r="Q395" i="7"/>
  <c r="Q396" i="7"/>
  <c r="Q397" i="7"/>
  <c r="Q398" i="7"/>
  <c r="Q399" i="7"/>
  <c r="Q400" i="7"/>
  <c r="Q401" i="7"/>
  <c r="Q402" i="7"/>
  <c r="Q403" i="7"/>
  <c r="Q404" i="7"/>
  <c r="Q405" i="7"/>
  <c r="Q406" i="7"/>
  <c r="Q407" i="7"/>
  <c r="Q408" i="7"/>
  <c r="Q409" i="7"/>
  <c r="Q410" i="7"/>
  <c r="Q411" i="7"/>
  <c r="Q412" i="7"/>
  <c r="Q413" i="7"/>
  <c r="Q414" i="7"/>
  <c r="Q415" i="7"/>
  <c r="Q416" i="7"/>
  <c r="Q417" i="7"/>
  <c r="Q418" i="7"/>
  <c r="Q419" i="7"/>
  <c r="Q420" i="7"/>
  <c r="Q421" i="7"/>
  <c r="Q422" i="7"/>
  <c r="Q423" i="7"/>
  <c r="Q424" i="7"/>
  <c r="Q425" i="7"/>
  <c r="Q426" i="7"/>
  <c r="Q427" i="7"/>
  <c r="Q428" i="7"/>
  <c r="Q429" i="7"/>
  <c r="Q430" i="7"/>
  <c r="Q431" i="7"/>
  <c r="Q432" i="7"/>
  <c r="Q433" i="7"/>
  <c r="Q434" i="7"/>
  <c r="Q435" i="7"/>
  <c r="Q436" i="7"/>
  <c r="Q437" i="7"/>
  <c r="Q438" i="7"/>
  <c r="Q439" i="7"/>
  <c r="Q440" i="7"/>
  <c r="Q441" i="7"/>
  <c r="Q442" i="7"/>
  <c r="Q443" i="7"/>
  <c r="Q444" i="7"/>
  <c r="Q445" i="7"/>
  <c r="Q446" i="7"/>
  <c r="Q447" i="7"/>
  <c r="Q448" i="7"/>
  <c r="Q449" i="7"/>
  <c r="Q450" i="7"/>
  <c r="Q451" i="7"/>
  <c r="Q452" i="7"/>
  <c r="Q453" i="7"/>
  <c r="Q454" i="7"/>
  <c r="Q455" i="7"/>
  <c r="Q456" i="7"/>
  <c r="Q457" i="7"/>
  <c r="Q458" i="7"/>
  <c r="Q459" i="7"/>
  <c r="Q460" i="7"/>
  <c r="Q461" i="7"/>
  <c r="Q462" i="7"/>
  <c r="Q463" i="7"/>
  <c r="Q464" i="7"/>
  <c r="Q465" i="7"/>
  <c r="Q466" i="7"/>
  <c r="Q467" i="7"/>
  <c r="Q468" i="7"/>
  <c r="Q469" i="7"/>
  <c r="Q470" i="7"/>
  <c r="Q471" i="7"/>
  <c r="Q472" i="7"/>
  <c r="Q473" i="7"/>
  <c r="Q474" i="7"/>
  <c r="Q475" i="7"/>
  <c r="Q476" i="7"/>
  <c r="Q477" i="7"/>
  <c r="Q478" i="7"/>
  <c r="Q479" i="7"/>
  <c r="Q480" i="7"/>
  <c r="Q481" i="7"/>
  <c r="Q482" i="7"/>
  <c r="Q483" i="7"/>
  <c r="Q484" i="7"/>
  <c r="Q485" i="7"/>
  <c r="Q486" i="7"/>
  <c r="Q487" i="7"/>
  <c r="Q488" i="7"/>
  <c r="Q489" i="7"/>
  <c r="Q490" i="7"/>
  <c r="Q491" i="7"/>
  <c r="Q492" i="7"/>
  <c r="Q493" i="7"/>
  <c r="Q494" i="7"/>
  <c r="Q495" i="7"/>
  <c r="Q496" i="7"/>
  <c r="Q497" i="7"/>
  <c r="Q498" i="7"/>
  <c r="Q499" i="7"/>
  <c r="Q500" i="7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P367" i="7"/>
  <c r="P368" i="7"/>
  <c r="P369" i="7"/>
  <c r="P370" i="7"/>
  <c r="P371" i="7"/>
  <c r="P372" i="7"/>
  <c r="P373" i="7"/>
  <c r="P374" i="7"/>
  <c r="P375" i="7"/>
  <c r="P376" i="7"/>
  <c r="P377" i="7"/>
  <c r="P378" i="7"/>
  <c r="P379" i="7"/>
  <c r="P380" i="7"/>
  <c r="P381" i="7"/>
  <c r="P382" i="7"/>
  <c r="P383" i="7"/>
  <c r="P384" i="7"/>
  <c r="P385" i="7"/>
  <c r="P386" i="7"/>
  <c r="P387" i="7"/>
  <c r="P388" i="7"/>
  <c r="P389" i="7"/>
  <c r="P390" i="7"/>
  <c r="P391" i="7"/>
  <c r="P392" i="7"/>
  <c r="P393" i="7"/>
  <c r="P394" i="7"/>
  <c r="P395" i="7"/>
  <c r="P396" i="7"/>
  <c r="P397" i="7"/>
  <c r="P398" i="7"/>
  <c r="P399" i="7"/>
  <c r="P400" i="7"/>
  <c r="P401" i="7"/>
  <c r="P402" i="7"/>
  <c r="P403" i="7"/>
  <c r="P404" i="7"/>
  <c r="P405" i="7"/>
  <c r="P406" i="7"/>
  <c r="P407" i="7"/>
  <c r="P408" i="7"/>
  <c r="P409" i="7"/>
  <c r="P410" i="7"/>
  <c r="P411" i="7"/>
  <c r="P412" i="7"/>
  <c r="P413" i="7"/>
  <c r="P414" i="7"/>
  <c r="P415" i="7"/>
  <c r="P416" i="7"/>
  <c r="P417" i="7"/>
  <c r="P418" i="7"/>
  <c r="P419" i="7"/>
  <c r="P420" i="7"/>
  <c r="P421" i="7"/>
  <c r="P422" i="7"/>
  <c r="P423" i="7"/>
  <c r="P424" i="7"/>
  <c r="P425" i="7"/>
  <c r="P426" i="7"/>
  <c r="P427" i="7"/>
  <c r="P428" i="7"/>
  <c r="P429" i="7"/>
  <c r="P430" i="7"/>
  <c r="P431" i="7"/>
  <c r="P432" i="7"/>
  <c r="P433" i="7"/>
  <c r="P434" i="7"/>
  <c r="P435" i="7"/>
  <c r="P436" i="7"/>
  <c r="P437" i="7"/>
  <c r="P438" i="7"/>
  <c r="P439" i="7"/>
  <c r="P440" i="7"/>
  <c r="P441" i="7"/>
  <c r="P442" i="7"/>
  <c r="P443" i="7"/>
  <c r="P444" i="7"/>
  <c r="P445" i="7"/>
  <c r="P446" i="7"/>
  <c r="P447" i="7"/>
  <c r="P448" i="7"/>
  <c r="P449" i="7"/>
  <c r="P450" i="7"/>
  <c r="P451" i="7"/>
  <c r="P452" i="7"/>
  <c r="P453" i="7"/>
  <c r="P454" i="7"/>
  <c r="P455" i="7"/>
  <c r="P456" i="7"/>
  <c r="P457" i="7"/>
  <c r="P458" i="7"/>
  <c r="P459" i="7"/>
  <c r="P460" i="7"/>
  <c r="P461" i="7"/>
  <c r="P462" i="7"/>
  <c r="P463" i="7"/>
  <c r="P464" i="7"/>
  <c r="P465" i="7"/>
  <c r="P466" i="7"/>
  <c r="P467" i="7"/>
  <c r="P468" i="7"/>
  <c r="P469" i="7"/>
  <c r="P470" i="7"/>
  <c r="P471" i="7"/>
  <c r="P472" i="7"/>
  <c r="P473" i="7"/>
  <c r="P474" i="7"/>
  <c r="P475" i="7"/>
  <c r="P476" i="7"/>
  <c r="P477" i="7"/>
  <c r="P478" i="7"/>
  <c r="P479" i="7"/>
  <c r="P480" i="7"/>
  <c r="P481" i="7"/>
  <c r="P482" i="7"/>
  <c r="P483" i="7"/>
  <c r="P484" i="7"/>
  <c r="P485" i="7"/>
  <c r="P486" i="7"/>
  <c r="P487" i="7"/>
  <c r="P488" i="7"/>
  <c r="P489" i="7"/>
  <c r="P490" i="7"/>
  <c r="P491" i="7"/>
  <c r="P492" i="7"/>
  <c r="P493" i="7"/>
  <c r="P494" i="7"/>
  <c r="P495" i="7"/>
  <c r="P496" i="7"/>
  <c r="P497" i="7"/>
  <c r="P498" i="7"/>
  <c r="P499" i="7"/>
  <c r="P500" i="7"/>
  <c r="P5" i="7"/>
  <c r="N9" i="7" l="1"/>
  <c r="O10" i="7"/>
  <c r="O6" i="7"/>
  <c r="O7" i="7"/>
  <c r="O8" i="7"/>
  <c r="O9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345" i="7"/>
  <c r="O346" i="7"/>
  <c r="O347" i="7"/>
  <c r="O348" i="7"/>
  <c r="O349" i="7"/>
  <c r="O350" i="7"/>
  <c r="O351" i="7"/>
  <c r="O352" i="7"/>
  <c r="O353" i="7"/>
  <c r="O354" i="7"/>
  <c r="O355" i="7"/>
  <c r="O356" i="7"/>
  <c r="O357" i="7"/>
  <c r="O358" i="7"/>
  <c r="O359" i="7"/>
  <c r="O360" i="7"/>
  <c r="O361" i="7"/>
  <c r="O362" i="7"/>
  <c r="O363" i="7"/>
  <c r="O364" i="7"/>
  <c r="O365" i="7"/>
  <c r="O366" i="7"/>
  <c r="O367" i="7"/>
  <c r="O368" i="7"/>
  <c r="O369" i="7"/>
  <c r="O370" i="7"/>
  <c r="O371" i="7"/>
  <c r="O372" i="7"/>
  <c r="O373" i="7"/>
  <c r="O374" i="7"/>
  <c r="O375" i="7"/>
  <c r="O376" i="7"/>
  <c r="O377" i="7"/>
  <c r="O378" i="7"/>
  <c r="O379" i="7"/>
  <c r="O380" i="7"/>
  <c r="O381" i="7"/>
  <c r="O382" i="7"/>
  <c r="O383" i="7"/>
  <c r="O384" i="7"/>
  <c r="O385" i="7"/>
  <c r="O386" i="7"/>
  <c r="O387" i="7"/>
  <c r="O388" i="7"/>
  <c r="O389" i="7"/>
  <c r="O390" i="7"/>
  <c r="O391" i="7"/>
  <c r="O392" i="7"/>
  <c r="O393" i="7"/>
  <c r="O394" i="7"/>
  <c r="O395" i="7"/>
  <c r="O396" i="7"/>
  <c r="O397" i="7"/>
  <c r="O398" i="7"/>
  <c r="O399" i="7"/>
  <c r="O400" i="7"/>
  <c r="O401" i="7"/>
  <c r="O402" i="7"/>
  <c r="O403" i="7"/>
  <c r="O404" i="7"/>
  <c r="O405" i="7"/>
  <c r="O406" i="7"/>
  <c r="O407" i="7"/>
  <c r="O408" i="7"/>
  <c r="O409" i="7"/>
  <c r="O410" i="7"/>
  <c r="O411" i="7"/>
  <c r="O412" i="7"/>
  <c r="O413" i="7"/>
  <c r="O414" i="7"/>
  <c r="O415" i="7"/>
  <c r="O416" i="7"/>
  <c r="O417" i="7"/>
  <c r="O418" i="7"/>
  <c r="O419" i="7"/>
  <c r="O420" i="7"/>
  <c r="O421" i="7"/>
  <c r="O422" i="7"/>
  <c r="O423" i="7"/>
  <c r="O424" i="7"/>
  <c r="O425" i="7"/>
  <c r="O426" i="7"/>
  <c r="O427" i="7"/>
  <c r="O428" i="7"/>
  <c r="O429" i="7"/>
  <c r="O430" i="7"/>
  <c r="O431" i="7"/>
  <c r="O432" i="7"/>
  <c r="O433" i="7"/>
  <c r="O434" i="7"/>
  <c r="O435" i="7"/>
  <c r="O436" i="7"/>
  <c r="O437" i="7"/>
  <c r="O438" i="7"/>
  <c r="O439" i="7"/>
  <c r="O440" i="7"/>
  <c r="O441" i="7"/>
  <c r="O442" i="7"/>
  <c r="O443" i="7"/>
  <c r="O444" i="7"/>
  <c r="O445" i="7"/>
  <c r="O446" i="7"/>
  <c r="O447" i="7"/>
  <c r="O448" i="7"/>
  <c r="O449" i="7"/>
  <c r="O450" i="7"/>
  <c r="O451" i="7"/>
  <c r="O452" i="7"/>
  <c r="O453" i="7"/>
  <c r="O454" i="7"/>
  <c r="O455" i="7"/>
  <c r="O456" i="7"/>
  <c r="O457" i="7"/>
  <c r="O458" i="7"/>
  <c r="O459" i="7"/>
  <c r="O460" i="7"/>
  <c r="O461" i="7"/>
  <c r="O462" i="7"/>
  <c r="O463" i="7"/>
  <c r="O464" i="7"/>
  <c r="O465" i="7"/>
  <c r="O466" i="7"/>
  <c r="O467" i="7"/>
  <c r="O468" i="7"/>
  <c r="O469" i="7"/>
  <c r="O470" i="7"/>
  <c r="O471" i="7"/>
  <c r="O472" i="7"/>
  <c r="O473" i="7"/>
  <c r="O474" i="7"/>
  <c r="O475" i="7"/>
  <c r="O476" i="7"/>
  <c r="O477" i="7"/>
  <c r="O478" i="7"/>
  <c r="O479" i="7"/>
  <c r="O480" i="7"/>
  <c r="O481" i="7"/>
  <c r="O482" i="7"/>
  <c r="O483" i="7"/>
  <c r="O484" i="7"/>
  <c r="O485" i="7"/>
  <c r="O486" i="7"/>
  <c r="O487" i="7"/>
  <c r="O488" i="7"/>
  <c r="O489" i="7"/>
  <c r="O490" i="7"/>
  <c r="O491" i="7"/>
  <c r="O492" i="7"/>
  <c r="O493" i="7"/>
  <c r="O494" i="7"/>
  <c r="O495" i="7"/>
  <c r="O496" i="7"/>
  <c r="O497" i="7"/>
  <c r="O498" i="7"/>
  <c r="O499" i="7"/>
  <c r="O500" i="7"/>
  <c r="O5" i="7"/>
  <c r="N5" i="7"/>
  <c r="N6" i="7"/>
  <c r="N7" i="7"/>
  <c r="N8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N485" i="7"/>
  <c r="N486" i="7"/>
  <c r="N487" i="7"/>
  <c r="N488" i="7"/>
  <c r="N489" i="7"/>
  <c r="N490" i="7"/>
  <c r="N491" i="7"/>
  <c r="N492" i="7"/>
  <c r="N493" i="7"/>
  <c r="N494" i="7"/>
  <c r="N495" i="7"/>
  <c r="N496" i="7"/>
  <c r="N497" i="7"/>
  <c r="N498" i="7"/>
  <c r="N499" i="7"/>
  <c r="N500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" i="7"/>
  <c r="L5" i="7"/>
  <c r="M493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4" i="7"/>
  <c r="M495" i="7"/>
  <c r="M496" i="7"/>
  <c r="M497" i="7"/>
  <c r="M498" i="7"/>
  <c r="M499" i="7"/>
  <c r="M500" i="7"/>
  <c r="M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J5" i="7" l="1"/>
  <c r="K5" i="7"/>
  <c r="J6" i="7" l="1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I550004" i="7"/>
  <c r="I550003" i="7"/>
  <c r="I550002" i="7"/>
  <c r="I55000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<sst xmlns="http://schemas.openxmlformats.org/spreadsheetml/2006/main" count="3664" uniqueCount="1801">
  <si>
    <t>payment_key</t>
  </si>
  <si>
    <t>coustomer_key</t>
  </si>
  <si>
    <t>time_key</t>
  </si>
  <si>
    <t>item_key</t>
  </si>
  <si>
    <t>store_key</t>
  </si>
  <si>
    <t>quantity</t>
  </si>
  <si>
    <t>unit</t>
  </si>
  <si>
    <t>unit_price</t>
  </si>
  <si>
    <t>total_price</t>
  </si>
  <si>
    <t>P026</t>
  </si>
  <si>
    <t>C004510</t>
  </si>
  <si>
    <t>T049189</t>
  </si>
  <si>
    <t>I00177</t>
  </si>
  <si>
    <t>S00307</t>
  </si>
  <si>
    <t>ct</t>
  </si>
  <si>
    <t>P022</t>
  </si>
  <si>
    <t>C008967</t>
  </si>
  <si>
    <t>T041209</t>
  </si>
  <si>
    <t>I00248</t>
  </si>
  <si>
    <t>S00595</t>
  </si>
  <si>
    <t>rolls</t>
  </si>
  <si>
    <t>P030</t>
  </si>
  <si>
    <t>C007261</t>
  </si>
  <si>
    <t>T03633</t>
  </si>
  <si>
    <t>I00195</t>
  </si>
  <si>
    <t>S00496</t>
  </si>
  <si>
    <t>P032</t>
  </si>
  <si>
    <t>C007048</t>
  </si>
  <si>
    <t>T084631</t>
  </si>
  <si>
    <t>I00131</t>
  </si>
  <si>
    <t>S0086</t>
  </si>
  <si>
    <t>P014</t>
  </si>
  <si>
    <t>C006430</t>
  </si>
  <si>
    <t>T071276</t>
  </si>
  <si>
    <t>I00050</t>
  </si>
  <si>
    <t>S00488</t>
  </si>
  <si>
    <t>cans</t>
  </si>
  <si>
    <t>Sum</t>
  </si>
  <si>
    <t>Avg</t>
  </si>
  <si>
    <t>min</t>
  </si>
  <si>
    <t>max</t>
  </si>
  <si>
    <t>sumif</t>
  </si>
  <si>
    <t>countif</t>
  </si>
  <si>
    <t>vlookup</t>
  </si>
  <si>
    <t>xlookup</t>
  </si>
  <si>
    <t>Rank.avg</t>
  </si>
  <si>
    <t>Rank.eq</t>
  </si>
  <si>
    <t>p1</t>
  </si>
  <si>
    <t>Exact</t>
  </si>
  <si>
    <t>Concat</t>
  </si>
  <si>
    <t>Find</t>
  </si>
  <si>
    <t>Left</t>
  </si>
  <si>
    <t>Right</t>
  </si>
  <si>
    <t>Mid</t>
  </si>
  <si>
    <t>Upper</t>
  </si>
  <si>
    <t>Lower</t>
  </si>
  <si>
    <t>Len</t>
  </si>
  <si>
    <t>Search</t>
  </si>
  <si>
    <t>Substitute</t>
  </si>
  <si>
    <t>Textjoin</t>
  </si>
  <si>
    <t>Char</t>
  </si>
  <si>
    <t>Sort</t>
  </si>
  <si>
    <t xml:space="preserve">Advance filter </t>
  </si>
  <si>
    <t>P006</t>
  </si>
  <si>
    <t>C007574</t>
  </si>
  <si>
    <t>T026950</t>
  </si>
  <si>
    <t>I00058</t>
  </si>
  <si>
    <t>S00328</t>
  </si>
  <si>
    <t>bottles</t>
  </si>
  <si>
    <t>P023</t>
  </si>
  <si>
    <t>C005695</t>
  </si>
  <si>
    <t>T096704</t>
  </si>
  <si>
    <t>I00075</t>
  </si>
  <si>
    <t>S00196</t>
  </si>
  <si>
    <t>P027</t>
  </si>
  <si>
    <t>C008728</t>
  </si>
  <si>
    <t>T010756</t>
  </si>
  <si>
    <t>I00188</t>
  </si>
  <si>
    <t>S0010</t>
  </si>
  <si>
    <t>P025</t>
  </si>
  <si>
    <t>C002764</t>
  </si>
  <si>
    <t>T017598</t>
  </si>
  <si>
    <t>I00017</t>
  </si>
  <si>
    <t>S00164</t>
  </si>
  <si>
    <t>P019</t>
  </si>
  <si>
    <t>C003128</t>
  </si>
  <si>
    <t>T048812</t>
  </si>
  <si>
    <t>I00133</t>
  </si>
  <si>
    <t>S00640</t>
  </si>
  <si>
    <t>Remove duplicate</t>
  </si>
  <si>
    <t>Hlookup</t>
  </si>
  <si>
    <t>P018</t>
  </si>
  <si>
    <t>C006613</t>
  </si>
  <si>
    <t>T078755</t>
  </si>
  <si>
    <t>I00065</t>
  </si>
  <si>
    <t>S00540</t>
  </si>
  <si>
    <t>C009139</t>
  </si>
  <si>
    <t>T037206</t>
  </si>
  <si>
    <t>I00023</t>
  </si>
  <si>
    <t>S0032</t>
  </si>
  <si>
    <t>P003</t>
  </si>
  <si>
    <t>C000849</t>
  </si>
  <si>
    <t>T045267</t>
  </si>
  <si>
    <t>I00237</t>
  </si>
  <si>
    <t>S00631</t>
  </si>
  <si>
    <t>P016</t>
  </si>
  <si>
    <t>C005138</t>
  </si>
  <si>
    <t>T017837</t>
  </si>
  <si>
    <t>I00082</t>
  </si>
  <si>
    <t>S0035</t>
  </si>
  <si>
    <t>P011</t>
  </si>
  <si>
    <t>C000136</t>
  </si>
  <si>
    <t>T074844</t>
  </si>
  <si>
    <t>I00163</t>
  </si>
  <si>
    <t>S00158</t>
  </si>
  <si>
    <t>bags</t>
  </si>
  <si>
    <t>P015</t>
  </si>
  <si>
    <t>C007305</t>
  </si>
  <si>
    <t>T06087</t>
  </si>
  <si>
    <t>I00091</t>
  </si>
  <si>
    <t>S00455</t>
  </si>
  <si>
    <t>C006779</t>
  </si>
  <si>
    <t>T097274</t>
  </si>
  <si>
    <t>I00125</t>
  </si>
  <si>
    <t>S0071</t>
  </si>
  <si>
    <t>P013</t>
  </si>
  <si>
    <t>C004337</t>
  </si>
  <si>
    <t>T069004</t>
  </si>
  <si>
    <t>I00155</t>
  </si>
  <si>
    <t>S00616</t>
  </si>
  <si>
    <t>P001</t>
  </si>
  <si>
    <t>C007044</t>
  </si>
  <si>
    <t>T049755</t>
  </si>
  <si>
    <t>S00423</t>
  </si>
  <si>
    <t>P028</t>
  </si>
  <si>
    <t>C004437</t>
  </si>
  <si>
    <t>T088776</t>
  </si>
  <si>
    <t>I00153</t>
  </si>
  <si>
    <t>S00608</t>
  </si>
  <si>
    <t>C006330</t>
  </si>
  <si>
    <t>T081360</t>
  </si>
  <si>
    <t>I00047</t>
  </si>
  <si>
    <t>S00628</t>
  </si>
  <si>
    <t>C004953</t>
  </si>
  <si>
    <t>T064303</t>
  </si>
  <si>
    <t>S00197</t>
  </si>
  <si>
    <t>P020</t>
  </si>
  <si>
    <t>C009102</t>
  </si>
  <si>
    <t>T034213</t>
  </si>
  <si>
    <t>I00078</t>
  </si>
  <si>
    <t>S00172</t>
  </si>
  <si>
    <t>C001667</t>
  </si>
  <si>
    <t>T03431</t>
  </si>
  <si>
    <t>I00113</t>
  </si>
  <si>
    <t>S00319</t>
  </si>
  <si>
    <t>P010</t>
  </si>
  <si>
    <t>C003131</t>
  </si>
  <si>
    <t>T072373</t>
  </si>
  <si>
    <t>I00079</t>
  </si>
  <si>
    <t>S00462</t>
  </si>
  <si>
    <t>C000117</t>
  </si>
  <si>
    <t>T016070</t>
  </si>
  <si>
    <t>S00460</t>
  </si>
  <si>
    <t>C008372</t>
  </si>
  <si>
    <t>T011517</t>
  </si>
  <si>
    <t>I00111</t>
  </si>
  <si>
    <t>S00410</t>
  </si>
  <si>
    <t>C000587</t>
  </si>
  <si>
    <t>T098189</t>
  </si>
  <si>
    <t>I00066</t>
  </si>
  <si>
    <t>S00142</t>
  </si>
  <si>
    <t>P012</t>
  </si>
  <si>
    <t>C002814</t>
  </si>
  <si>
    <t>T095863</t>
  </si>
  <si>
    <t>I00108</t>
  </si>
  <si>
    <t>S00563</t>
  </si>
  <si>
    <t>oz</t>
  </si>
  <si>
    <t>P017</t>
  </si>
  <si>
    <t>C006599</t>
  </si>
  <si>
    <t>T01535</t>
  </si>
  <si>
    <t>I00077</t>
  </si>
  <si>
    <t>S00317</t>
  </si>
  <si>
    <t>P033</t>
  </si>
  <si>
    <t>C004506</t>
  </si>
  <si>
    <t>T034740</t>
  </si>
  <si>
    <t>I00103</t>
  </si>
  <si>
    <t>S0090</t>
  </si>
  <si>
    <t>tubs</t>
  </si>
  <si>
    <t>C003012</t>
  </si>
  <si>
    <t>T066927</t>
  </si>
  <si>
    <t>I00218</t>
  </si>
  <si>
    <t>S00395</t>
  </si>
  <si>
    <t>C002416</t>
  </si>
  <si>
    <t>T016376</t>
  </si>
  <si>
    <t>I00132</t>
  </si>
  <si>
    <t>S0060</t>
  </si>
  <si>
    <t>P029</t>
  </si>
  <si>
    <t>C004635</t>
  </si>
  <si>
    <t>T058922</t>
  </si>
  <si>
    <t>I00246</t>
  </si>
  <si>
    <t>S0037</t>
  </si>
  <si>
    <t>C002106</t>
  </si>
  <si>
    <t>T084934</t>
  </si>
  <si>
    <t>I00120</t>
  </si>
  <si>
    <t>S00676</t>
  </si>
  <si>
    <t>C002014</t>
  </si>
  <si>
    <t>T075762</t>
  </si>
  <si>
    <t>I00068</t>
  </si>
  <si>
    <t>S00709</t>
  </si>
  <si>
    <t>P036</t>
  </si>
  <si>
    <t>C006673</t>
  </si>
  <si>
    <t>T067888</t>
  </si>
  <si>
    <t>I00018</t>
  </si>
  <si>
    <t>S00547</t>
  </si>
  <si>
    <t>C003551</t>
  </si>
  <si>
    <t>T064445</t>
  </si>
  <si>
    <t>I00033</t>
  </si>
  <si>
    <t>S00343</t>
  </si>
  <si>
    <t>P021</t>
  </si>
  <si>
    <t>C004163</t>
  </si>
  <si>
    <t>T04044</t>
  </si>
  <si>
    <t>I00123</t>
  </si>
  <si>
    <t>S0079</t>
  </si>
  <si>
    <t>C008636</t>
  </si>
  <si>
    <t>T086840</t>
  </si>
  <si>
    <t>I00204</t>
  </si>
  <si>
    <t>S00643</t>
  </si>
  <si>
    <t>P002</t>
  </si>
  <si>
    <t>C006607</t>
  </si>
  <si>
    <t>T096401</t>
  </si>
  <si>
    <t>I00097</t>
  </si>
  <si>
    <t>S00293</t>
  </si>
  <si>
    <t>cartons</t>
  </si>
  <si>
    <t>P035</t>
  </si>
  <si>
    <t>C004785</t>
  </si>
  <si>
    <t>T027401</t>
  </si>
  <si>
    <t>I00212</t>
  </si>
  <si>
    <t>S00716</t>
  </si>
  <si>
    <t>C007584</t>
  </si>
  <si>
    <t>T097121</t>
  </si>
  <si>
    <t>C000794</t>
  </si>
  <si>
    <t>T061460</t>
  </si>
  <si>
    <t>I00003</t>
  </si>
  <si>
    <t>S00604</t>
  </si>
  <si>
    <t>C006515</t>
  </si>
  <si>
    <t>T070970</t>
  </si>
  <si>
    <t>I00226</t>
  </si>
  <si>
    <t>S00582</t>
  </si>
  <si>
    <t>lb</t>
  </si>
  <si>
    <t>P024</t>
  </si>
  <si>
    <t>C006654</t>
  </si>
  <si>
    <t>T094539</t>
  </si>
  <si>
    <t>I00236</t>
  </si>
  <si>
    <t>S00169</t>
  </si>
  <si>
    <t>tins</t>
  </si>
  <si>
    <t>C004238</t>
  </si>
  <si>
    <t>T043327</t>
  </si>
  <si>
    <t>I00192</t>
  </si>
  <si>
    <t>S0043</t>
  </si>
  <si>
    <t>C005911</t>
  </si>
  <si>
    <t>T047958</t>
  </si>
  <si>
    <t>I00007</t>
  </si>
  <si>
    <t>S00105</t>
  </si>
  <si>
    <t>C002711</t>
  </si>
  <si>
    <t>T099187</t>
  </si>
  <si>
    <t>S00291</t>
  </si>
  <si>
    <t>C002588</t>
  </si>
  <si>
    <t>T067143</t>
  </si>
  <si>
    <t>I00156</t>
  </si>
  <si>
    <t>S00416</t>
  </si>
  <si>
    <t>C001376</t>
  </si>
  <si>
    <t>T095018</t>
  </si>
  <si>
    <t>I00240</t>
  </si>
  <si>
    <t>S00483</t>
  </si>
  <si>
    <t>C002273</t>
  </si>
  <si>
    <t>T084158</t>
  </si>
  <si>
    <t>I00187</t>
  </si>
  <si>
    <t>S00405</t>
  </si>
  <si>
    <t>ct.</t>
  </si>
  <si>
    <t>C003291</t>
  </si>
  <si>
    <t>T079034</t>
  </si>
  <si>
    <t>I00076</t>
  </si>
  <si>
    <t>S0074</t>
  </si>
  <si>
    <t>P034</t>
  </si>
  <si>
    <t>C008759</t>
  </si>
  <si>
    <t>T022074</t>
  </si>
  <si>
    <t>I00122</t>
  </si>
  <si>
    <t>S00509</t>
  </si>
  <si>
    <t>C007688</t>
  </si>
  <si>
    <t>T028134</t>
  </si>
  <si>
    <t>I00183</t>
  </si>
  <si>
    <t>S00194</t>
  </si>
  <si>
    <t>P039</t>
  </si>
  <si>
    <t>C001301</t>
  </si>
  <si>
    <t>T033815</t>
  </si>
  <si>
    <t>I00165</t>
  </si>
  <si>
    <t>S00251</t>
  </si>
  <si>
    <t>P009</t>
  </si>
  <si>
    <t>C004865</t>
  </si>
  <si>
    <t>T044907</t>
  </si>
  <si>
    <t>S00353</t>
  </si>
  <si>
    <t>C000956</t>
  </si>
  <si>
    <t>T072906</t>
  </si>
  <si>
    <t>I00213</t>
  </si>
  <si>
    <t>S00139</t>
  </si>
  <si>
    <t>C003334</t>
  </si>
  <si>
    <t>T02647</t>
  </si>
  <si>
    <t>S00338</t>
  </si>
  <si>
    <t>C007896</t>
  </si>
  <si>
    <t>T077414</t>
  </si>
  <si>
    <t>I00061</t>
  </si>
  <si>
    <t>S00617</t>
  </si>
  <si>
    <t>C007055</t>
  </si>
  <si>
    <t>T015735</t>
  </si>
  <si>
    <t>I00049</t>
  </si>
  <si>
    <t>S00218</t>
  </si>
  <si>
    <t>P031</t>
  </si>
  <si>
    <t>C001641</t>
  </si>
  <si>
    <t>T010429</t>
  </si>
  <si>
    <t>I00053</t>
  </si>
  <si>
    <t>S00167</t>
  </si>
  <si>
    <t>C004228</t>
  </si>
  <si>
    <t>T054067</t>
  </si>
  <si>
    <t>I00179</t>
  </si>
  <si>
    <t>S00265</t>
  </si>
  <si>
    <t>C003178</t>
  </si>
  <si>
    <t>T079891</t>
  </si>
  <si>
    <t>I00088</t>
  </si>
  <si>
    <t>S00380</t>
  </si>
  <si>
    <t>C000730</t>
  </si>
  <si>
    <t>T02743</t>
  </si>
  <si>
    <t>I00045</t>
  </si>
  <si>
    <t>S00102</t>
  </si>
  <si>
    <t>C008065</t>
  </si>
  <si>
    <t>T039330</t>
  </si>
  <si>
    <t>I00055</t>
  </si>
  <si>
    <t>S00324</t>
  </si>
  <si>
    <t>C004292</t>
  </si>
  <si>
    <t>T020735</t>
  </si>
  <si>
    <t>I00121</t>
  </si>
  <si>
    <t>S00694</t>
  </si>
  <si>
    <t>C008389</t>
  </si>
  <si>
    <t>T069983</t>
  </si>
  <si>
    <t>S00555</t>
  </si>
  <si>
    <t>C005655</t>
  </si>
  <si>
    <t>T013343</t>
  </si>
  <si>
    <t>I00028</t>
  </si>
  <si>
    <t>S0040</t>
  </si>
  <si>
    <t>P037</t>
  </si>
  <si>
    <t>C000616</t>
  </si>
  <si>
    <t>T046239</t>
  </si>
  <si>
    <t>S00704</t>
  </si>
  <si>
    <t>C006210</t>
  </si>
  <si>
    <t>T012085</t>
  </si>
  <si>
    <t>S00389</t>
  </si>
  <si>
    <t>C005781</t>
  </si>
  <si>
    <t>T089241</t>
  </si>
  <si>
    <t>I00037</t>
  </si>
  <si>
    <t>S00362</t>
  </si>
  <si>
    <t>C000769</t>
  </si>
  <si>
    <t>T048488</t>
  </si>
  <si>
    <t>C005135</t>
  </si>
  <si>
    <t>T012987</t>
  </si>
  <si>
    <t>I00109</t>
  </si>
  <si>
    <t>S00630</t>
  </si>
  <si>
    <t>C001614</t>
  </si>
  <si>
    <t>T073649</t>
  </si>
  <si>
    <t>S00518</t>
  </si>
  <si>
    <t>P004</t>
  </si>
  <si>
    <t>C007507</t>
  </si>
  <si>
    <t>T099848</t>
  </si>
  <si>
    <t>I00137</t>
  </si>
  <si>
    <t>S00591</t>
  </si>
  <si>
    <t>C005973</t>
  </si>
  <si>
    <t>T035211</t>
  </si>
  <si>
    <t>I00071</t>
  </si>
  <si>
    <t>S00143</t>
  </si>
  <si>
    <t>C009137</t>
  </si>
  <si>
    <t>T052586</t>
  </si>
  <si>
    <t>I00106</t>
  </si>
  <si>
    <t>S00378</t>
  </si>
  <si>
    <t>C001890</t>
  </si>
  <si>
    <t>T04692</t>
  </si>
  <si>
    <t>I00073</t>
  </si>
  <si>
    <t>S00257</t>
  </si>
  <si>
    <t>C005857</t>
  </si>
  <si>
    <t>T079642</t>
  </si>
  <si>
    <t>I00261</t>
  </si>
  <si>
    <t>S00558</t>
  </si>
  <si>
    <t>C001213</t>
  </si>
  <si>
    <t>T088078</t>
  </si>
  <si>
    <t>S00485</t>
  </si>
  <si>
    <t>C008426</t>
  </si>
  <si>
    <t>T075777</t>
  </si>
  <si>
    <t>I00215</t>
  </si>
  <si>
    <t>S00537</t>
  </si>
  <si>
    <t>C005265</t>
  </si>
  <si>
    <t>T084200</t>
  </si>
  <si>
    <t>I00010</t>
  </si>
  <si>
    <t>S0045</t>
  </si>
  <si>
    <t>C007155</t>
  </si>
  <si>
    <t>T015488</t>
  </si>
  <si>
    <t>I00247</t>
  </si>
  <si>
    <t>S00372</t>
  </si>
  <si>
    <t>C008945</t>
  </si>
  <si>
    <t>T091863</t>
  </si>
  <si>
    <t>I00008</t>
  </si>
  <si>
    <t>S00715</t>
  </si>
  <si>
    <t>C006321</t>
  </si>
  <si>
    <t>T075495</t>
  </si>
  <si>
    <t>I00256</t>
  </si>
  <si>
    <t>pack</t>
  </si>
  <si>
    <t>C000850</t>
  </si>
  <si>
    <t>T023269</t>
  </si>
  <si>
    <t>I00129</t>
  </si>
  <si>
    <t>S00355</t>
  </si>
  <si>
    <t>pk</t>
  </si>
  <si>
    <t>C006253</t>
  </si>
  <si>
    <t>T038332</t>
  </si>
  <si>
    <t>I00056</t>
  </si>
  <si>
    <t>S00206</t>
  </si>
  <si>
    <t>C001743</t>
  </si>
  <si>
    <t>T080396</t>
  </si>
  <si>
    <t>I00230</t>
  </si>
  <si>
    <t>S00660</t>
  </si>
  <si>
    <t>C004020</t>
  </si>
  <si>
    <t>T038853</t>
  </si>
  <si>
    <t>S00250</t>
  </si>
  <si>
    <t>C006064</t>
  </si>
  <si>
    <t>T086284</t>
  </si>
  <si>
    <t>I00080</t>
  </si>
  <si>
    <t>S00670</t>
  </si>
  <si>
    <t>C007452</t>
  </si>
  <si>
    <t>T04952</t>
  </si>
  <si>
    <t>S00382</t>
  </si>
  <si>
    <t>C001606</t>
  </si>
  <si>
    <t>T086625</t>
  </si>
  <si>
    <t>I00262</t>
  </si>
  <si>
    <t>S00601</t>
  </si>
  <si>
    <t>C005146</t>
  </si>
  <si>
    <t>T047358</t>
  </si>
  <si>
    <t>S0007</t>
  </si>
  <si>
    <t>C004369</t>
  </si>
  <si>
    <t>T046539</t>
  </si>
  <si>
    <t>S00680</t>
  </si>
  <si>
    <t>C000367</t>
  </si>
  <si>
    <t>T038514</t>
  </si>
  <si>
    <t>S00454</t>
  </si>
  <si>
    <t>C000687</t>
  </si>
  <si>
    <t>T072412</t>
  </si>
  <si>
    <t>I00151</t>
  </si>
  <si>
    <t>S00500</t>
  </si>
  <si>
    <t>C007347</t>
  </si>
  <si>
    <t>T07448</t>
  </si>
  <si>
    <t>I00254</t>
  </si>
  <si>
    <t>S00652</t>
  </si>
  <si>
    <t>C004023</t>
  </si>
  <si>
    <t>T093578</t>
  </si>
  <si>
    <t>I00189</t>
  </si>
  <si>
    <t>S00359</t>
  </si>
  <si>
    <t>C008650</t>
  </si>
  <si>
    <t>T031242</t>
  </si>
  <si>
    <t>I00064</t>
  </si>
  <si>
    <t>S00234</t>
  </si>
  <si>
    <t>C007983</t>
  </si>
  <si>
    <t>T064100</t>
  </si>
  <si>
    <t>I00228</t>
  </si>
  <si>
    <t>S00581</t>
  </si>
  <si>
    <t>P038</t>
  </si>
  <si>
    <t>C009083</t>
  </si>
  <si>
    <t>T065828</t>
  </si>
  <si>
    <t>S00113</t>
  </si>
  <si>
    <t>C002504</t>
  </si>
  <si>
    <t>T084697</t>
  </si>
  <si>
    <t>I00107</t>
  </si>
  <si>
    <t>S0004</t>
  </si>
  <si>
    <t>C006203</t>
  </si>
  <si>
    <t>T056597</t>
  </si>
  <si>
    <t>I00229</t>
  </si>
  <si>
    <t>S00636</t>
  </si>
  <si>
    <t>C001921</t>
  </si>
  <si>
    <t>T058671</t>
  </si>
  <si>
    <t>S00435</t>
  </si>
  <si>
    <t>C007064</t>
  </si>
  <si>
    <t>T035360</t>
  </si>
  <si>
    <t>I00138</t>
  </si>
  <si>
    <t>S00267</t>
  </si>
  <si>
    <t>C001108</t>
  </si>
  <si>
    <t>T012049</t>
  </si>
  <si>
    <t>S00240</t>
  </si>
  <si>
    <t>C006657</t>
  </si>
  <si>
    <t>T058776</t>
  </si>
  <si>
    <t>I00044</t>
  </si>
  <si>
    <t>C006206</t>
  </si>
  <si>
    <t>T087559</t>
  </si>
  <si>
    <t>S00312</t>
  </si>
  <si>
    <t>C008525</t>
  </si>
  <si>
    <t>T054312</t>
  </si>
  <si>
    <t>I00146</t>
  </si>
  <si>
    <t>C005322</t>
  </si>
  <si>
    <t>T090099</t>
  </si>
  <si>
    <t>S00381</t>
  </si>
  <si>
    <t>C009017</t>
  </si>
  <si>
    <t>T035589</t>
  </si>
  <si>
    <t>I00243</t>
  </si>
  <si>
    <t>S00698</t>
  </si>
  <si>
    <t>C003121</t>
  </si>
  <si>
    <t>T038507</t>
  </si>
  <si>
    <t>I00069</t>
  </si>
  <si>
    <t>S00340</t>
  </si>
  <si>
    <t>C004972</t>
  </si>
  <si>
    <t>T045622</t>
  </si>
  <si>
    <t>I00216</t>
  </si>
  <si>
    <t>S00264</t>
  </si>
  <si>
    <t>C007493</t>
  </si>
  <si>
    <t>T028965</t>
  </si>
  <si>
    <t>S00123</t>
  </si>
  <si>
    <t>C007851</t>
  </si>
  <si>
    <t>T018452</t>
  </si>
  <si>
    <t>I00098</t>
  </si>
  <si>
    <t>S00664</t>
  </si>
  <si>
    <t>C004867</t>
  </si>
  <si>
    <t>T063981</t>
  </si>
  <si>
    <t>S00271</t>
  </si>
  <si>
    <t>C000893</t>
  </si>
  <si>
    <t>T036720</t>
  </si>
  <si>
    <t>I00144</t>
  </si>
  <si>
    <t>S00147</t>
  </si>
  <si>
    <t>P008</t>
  </si>
  <si>
    <t>C002529</t>
  </si>
  <si>
    <t>T06611</t>
  </si>
  <si>
    <t>S0049</t>
  </si>
  <si>
    <t>P005</t>
  </si>
  <si>
    <t>C008597</t>
  </si>
  <si>
    <t>T04776</t>
  </si>
  <si>
    <t>I00186</t>
  </si>
  <si>
    <t>S00282</t>
  </si>
  <si>
    <t>C004165</t>
  </si>
  <si>
    <t>T018323</t>
  </si>
  <si>
    <t>I00060</t>
  </si>
  <si>
    <t>S00566</t>
  </si>
  <si>
    <t>C007895</t>
  </si>
  <si>
    <t>T041053</t>
  </si>
  <si>
    <t>S00107</t>
  </si>
  <si>
    <t>C006255</t>
  </si>
  <si>
    <t>T053308</t>
  </si>
  <si>
    <t>I00092</t>
  </si>
  <si>
    <t>S00289</t>
  </si>
  <si>
    <t>C000553</t>
  </si>
  <si>
    <t>T078183</t>
  </si>
  <si>
    <t>I00223</t>
  </si>
  <si>
    <t>S00551</t>
  </si>
  <si>
    <t>C008077</t>
  </si>
  <si>
    <t>T023535</t>
  </si>
  <si>
    <t>S00495</t>
  </si>
  <si>
    <t>C005936</t>
  </si>
  <si>
    <t>T057062</t>
  </si>
  <si>
    <t>I00048</t>
  </si>
  <si>
    <t>S00429</t>
  </si>
  <si>
    <t>C000180</t>
  </si>
  <si>
    <t>T033556</t>
  </si>
  <si>
    <t>I00083</t>
  </si>
  <si>
    <t>S00159</t>
  </si>
  <si>
    <t>C001090</t>
  </si>
  <si>
    <t>T059539</t>
  </si>
  <si>
    <t>I00250</t>
  </si>
  <si>
    <t>S00133</t>
  </si>
  <si>
    <t>C006813</t>
  </si>
  <si>
    <t>T067589</t>
  </si>
  <si>
    <t>S00705</t>
  </si>
  <si>
    <t>C007874</t>
  </si>
  <si>
    <t>T096180</t>
  </si>
  <si>
    <t>I00084</t>
  </si>
  <si>
    <t>S00703</t>
  </si>
  <si>
    <t>C007479</t>
  </si>
  <si>
    <t>T054398</t>
  </si>
  <si>
    <t>I00096</t>
  </si>
  <si>
    <t>S00530</t>
  </si>
  <si>
    <t>C005106</t>
  </si>
  <si>
    <t>T046729</t>
  </si>
  <si>
    <t>S00447</t>
  </si>
  <si>
    <t>C007116</t>
  </si>
  <si>
    <t>T07168</t>
  </si>
  <si>
    <t>I00255</t>
  </si>
  <si>
    <t>S00414</t>
  </si>
  <si>
    <t>C003706</t>
  </si>
  <si>
    <t>T022229</t>
  </si>
  <si>
    <t>I00219</t>
  </si>
  <si>
    <t>S00440</t>
  </si>
  <si>
    <t>C004751</t>
  </si>
  <si>
    <t>T060647</t>
  </si>
  <si>
    <t>I00238</t>
  </si>
  <si>
    <t>C002036</t>
  </si>
  <si>
    <t>T046246</t>
  </si>
  <si>
    <t>I00221</t>
  </si>
  <si>
    <t>C004365</t>
  </si>
  <si>
    <t>T097325</t>
  </si>
  <si>
    <t>I00150</t>
  </si>
  <si>
    <t>S00505</t>
  </si>
  <si>
    <t>C004483</t>
  </si>
  <si>
    <t>T01568</t>
  </si>
  <si>
    <t>I00180</t>
  </si>
  <si>
    <t>S00545</t>
  </si>
  <si>
    <t>C001600</t>
  </si>
  <si>
    <t>T073347</t>
  </si>
  <si>
    <t>I00102</t>
  </si>
  <si>
    <t>S00469</t>
  </si>
  <si>
    <t>C006222</t>
  </si>
  <si>
    <t>T035980</t>
  </si>
  <si>
    <t>I00063</t>
  </si>
  <si>
    <t>C006521</t>
  </si>
  <si>
    <t>T085091</t>
  </si>
  <si>
    <t>I00258</t>
  </si>
  <si>
    <t>S00239</t>
  </si>
  <si>
    <t>C000984</t>
  </si>
  <si>
    <t>T039667</t>
  </si>
  <si>
    <t>I00126</t>
  </si>
  <si>
    <t>S00252</t>
  </si>
  <si>
    <t>C003786</t>
  </si>
  <si>
    <t>T050797</t>
  </si>
  <si>
    <t>S00358</t>
  </si>
  <si>
    <t>C006609</t>
  </si>
  <si>
    <t>T094332</t>
  </si>
  <si>
    <t>C003761</t>
  </si>
  <si>
    <t>T069778</t>
  </si>
  <si>
    <t>I00193</t>
  </si>
  <si>
    <t>S0014</t>
  </si>
  <si>
    <t>C000356</t>
  </si>
  <si>
    <t>T022453</t>
  </si>
  <si>
    <t>I00198</t>
  </si>
  <si>
    <t>C004585</t>
  </si>
  <si>
    <t>T018609</t>
  </si>
  <si>
    <t>I00006</t>
  </si>
  <si>
    <t>C000309</t>
  </si>
  <si>
    <t>T037201</t>
  </si>
  <si>
    <t>C000696</t>
  </si>
  <si>
    <t>T032934</t>
  </si>
  <si>
    <t>I00134</t>
  </si>
  <si>
    <t>S00275</t>
  </si>
  <si>
    <t>C005792</t>
  </si>
  <si>
    <t>T089252</t>
  </si>
  <si>
    <t>C008240</t>
  </si>
  <si>
    <t>T069978</t>
  </si>
  <si>
    <t>S00621</t>
  </si>
  <si>
    <t>C006506</t>
  </si>
  <si>
    <t>T016439</t>
  </si>
  <si>
    <t>S00507</t>
  </si>
  <si>
    <t>C008485</t>
  </si>
  <si>
    <t>T050211</t>
  </si>
  <si>
    <t>I00169</t>
  </si>
  <si>
    <t>S00433</t>
  </si>
  <si>
    <t>C001377</t>
  </si>
  <si>
    <t>T090005</t>
  </si>
  <si>
    <t>I00253</t>
  </si>
  <si>
    <t>C001951</t>
  </si>
  <si>
    <t>T03982</t>
  </si>
  <si>
    <t>C000468</t>
  </si>
  <si>
    <t>T027342</t>
  </si>
  <si>
    <t>I00042</t>
  </si>
  <si>
    <t>C008169</t>
  </si>
  <si>
    <t>T027854</t>
  </si>
  <si>
    <t>S00434</t>
  </si>
  <si>
    <t>C003589</t>
  </si>
  <si>
    <t>T095881</t>
  </si>
  <si>
    <t>I00043</t>
  </si>
  <si>
    <t>S00306</t>
  </si>
  <si>
    <t>C004255</t>
  </si>
  <si>
    <t>T092822</t>
  </si>
  <si>
    <t>C000265</t>
  </si>
  <si>
    <t>T092821</t>
  </si>
  <si>
    <t>I00242</t>
  </si>
  <si>
    <t>S00274</t>
  </si>
  <si>
    <t>C000475</t>
  </si>
  <si>
    <t>T099595</t>
  </si>
  <si>
    <t>S00300</t>
  </si>
  <si>
    <t>C006453</t>
  </si>
  <si>
    <t>T093060</t>
  </si>
  <si>
    <t>I00245</t>
  </si>
  <si>
    <t>S0087</t>
  </si>
  <si>
    <t>C004605</t>
  </si>
  <si>
    <t>T065030</t>
  </si>
  <si>
    <t>C004081</t>
  </si>
  <si>
    <t>T097295</t>
  </si>
  <si>
    <t>S0051</t>
  </si>
  <si>
    <t>C002750</t>
  </si>
  <si>
    <t>T068178</t>
  </si>
  <si>
    <t>I00074</t>
  </si>
  <si>
    <t>S00615</t>
  </si>
  <si>
    <t>C004401</t>
  </si>
  <si>
    <t>T085077</t>
  </si>
  <si>
    <t>I00227</t>
  </si>
  <si>
    <t>S00426</t>
  </si>
  <si>
    <t>T020322</t>
  </si>
  <si>
    <t>C002110</t>
  </si>
  <si>
    <t>T017049</t>
  </si>
  <si>
    <t>C007170</t>
  </si>
  <si>
    <t>T062404</t>
  </si>
  <si>
    <t>I00241</t>
  </si>
  <si>
    <t>S00322</t>
  </si>
  <si>
    <t>C001647</t>
  </si>
  <si>
    <t>T059671</t>
  </si>
  <si>
    <t>S00342</t>
  </si>
  <si>
    <t>T063522</t>
  </si>
  <si>
    <t>I00232</t>
  </si>
  <si>
    <t>S0042</t>
  </si>
  <si>
    <t>C009085</t>
  </si>
  <si>
    <t>T077489</t>
  </si>
  <si>
    <t>S00467</t>
  </si>
  <si>
    <t>C003950</t>
  </si>
  <si>
    <t>T089335</t>
  </si>
  <si>
    <t>C007980</t>
  </si>
  <si>
    <t>T022421</t>
  </si>
  <si>
    <t>I00024</t>
  </si>
  <si>
    <t>S00677</t>
  </si>
  <si>
    <t>C005512</t>
  </si>
  <si>
    <t>T072405</t>
  </si>
  <si>
    <t>S00127</t>
  </si>
  <si>
    <t>C005690</t>
  </si>
  <si>
    <t>T04866</t>
  </si>
  <si>
    <t>S00461</t>
  </si>
  <si>
    <t>C005423</t>
  </si>
  <si>
    <t>T081628</t>
  </si>
  <si>
    <t>S00205</t>
  </si>
  <si>
    <t>C007461</t>
  </si>
  <si>
    <t>T016602</t>
  </si>
  <si>
    <t>S00178</t>
  </si>
  <si>
    <t>C005548</t>
  </si>
  <si>
    <t>T057813</t>
  </si>
  <si>
    <t>I00101</t>
  </si>
  <si>
    <t>S00357</t>
  </si>
  <si>
    <t>C009187</t>
  </si>
  <si>
    <t>T080308</t>
  </si>
  <si>
    <t>S00394</t>
  </si>
  <si>
    <t>C007335</t>
  </si>
  <si>
    <t>T051185</t>
  </si>
  <si>
    <t>C002760</t>
  </si>
  <si>
    <t>T084238</t>
  </si>
  <si>
    <t>C006111</t>
  </si>
  <si>
    <t>T05728</t>
  </si>
  <si>
    <t>S00377</t>
  </si>
  <si>
    <t>C000827</t>
  </si>
  <si>
    <t>T075378</t>
  </si>
  <si>
    <t>S00648</t>
  </si>
  <si>
    <t>C000247</t>
  </si>
  <si>
    <t>T019329</t>
  </si>
  <si>
    <t>C005046</t>
  </si>
  <si>
    <t>T033517</t>
  </si>
  <si>
    <t>S00662</t>
  </si>
  <si>
    <t>C005367</t>
  </si>
  <si>
    <t>T013761</t>
  </si>
  <si>
    <t>I00171</t>
  </si>
  <si>
    <t>S00243</t>
  </si>
  <si>
    <t>P007</t>
  </si>
  <si>
    <t>C007465</t>
  </si>
  <si>
    <t>T054055</t>
  </si>
  <si>
    <t>I00035</t>
  </si>
  <si>
    <t>S00474</t>
  </si>
  <si>
    <t>C004321</t>
  </si>
  <si>
    <t>T038449</t>
  </si>
  <si>
    <t>S00288</t>
  </si>
  <si>
    <t>C008394</t>
  </si>
  <si>
    <t>T013267</t>
  </si>
  <si>
    <t>I00029</t>
  </si>
  <si>
    <t>S00242</t>
  </si>
  <si>
    <t>C004333</t>
  </si>
  <si>
    <t>T087002</t>
  </si>
  <si>
    <t>I00136</t>
  </si>
  <si>
    <t>S00347</t>
  </si>
  <si>
    <t>C008928</t>
  </si>
  <si>
    <t>T080527</t>
  </si>
  <si>
    <t>S00450</t>
  </si>
  <si>
    <t>C008992</t>
  </si>
  <si>
    <t>T099538</t>
  </si>
  <si>
    <t>S0055</t>
  </si>
  <si>
    <t>C008381</t>
  </si>
  <si>
    <t>T068587</t>
  </si>
  <si>
    <t>S00543</t>
  </si>
  <si>
    <t>C005131</t>
  </si>
  <si>
    <t>T099005</t>
  </si>
  <si>
    <t>C006179</t>
  </si>
  <si>
    <t>T074779</t>
  </si>
  <si>
    <t>S00544</t>
  </si>
  <si>
    <t>C005302</t>
  </si>
  <si>
    <t>T049751</t>
  </si>
  <si>
    <t>T086204</t>
  </si>
  <si>
    <t>C007110</t>
  </si>
  <si>
    <t>T021185</t>
  </si>
  <si>
    <t>I00170</t>
  </si>
  <si>
    <t>S00473</t>
  </si>
  <si>
    <t>C006397</t>
  </si>
  <si>
    <t>T020301</t>
  </si>
  <si>
    <t>I00181</t>
  </si>
  <si>
    <t>C001432</t>
  </si>
  <si>
    <t>T026282</t>
  </si>
  <si>
    <t>I00140</t>
  </si>
  <si>
    <t>S00177</t>
  </si>
  <si>
    <t>C000360</t>
  </si>
  <si>
    <t>T03072</t>
  </si>
  <si>
    <t>I00020</t>
  </si>
  <si>
    <t>S00367</t>
  </si>
  <si>
    <t>C002796</t>
  </si>
  <si>
    <t>T068914</t>
  </si>
  <si>
    <t>I00166</t>
  </si>
  <si>
    <t>S00624</t>
  </si>
  <si>
    <t>C005519</t>
  </si>
  <si>
    <t>T050958</t>
  </si>
  <si>
    <t>I00167</t>
  </si>
  <si>
    <t>S00549</t>
  </si>
  <si>
    <t>C003460</t>
  </si>
  <si>
    <t>T025941</t>
  </si>
  <si>
    <t>S0034</t>
  </si>
  <si>
    <t>C005672</t>
  </si>
  <si>
    <t>T044432</t>
  </si>
  <si>
    <t>S00248</t>
  </si>
  <si>
    <t>C007281</t>
  </si>
  <si>
    <t>T083858</t>
  </si>
  <si>
    <t>I00257</t>
  </si>
  <si>
    <t>S00451</t>
  </si>
  <si>
    <t>C008944</t>
  </si>
  <si>
    <t>T07376</t>
  </si>
  <si>
    <t>C007426</t>
  </si>
  <si>
    <t>T045335</t>
  </si>
  <si>
    <t>C004033</t>
  </si>
  <si>
    <t>T068656</t>
  </si>
  <si>
    <t>S00515</t>
  </si>
  <si>
    <t>C007308</t>
  </si>
  <si>
    <t>T065074</t>
  </si>
  <si>
    <t>C008308</t>
  </si>
  <si>
    <t>T027450</t>
  </si>
  <si>
    <t>S00214</t>
  </si>
  <si>
    <t>C000369</t>
  </si>
  <si>
    <t>T038151</t>
  </si>
  <si>
    <t>I00094</t>
  </si>
  <si>
    <t>S00148</t>
  </si>
  <si>
    <t>C002064</t>
  </si>
  <si>
    <t>T010382</t>
  </si>
  <si>
    <t>C007492</t>
  </si>
  <si>
    <t>T037984</t>
  </si>
  <si>
    <t>I00034</t>
  </si>
  <si>
    <t>C000758</t>
  </si>
  <si>
    <t>T027289</t>
  </si>
  <si>
    <t>I00233</t>
  </si>
  <si>
    <t>S0002</t>
  </si>
  <si>
    <t>C004895</t>
  </si>
  <si>
    <t>T071088</t>
  </si>
  <si>
    <t>I00009</t>
  </si>
  <si>
    <t>S00501</t>
  </si>
  <si>
    <t>C006846</t>
  </si>
  <si>
    <t>T00278</t>
  </si>
  <si>
    <t>I00235</t>
  </si>
  <si>
    <t>S00479</t>
  </si>
  <si>
    <t>C007703</t>
  </si>
  <si>
    <t>T028363</t>
  </si>
  <si>
    <t>I00252</t>
  </si>
  <si>
    <t>T043743</t>
  </si>
  <si>
    <t>I00041</t>
  </si>
  <si>
    <t>S00283</t>
  </si>
  <si>
    <t>C001545</t>
  </si>
  <si>
    <t>T038381</t>
  </si>
  <si>
    <t>C006072</t>
  </si>
  <si>
    <t>T085298</t>
  </si>
  <si>
    <t>S00276</t>
  </si>
  <si>
    <t>C007037</t>
  </si>
  <si>
    <t>T026396</t>
  </si>
  <si>
    <t>I00110</t>
  </si>
  <si>
    <t>S00221</t>
  </si>
  <si>
    <t>C005164</t>
  </si>
  <si>
    <t>T082585</t>
  </si>
  <si>
    <t>I00036</t>
  </si>
  <si>
    <t>C001344</t>
  </si>
  <si>
    <t>T051293</t>
  </si>
  <si>
    <t>C004922</t>
  </si>
  <si>
    <t>T064798</t>
  </si>
  <si>
    <t>S00111</t>
  </si>
  <si>
    <t>C001275</t>
  </si>
  <si>
    <t>T032532</t>
  </si>
  <si>
    <t>C003776</t>
  </si>
  <si>
    <t>T082823</t>
  </si>
  <si>
    <t>C000793</t>
  </si>
  <si>
    <t>T061423</t>
  </si>
  <si>
    <t>S00215</t>
  </si>
  <si>
    <t>C007650</t>
  </si>
  <si>
    <t>T036396</t>
  </si>
  <si>
    <t>C001380</t>
  </si>
  <si>
    <t>T022770</t>
  </si>
  <si>
    <t>S00336</t>
  </si>
  <si>
    <t>C007918</t>
  </si>
  <si>
    <t>T089048</t>
  </si>
  <si>
    <t>S00646</t>
  </si>
  <si>
    <t>C007540</t>
  </si>
  <si>
    <t>T067515</t>
  </si>
  <si>
    <t>S00259</t>
  </si>
  <si>
    <t>C002403</t>
  </si>
  <si>
    <t>T035707</t>
  </si>
  <si>
    <t>I00128</t>
  </si>
  <si>
    <t>S0059</t>
  </si>
  <si>
    <t>C008334</t>
  </si>
  <si>
    <t>T03819</t>
  </si>
  <si>
    <t>S00721</t>
  </si>
  <si>
    <t>C004994</t>
  </si>
  <si>
    <t>T077509</t>
  </si>
  <si>
    <t>S00238</t>
  </si>
  <si>
    <t>C004062</t>
  </si>
  <si>
    <t>T051773</t>
  </si>
  <si>
    <t>I00089</t>
  </si>
  <si>
    <t>S0084</t>
  </si>
  <si>
    <t>C008732</t>
  </si>
  <si>
    <t>T072207</t>
  </si>
  <si>
    <t>S00659</t>
  </si>
  <si>
    <t>C004010</t>
  </si>
  <si>
    <t>T015895</t>
  </si>
  <si>
    <t>I00194</t>
  </si>
  <si>
    <t>S00649</t>
  </si>
  <si>
    <t>bars</t>
  </si>
  <si>
    <t>C003404</t>
  </si>
  <si>
    <t>T087793</t>
  </si>
  <si>
    <t>S0015</t>
  </si>
  <si>
    <t>C008558</t>
  </si>
  <si>
    <t>T024637</t>
  </si>
  <si>
    <t>S00559</t>
  </si>
  <si>
    <t>C004462</t>
  </si>
  <si>
    <t>T07750</t>
  </si>
  <si>
    <t>I00014</t>
  </si>
  <si>
    <t>S0063</t>
  </si>
  <si>
    <t>C003760</t>
  </si>
  <si>
    <t>T037494</t>
  </si>
  <si>
    <t>S00126</t>
  </si>
  <si>
    <t>C002286</t>
  </si>
  <si>
    <t>T038418</t>
  </si>
  <si>
    <t>I00197</t>
  </si>
  <si>
    <t>S00295</t>
  </si>
  <si>
    <t>C007463</t>
  </si>
  <si>
    <t>T00022</t>
  </si>
  <si>
    <t>S00296</t>
  </si>
  <si>
    <t>C005848</t>
  </si>
  <si>
    <t>T087749</t>
  </si>
  <si>
    <t>S00399</t>
  </si>
  <si>
    <t>C003816</t>
  </si>
  <si>
    <t>T049774</t>
  </si>
  <si>
    <t>I00067</t>
  </si>
  <si>
    <t>C005041</t>
  </si>
  <si>
    <t>T040305</t>
  </si>
  <si>
    <t>I00231</t>
  </si>
  <si>
    <t>S00256</t>
  </si>
  <si>
    <t>C005839</t>
  </si>
  <si>
    <t>T085441</t>
  </si>
  <si>
    <t>C007131</t>
  </si>
  <si>
    <t>T084462</t>
  </si>
  <si>
    <t>I00025</t>
  </si>
  <si>
    <t>S00592</t>
  </si>
  <si>
    <t>C003607</t>
  </si>
  <si>
    <t>T066510</t>
  </si>
  <si>
    <t>S00325</t>
  </si>
  <si>
    <t>C004715</t>
  </si>
  <si>
    <t>T016438</t>
  </si>
  <si>
    <t>S0066</t>
  </si>
  <si>
    <t>C005378</t>
  </si>
  <si>
    <t>T090427</t>
  </si>
  <si>
    <t>I00159</t>
  </si>
  <si>
    <t>C003119</t>
  </si>
  <si>
    <t>T023962</t>
  </si>
  <si>
    <t>I00116</t>
  </si>
  <si>
    <t>S00373</t>
  </si>
  <si>
    <t>C009156</t>
  </si>
  <si>
    <t>T033041</t>
  </si>
  <si>
    <t>I00184</t>
  </si>
  <si>
    <t>C005784</t>
  </si>
  <si>
    <t>T056628</t>
  </si>
  <si>
    <t>I00244</t>
  </si>
  <si>
    <t>S00269</t>
  </si>
  <si>
    <t>C004410</t>
  </si>
  <si>
    <t>T051656</t>
  </si>
  <si>
    <t>I00201</t>
  </si>
  <si>
    <t>S00663</t>
  </si>
  <si>
    <t>C007610</t>
  </si>
  <si>
    <t>T078656</t>
  </si>
  <si>
    <t>I00115</t>
  </si>
  <si>
    <t>C002237</t>
  </si>
  <si>
    <t>T010822</t>
  </si>
  <si>
    <t>C009152</t>
  </si>
  <si>
    <t>T097386</t>
  </si>
  <si>
    <t>S00298</t>
  </si>
  <si>
    <t>C007931</t>
  </si>
  <si>
    <t>T010481</t>
  </si>
  <si>
    <t>I00225</t>
  </si>
  <si>
    <t>S00384</t>
  </si>
  <si>
    <t>C007309</t>
  </si>
  <si>
    <t>T059228</t>
  </si>
  <si>
    <t>I00145</t>
  </si>
  <si>
    <t>C003306</t>
  </si>
  <si>
    <t>T064295</t>
  </si>
  <si>
    <t>S00330</t>
  </si>
  <si>
    <t>C000036</t>
  </si>
  <si>
    <t>T049297</t>
  </si>
  <si>
    <t>C008766</t>
  </si>
  <si>
    <t>T03464</t>
  </si>
  <si>
    <t>S00548</t>
  </si>
  <si>
    <t>C008798</t>
  </si>
  <si>
    <t>T060606</t>
  </si>
  <si>
    <t>I00127</t>
  </si>
  <si>
    <t>S00465</t>
  </si>
  <si>
    <t>C006415</t>
  </si>
  <si>
    <t>T057106</t>
  </si>
  <si>
    <t>I00046</t>
  </si>
  <si>
    <t>C007020</t>
  </si>
  <si>
    <t>T052720</t>
  </si>
  <si>
    <t>I00160</t>
  </si>
  <si>
    <t>S00569</t>
  </si>
  <si>
    <t>C002621</t>
  </si>
  <si>
    <t>T045675</t>
  </si>
  <si>
    <t>C004197</t>
  </si>
  <si>
    <t>T073428</t>
  </si>
  <si>
    <t>C006096</t>
  </si>
  <si>
    <t>T058615</t>
  </si>
  <si>
    <t>I00196</t>
  </si>
  <si>
    <t>S00103</t>
  </si>
  <si>
    <t>C004580</t>
  </si>
  <si>
    <t>T076089</t>
  </si>
  <si>
    <t>C007301</t>
  </si>
  <si>
    <t>T019203</t>
  </si>
  <si>
    <t>S00314</t>
  </si>
  <si>
    <t>C006052</t>
  </si>
  <si>
    <t>T045970</t>
  </si>
  <si>
    <t>S0003</t>
  </si>
  <si>
    <t>C003931</t>
  </si>
  <si>
    <t>T017404</t>
  </si>
  <si>
    <t>C008489</t>
  </si>
  <si>
    <t>T051421</t>
  </si>
  <si>
    <t>I00251</t>
  </si>
  <si>
    <t>S00651</t>
  </si>
  <si>
    <t>C002433</t>
  </si>
  <si>
    <t>T040412</t>
  </si>
  <si>
    <t>I00185</t>
  </si>
  <si>
    <t>C006369</t>
  </si>
  <si>
    <t>T010129</t>
  </si>
  <si>
    <t>C007357</t>
  </si>
  <si>
    <t>T010911</t>
  </si>
  <si>
    <t>S0092</t>
  </si>
  <si>
    <t>T078894</t>
  </si>
  <si>
    <t>C000104</t>
  </si>
  <si>
    <t>T093684</t>
  </si>
  <si>
    <t>C003452</t>
  </si>
  <si>
    <t>T061273</t>
  </si>
  <si>
    <t>S0091</t>
  </si>
  <si>
    <t>C007030</t>
  </si>
  <si>
    <t>T096751</t>
  </si>
  <si>
    <t>I00005</t>
  </si>
  <si>
    <t>S00599</t>
  </si>
  <si>
    <t>C008553</t>
  </si>
  <si>
    <t>T021130</t>
  </si>
  <si>
    <t>S00654</t>
  </si>
  <si>
    <t>C009164</t>
  </si>
  <si>
    <t>T065710</t>
  </si>
  <si>
    <t>I00059</t>
  </si>
  <si>
    <t>S00498</t>
  </si>
  <si>
    <t>C002790</t>
  </si>
  <si>
    <t>T076789</t>
  </si>
  <si>
    <t>I00030</t>
  </si>
  <si>
    <t>C000679</t>
  </si>
  <si>
    <t>T047699</t>
  </si>
  <si>
    <t>S00586</t>
  </si>
  <si>
    <t>C003455</t>
  </si>
  <si>
    <t>T078842</t>
  </si>
  <si>
    <t>I00038</t>
  </si>
  <si>
    <t>C000196</t>
  </si>
  <si>
    <t>T070229</t>
  </si>
  <si>
    <t>S00368</t>
  </si>
  <si>
    <t>C007134</t>
  </si>
  <si>
    <t>T092666</t>
  </si>
  <si>
    <t>S00402</t>
  </si>
  <si>
    <t>C000005</t>
  </si>
  <si>
    <t>T016851</t>
  </si>
  <si>
    <t>I00105</t>
  </si>
  <si>
    <t>S00360</t>
  </si>
  <si>
    <t>C007681</t>
  </si>
  <si>
    <t>T064686</t>
  </si>
  <si>
    <t>S00245</t>
  </si>
  <si>
    <t>C004646</t>
  </si>
  <si>
    <t>T023553</t>
  </si>
  <si>
    <t>I00162</t>
  </si>
  <si>
    <t>S00180</t>
  </si>
  <si>
    <t>Bags</t>
  </si>
  <si>
    <t>C003506</t>
  </si>
  <si>
    <t>T093723</t>
  </si>
  <si>
    <t>S00122</t>
  </si>
  <si>
    <t>C003635</t>
  </si>
  <si>
    <t>T018877</t>
  </si>
  <si>
    <t>S00494</t>
  </si>
  <si>
    <t>C004565</t>
  </si>
  <si>
    <t>T055051</t>
  </si>
  <si>
    <t>I00124</t>
  </si>
  <si>
    <t>S00393</t>
  </si>
  <si>
    <t>C000111</t>
  </si>
  <si>
    <t>T076327</t>
  </si>
  <si>
    <t>S00162</t>
  </si>
  <si>
    <t>C005112</t>
  </si>
  <si>
    <t>T00836</t>
  </si>
  <si>
    <t>S00633</t>
  </si>
  <si>
    <t>C004541</t>
  </si>
  <si>
    <t>T039796</t>
  </si>
  <si>
    <t>S00719</t>
  </si>
  <si>
    <t>T016001</t>
  </si>
  <si>
    <t>C008249</t>
  </si>
  <si>
    <t>T092806</t>
  </si>
  <si>
    <t>C007549</t>
  </si>
  <si>
    <t>T093438</t>
  </si>
  <si>
    <t>S00593</t>
  </si>
  <si>
    <t>C005685</t>
  </si>
  <si>
    <t>T05277</t>
  </si>
  <si>
    <t>S00247</t>
  </si>
  <si>
    <t>C001656</t>
  </si>
  <si>
    <t>T085875</t>
  </si>
  <si>
    <t>S00695</t>
  </si>
  <si>
    <t>C003956</t>
  </si>
  <si>
    <t>T014090</t>
  </si>
  <si>
    <t>S00610</t>
  </si>
  <si>
    <t>C003913</t>
  </si>
  <si>
    <t>T070720</t>
  </si>
  <si>
    <t>S00146</t>
  </si>
  <si>
    <t>C000236</t>
  </si>
  <si>
    <t>T08358</t>
  </si>
  <si>
    <t>I00239</t>
  </si>
  <si>
    <t>S00374</t>
  </si>
  <si>
    <t>C001625</t>
  </si>
  <si>
    <t>T083023</t>
  </si>
  <si>
    <t>C008610</t>
  </si>
  <si>
    <t>T095386</t>
  </si>
  <si>
    <t>C001357</t>
  </si>
  <si>
    <t>T036196</t>
  </si>
  <si>
    <t>S00412</t>
  </si>
  <si>
    <t>C001865</t>
  </si>
  <si>
    <t>T070372</t>
  </si>
  <si>
    <t>C002961</t>
  </si>
  <si>
    <t>T09001</t>
  </si>
  <si>
    <t>S00106</t>
  </si>
  <si>
    <t>C003323</t>
  </si>
  <si>
    <t>T083040</t>
  </si>
  <si>
    <t>S0017</t>
  </si>
  <si>
    <t>C008344</t>
  </si>
  <si>
    <t>T050991</t>
  </si>
  <si>
    <t>S00137</t>
  </si>
  <si>
    <t>T058240</t>
  </si>
  <si>
    <t>I00172</t>
  </si>
  <si>
    <t>C005023</t>
  </si>
  <si>
    <t>T015790</t>
  </si>
  <si>
    <t>S00688</t>
  </si>
  <si>
    <t>C003555</t>
  </si>
  <si>
    <t>T018787</t>
  </si>
  <si>
    <t>I00164</t>
  </si>
  <si>
    <t>S00279</t>
  </si>
  <si>
    <t>C006578</t>
  </si>
  <si>
    <t>T094169</t>
  </si>
  <si>
    <t>I00141</t>
  </si>
  <si>
    <t>S00512</t>
  </si>
  <si>
    <t>C002672</t>
  </si>
  <si>
    <t>T033654</t>
  </si>
  <si>
    <t>S00371</t>
  </si>
  <si>
    <t>C006701</t>
  </si>
  <si>
    <t>T078795</t>
  </si>
  <si>
    <t>S00493</t>
  </si>
  <si>
    <t>C005152</t>
  </si>
  <si>
    <t>T098111</t>
  </si>
  <si>
    <t>C001720</t>
  </si>
  <si>
    <t>T055754</t>
  </si>
  <si>
    <t>S0085</t>
  </si>
  <si>
    <t>C006757</t>
  </si>
  <si>
    <t>T041781</t>
  </si>
  <si>
    <t>S00392</t>
  </si>
  <si>
    <t>C004274</t>
  </si>
  <si>
    <t>T073065</t>
  </si>
  <si>
    <t>S00309</t>
  </si>
  <si>
    <t>C000869</t>
  </si>
  <si>
    <t>T024299</t>
  </si>
  <si>
    <t>S00634</t>
  </si>
  <si>
    <t>C007319</t>
  </si>
  <si>
    <t>T011112</t>
  </si>
  <si>
    <t>I00013</t>
  </si>
  <si>
    <t>S00272</t>
  </si>
  <si>
    <t>C008171</t>
  </si>
  <si>
    <t>T080676</t>
  </si>
  <si>
    <t>I00114</t>
  </si>
  <si>
    <t>C001278</t>
  </si>
  <si>
    <t>T063772</t>
  </si>
  <si>
    <t>S00128</t>
  </si>
  <si>
    <t>C007272</t>
  </si>
  <si>
    <t>T031469</t>
  </si>
  <si>
    <t>I00142</t>
  </si>
  <si>
    <t>S00344</t>
  </si>
  <si>
    <t>C000821</t>
  </si>
  <si>
    <t>T033931</t>
  </si>
  <si>
    <t>I00104</t>
  </si>
  <si>
    <t>C001332</t>
  </si>
  <si>
    <t>T05979</t>
  </si>
  <si>
    <t>S00431</t>
  </si>
  <si>
    <t>C003410</t>
  </si>
  <si>
    <t>T044675</t>
  </si>
  <si>
    <t>S00188</t>
  </si>
  <si>
    <t>C005453</t>
  </si>
  <si>
    <t>T090694</t>
  </si>
  <si>
    <t>S00546</t>
  </si>
  <si>
    <t>C004840</t>
  </si>
  <si>
    <t>T071290</t>
  </si>
  <si>
    <t>S0075</t>
  </si>
  <si>
    <t>C000308</t>
  </si>
  <si>
    <t>T019349</t>
  </si>
  <si>
    <t>I00015</t>
  </si>
  <si>
    <t>S00532</t>
  </si>
  <si>
    <t>C006171</t>
  </si>
  <si>
    <t>T038745</t>
  </si>
  <si>
    <t>S00351</t>
  </si>
  <si>
    <t>C000624</t>
  </si>
  <si>
    <t>T013797</t>
  </si>
  <si>
    <t>S00184</t>
  </si>
  <si>
    <t>C001232</t>
  </si>
  <si>
    <t>T027823</t>
  </si>
  <si>
    <t>C006164</t>
  </si>
  <si>
    <t>T089465</t>
  </si>
  <si>
    <t>S00121</t>
  </si>
  <si>
    <t>C007612</t>
  </si>
  <si>
    <t>T062563</t>
  </si>
  <si>
    <t>S00708</t>
  </si>
  <si>
    <t>C008768</t>
  </si>
  <si>
    <t>T042661</t>
  </si>
  <si>
    <t>C006811</t>
  </si>
  <si>
    <t>T059551</t>
  </si>
  <si>
    <t>I00062</t>
  </si>
  <si>
    <t>S00230</t>
  </si>
  <si>
    <t>C003139</t>
  </si>
  <si>
    <t>T057738</t>
  </si>
  <si>
    <t>C007079</t>
  </si>
  <si>
    <t>T091659</t>
  </si>
  <si>
    <t>C004632</t>
  </si>
  <si>
    <t>T046946</t>
  </si>
  <si>
    <t>S00684</t>
  </si>
  <si>
    <t>C007752</t>
  </si>
  <si>
    <t>T05232</t>
  </si>
  <si>
    <t>I00259</t>
  </si>
  <si>
    <t>C001501</t>
  </si>
  <si>
    <t>T074523</t>
  </si>
  <si>
    <t>S00109</t>
  </si>
  <si>
    <t>C000339</t>
  </si>
  <si>
    <t>T089384</t>
  </si>
  <si>
    <t>S00611</t>
  </si>
  <si>
    <t>C005675</t>
  </si>
  <si>
    <t>T080151</t>
  </si>
  <si>
    <t>I00202</t>
  </si>
  <si>
    <t>S00223</t>
  </si>
  <si>
    <t>C005584</t>
  </si>
  <si>
    <t>T068963</t>
  </si>
  <si>
    <t>C007097</t>
  </si>
  <si>
    <t>T034021</t>
  </si>
  <si>
    <t>I00052</t>
  </si>
  <si>
    <t>C001350</t>
  </si>
  <si>
    <t>T050819</t>
  </si>
  <si>
    <t>C008892</t>
  </si>
  <si>
    <t>T056778</t>
  </si>
  <si>
    <t>S00401</t>
  </si>
  <si>
    <t>C003035</t>
  </si>
  <si>
    <t>T089712</t>
  </si>
  <si>
    <t>I00085</t>
  </si>
  <si>
    <t>C005881</t>
  </si>
  <si>
    <t>T060602</t>
  </si>
  <si>
    <t>S00683</t>
  </si>
  <si>
    <t>C006570</t>
  </si>
  <si>
    <t>T060616</t>
  </si>
  <si>
    <t>C003225</t>
  </si>
  <si>
    <t>T037570</t>
  </si>
  <si>
    <t>S00579</t>
  </si>
  <si>
    <t>C008021</t>
  </si>
  <si>
    <t>T070924</t>
  </si>
  <si>
    <t>S00153</t>
  </si>
  <si>
    <t>C006300</t>
  </si>
  <si>
    <t>T057235</t>
  </si>
  <si>
    <t>C001717</t>
  </si>
  <si>
    <t>T035860</t>
  </si>
  <si>
    <t>C000909</t>
  </si>
  <si>
    <t>T05183</t>
  </si>
  <si>
    <t>I00224</t>
  </si>
  <si>
    <t>S00441</t>
  </si>
  <si>
    <t>C003203</t>
  </si>
  <si>
    <t>T014409</t>
  </si>
  <si>
    <t>S00506</t>
  </si>
  <si>
    <t>C002318</t>
  </si>
  <si>
    <t>T093603</t>
  </si>
  <si>
    <t>S00658</t>
  </si>
  <si>
    <t>C000423</t>
  </si>
  <si>
    <t>T099897</t>
  </si>
  <si>
    <t>C001844</t>
  </si>
  <si>
    <t>T043263</t>
  </si>
  <si>
    <t>I00086</t>
  </si>
  <si>
    <t>S0050</t>
  </si>
  <si>
    <t>C008487</t>
  </si>
  <si>
    <t>T028596</t>
  </si>
  <si>
    <t>C007961</t>
  </si>
  <si>
    <t>T099969</t>
  </si>
  <si>
    <t>T044024</t>
  </si>
  <si>
    <t>S00174</t>
  </si>
  <si>
    <t>C004087</t>
  </si>
  <si>
    <t>T04694</t>
  </si>
  <si>
    <t>S00249</t>
  </si>
  <si>
    <t>C007815</t>
  </si>
  <si>
    <t>T063974</t>
  </si>
  <si>
    <t>C000165</t>
  </si>
  <si>
    <t>T059210</t>
  </si>
  <si>
    <t>I00199</t>
  </si>
  <si>
    <t>S00609</t>
  </si>
  <si>
    <t>C002138</t>
  </si>
  <si>
    <t>T077435</t>
  </si>
  <si>
    <t>S00627</t>
  </si>
  <si>
    <t>C007964</t>
  </si>
  <si>
    <t>T092124</t>
  </si>
  <si>
    <t>S00186</t>
  </si>
  <si>
    <t>C005652</t>
  </si>
  <si>
    <t>T014293</t>
  </si>
  <si>
    <t>S00226</t>
  </si>
  <si>
    <t>C007805</t>
  </si>
  <si>
    <t>T015970</t>
  </si>
  <si>
    <t>C008188</t>
  </si>
  <si>
    <t>T023572</t>
  </si>
  <si>
    <t>S00182</t>
  </si>
  <si>
    <t>C004819</t>
  </si>
  <si>
    <t>T083826</t>
  </si>
  <si>
    <t>I00211</t>
  </si>
  <si>
    <t>S00491</t>
  </si>
  <si>
    <t>C008266</t>
  </si>
  <si>
    <t>T042534</t>
  </si>
  <si>
    <t>C000181</t>
  </si>
  <si>
    <t>T083454</t>
  </si>
  <si>
    <t>S00149</t>
  </si>
  <si>
    <t>C005720</t>
  </si>
  <si>
    <t>T038678</t>
  </si>
  <si>
    <t>C006639</t>
  </si>
  <si>
    <t>T053791</t>
  </si>
  <si>
    <t>I00100</t>
  </si>
  <si>
    <t>S00726</t>
  </si>
  <si>
    <t>oz.</t>
  </si>
  <si>
    <t>C002044</t>
  </si>
  <si>
    <t>T016705</t>
  </si>
  <si>
    <t>S00391</t>
  </si>
  <si>
    <t>C007497</t>
  </si>
  <si>
    <t>T039613</t>
  </si>
  <si>
    <t>I00206</t>
  </si>
  <si>
    <t>C005866</t>
  </si>
  <si>
    <t>T076443</t>
  </si>
  <si>
    <t>S00212</t>
  </si>
  <si>
    <t>C006396</t>
  </si>
  <si>
    <t>T066666</t>
  </si>
  <si>
    <t>C006382</t>
  </si>
  <si>
    <t>T079292</t>
  </si>
  <si>
    <t>I00203</t>
  </si>
  <si>
    <t>C005939</t>
  </si>
  <si>
    <t>T045801</t>
  </si>
  <si>
    <t>S00117</t>
  </si>
  <si>
    <t>C002336</t>
  </si>
  <si>
    <t>T074754</t>
  </si>
  <si>
    <t>S00316</t>
  </si>
  <si>
    <t>C000545</t>
  </si>
  <si>
    <t>T044786</t>
  </si>
  <si>
    <t>C000540</t>
  </si>
  <si>
    <t>T064584</t>
  </si>
  <si>
    <t>I00021</t>
  </si>
  <si>
    <t>C004909</t>
  </si>
  <si>
    <t>T046743</t>
  </si>
  <si>
    <t>S00645</t>
  </si>
  <si>
    <t>C002137</t>
  </si>
  <si>
    <t>T050144</t>
  </si>
  <si>
    <t>S00411</t>
  </si>
  <si>
    <t>C003582</t>
  </si>
  <si>
    <t>T026723</t>
  </si>
  <si>
    <t>S00388</t>
  </si>
  <si>
    <t>C004005</t>
  </si>
  <si>
    <t>T073073</t>
  </si>
  <si>
    <t>C003254</t>
  </si>
  <si>
    <t>T054713</t>
  </si>
  <si>
    <t>C000176</t>
  </si>
  <si>
    <t>T063831</t>
  </si>
  <si>
    <t>S00598</t>
  </si>
  <si>
    <t>C009190</t>
  </si>
  <si>
    <t>T022409</t>
  </si>
  <si>
    <t>C004741</t>
  </si>
  <si>
    <t>T060534</t>
  </si>
  <si>
    <t>I00149</t>
  </si>
  <si>
    <t>S00152</t>
  </si>
  <si>
    <t>C001457</t>
  </si>
  <si>
    <t>T030681</t>
  </si>
  <si>
    <t>S0028</t>
  </si>
  <si>
    <t>C007901</t>
  </si>
  <si>
    <t>T036938</t>
  </si>
  <si>
    <t>I00220</t>
  </si>
  <si>
    <t>C001816</t>
  </si>
  <si>
    <t>T080710</t>
  </si>
  <si>
    <t>S00203</t>
  </si>
  <si>
    <t>C000862</t>
  </si>
  <si>
    <t>T033422</t>
  </si>
  <si>
    <t>I00249</t>
  </si>
  <si>
    <t>S0057</t>
  </si>
  <si>
    <t>C007406</t>
  </si>
  <si>
    <t>T066381</t>
  </si>
  <si>
    <t>C006561</t>
  </si>
  <si>
    <t>T056485</t>
  </si>
  <si>
    <t>S00195</t>
  </si>
  <si>
    <t>C008661</t>
  </si>
  <si>
    <t>T045977</t>
  </si>
  <si>
    <t>S0023</t>
  </si>
  <si>
    <t>C000881</t>
  </si>
  <si>
    <t>T044604</t>
  </si>
  <si>
    <t>S0054</t>
  </si>
  <si>
    <t>C005058</t>
  </si>
  <si>
    <t>T067870</t>
  </si>
  <si>
    <t>S00397</t>
  </si>
  <si>
    <t>C005078</t>
  </si>
  <si>
    <t>T069039</t>
  </si>
  <si>
    <t>C006988</t>
  </si>
  <si>
    <t>T02631</t>
  </si>
  <si>
    <t>C005421</t>
  </si>
  <si>
    <t>T01302</t>
  </si>
  <si>
    <t>I00207</t>
  </si>
  <si>
    <t>S00286</t>
  </si>
  <si>
    <t>T050672</t>
  </si>
  <si>
    <t>S00277</t>
  </si>
  <si>
    <t>C000976</t>
  </si>
  <si>
    <t>T020286</t>
  </si>
  <si>
    <t>I00208</t>
  </si>
  <si>
    <t>S00173</t>
  </si>
  <si>
    <t>C003434</t>
  </si>
  <si>
    <t>T086899</t>
  </si>
  <si>
    <t>I00011</t>
  </si>
  <si>
    <t>C001653</t>
  </si>
  <si>
    <t>T053668</t>
  </si>
  <si>
    <t>I00158</t>
  </si>
  <si>
    <t>S00327</t>
  </si>
  <si>
    <t>C006996</t>
  </si>
  <si>
    <t>T099461</t>
  </si>
  <si>
    <t>I00026</t>
  </si>
  <si>
    <t>S00320</t>
  </si>
  <si>
    <t>C007063</t>
  </si>
  <si>
    <t>T090647</t>
  </si>
  <si>
    <t>I00154</t>
  </si>
  <si>
    <t>C002624</t>
  </si>
  <si>
    <t>T046497</t>
  </si>
  <si>
    <t>C001874</t>
  </si>
  <si>
    <t>T075988</t>
  </si>
  <si>
    <t>I00209</t>
  </si>
  <si>
    <t>S00585</t>
  </si>
  <si>
    <t>C002851</t>
  </si>
  <si>
    <t>T070760</t>
  </si>
  <si>
    <t>C003260</t>
  </si>
  <si>
    <t>T092522</t>
  </si>
  <si>
    <t>S00476</t>
  </si>
  <si>
    <t>C005786</t>
  </si>
  <si>
    <t>T061288</t>
  </si>
  <si>
    <t>C002958</t>
  </si>
  <si>
    <t>T023638</t>
  </si>
  <si>
    <t>S00561</t>
  </si>
  <si>
    <t>C000497</t>
  </si>
  <si>
    <t>T029875</t>
  </si>
  <si>
    <t>S00213</t>
  </si>
  <si>
    <t>C007103</t>
  </si>
  <si>
    <t>T036470</t>
  </si>
  <si>
    <t>C000856</t>
  </si>
  <si>
    <t>T050710</t>
  </si>
  <si>
    <t>S00674</t>
  </si>
  <si>
    <t>C003718</t>
  </si>
  <si>
    <t>T078623</t>
  </si>
  <si>
    <t>S00675</t>
  </si>
  <si>
    <t>C008555</t>
  </si>
  <si>
    <t>T09145</t>
  </si>
  <si>
    <t>S00655</t>
  </si>
  <si>
    <t>C004485</t>
  </si>
  <si>
    <t>T088660</t>
  </si>
  <si>
    <t>S00332</t>
  </si>
  <si>
    <t>C008345</t>
  </si>
  <si>
    <t>T042469</t>
  </si>
  <si>
    <t>S00525</t>
  </si>
  <si>
    <t>C008999</t>
  </si>
  <si>
    <t>T044369</t>
  </si>
  <si>
    <t>S00281</t>
  </si>
  <si>
    <t>C007101</t>
  </si>
  <si>
    <t>T077876</t>
  </si>
  <si>
    <t>C009113</t>
  </si>
  <si>
    <t>T090721</t>
  </si>
  <si>
    <t>C007343</t>
  </si>
  <si>
    <t>T053885</t>
  </si>
  <si>
    <t>I00217</t>
  </si>
  <si>
    <t>C005110</t>
  </si>
  <si>
    <t>T061665</t>
  </si>
  <si>
    <t>I00148</t>
  </si>
  <si>
    <t>C005222</t>
  </si>
  <si>
    <t>T063291</t>
  </si>
  <si>
    <t>I00234</t>
  </si>
  <si>
    <t>S00348</t>
  </si>
  <si>
    <t>C006733</t>
  </si>
  <si>
    <t>T044352</t>
  </si>
  <si>
    <t>I00178</t>
  </si>
  <si>
    <t>S00458</t>
  </si>
  <si>
    <t>C007105</t>
  </si>
  <si>
    <t>T085209</t>
  </si>
  <si>
    <t>S00682</t>
  </si>
  <si>
    <t>C008009</t>
  </si>
  <si>
    <t>T012056</t>
  </si>
  <si>
    <t>C006122</t>
  </si>
  <si>
    <t>T078365</t>
  </si>
  <si>
    <t>S0031</t>
  </si>
  <si>
    <t>C004477</t>
  </si>
  <si>
    <t>T084209</t>
  </si>
  <si>
    <t>C008910</t>
  </si>
  <si>
    <t>T030742</t>
  </si>
  <si>
    <t>C002244</t>
  </si>
  <si>
    <t>T077328</t>
  </si>
  <si>
    <t>S00432</t>
  </si>
  <si>
    <t>C004829</t>
  </si>
  <si>
    <t>T06630</t>
  </si>
  <si>
    <t>S00710</t>
  </si>
  <si>
    <t>C003519</t>
  </si>
  <si>
    <t>T071952</t>
  </si>
  <si>
    <t>I00214</t>
  </si>
  <si>
    <t>C003486</t>
  </si>
  <si>
    <t>T088152</t>
  </si>
  <si>
    <t>S00104</t>
  </si>
  <si>
    <t>C002238</t>
  </si>
  <si>
    <t>T028420</t>
  </si>
  <si>
    <t>C002905</t>
  </si>
  <si>
    <t>T049666</t>
  </si>
  <si>
    <t>S00415</t>
  </si>
  <si>
    <t>C000662</t>
  </si>
  <si>
    <t>T014946</t>
  </si>
  <si>
    <t>S00216</t>
  </si>
  <si>
    <t>C004563</t>
  </si>
  <si>
    <t>T089441</t>
  </si>
  <si>
    <t>C008136</t>
  </si>
  <si>
    <t>T048913</t>
  </si>
  <si>
    <t>I00190</t>
  </si>
  <si>
    <t>S00331</t>
  </si>
  <si>
    <t>C005345</t>
  </si>
  <si>
    <t>T046359</t>
  </si>
  <si>
    <t>I00117</t>
  </si>
  <si>
    <t>S00690</t>
  </si>
  <si>
    <t>C001581</t>
  </si>
  <si>
    <t>T01327</t>
  </si>
  <si>
    <t>C003430</t>
  </si>
  <si>
    <t>T048593</t>
  </si>
  <si>
    <t>I00139</t>
  </si>
  <si>
    <t>S00560</t>
  </si>
  <si>
    <t>C003069</t>
  </si>
  <si>
    <t>T054261</t>
  </si>
  <si>
    <t>S00722</t>
  </si>
  <si>
    <t>C005155</t>
  </si>
  <si>
    <t>T037158</t>
  </si>
  <si>
    <t>C001500</t>
  </si>
  <si>
    <t>T089177</t>
  </si>
  <si>
    <t>I00051</t>
  </si>
  <si>
    <t>C008667</t>
  </si>
  <si>
    <t>T050366</t>
  </si>
  <si>
    <t>I00002</t>
  </si>
  <si>
    <t>C006351</t>
  </si>
  <si>
    <t>T070393</t>
  </si>
  <si>
    <t>I00027</t>
  </si>
  <si>
    <t>S00419</t>
  </si>
  <si>
    <t>C004102</t>
  </si>
  <si>
    <t>T03121</t>
  </si>
  <si>
    <t>C007664</t>
  </si>
  <si>
    <t>T066869</t>
  </si>
  <si>
    <t>S00255</t>
  </si>
  <si>
    <t>C007293</t>
  </si>
  <si>
    <t>T072748</t>
  </si>
  <si>
    <t>C001095</t>
  </si>
  <si>
    <t>T083957</t>
  </si>
  <si>
    <t>I00039</t>
  </si>
  <si>
    <t>C004985</t>
  </si>
  <si>
    <t>T033333</t>
  </si>
  <si>
    <t>C005107</t>
  </si>
  <si>
    <t>T092118</t>
  </si>
  <si>
    <t>I00004</t>
  </si>
  <si>
    <t>C007256</t>
  </si>
  <si>
    <t>T058485</t>
  </si>
  <si>
    <t>S00635</t>
  </si>
  <si>
    <t>C005770</t>
  </si>
  <si>
    <t>T050025</t>
  </si>
  <si>
    <t>C005111</t>
  </si>
  <si>
    <t>T056556</t>
  </si>
  <si>
    <t>C004900</t>
  </si>
  <si>
    <t>T077775</t>
  </si>
  <si>
    <t>C007152</t>
  </si>
  <si>
    <t>T075701</t>
  </si>
  <si>
    <t>S00157</t>
  </si>
  <si>
    <t>C001914</t>
  </si>
  <si>
    <t>T064614</t>
  </si>
  <si>
    <t>C001911</t>
  </si>
  <si>
    <t>T060777</t>
  </si>
  <si>
    <t>S00438</t>
  </si>
  <si>
    <t>C000851</t>
  </si>
  <si>
    <t>T039512</t>
  </si>
  <si>
    <t>S00183</t>
  </si>
  <si>
    <t>C004489</t>
  </si>
  <si>
    <t>T07739</t>
  </si>
  <si>
    <t>S00210</t>
  </si>
  <si>
    <t>C003496</t>
  </si>
  <si>
    <t>T055084</t>
  </si>
  <si>
    <t>I00135</t>
  </si>
  <si>
    <t>C001470</t>
  </si>
  <si>
    <t>T043807</t>
  </si>
  <si>
    <t>S00594</t>
  </si>
  <si>
    <t>C001533</t>
  </si>
  <si>
    <t>T010488</t>
  </si>
  <si>
    <t>S00553</t>
  </si>
  <si>
    <t>C000872</t>
  </si>
  <si>
    <t>T09436</t>
  </si>
  <si>
    <t>I00143</t>
  </si>
  <si>
    <t>C006269</t>
  </si>
  <si>
    <t>T098613</t>
  </si>
  <si>
    <t>S00418</t>
  </si>
  <si>
    <t>C008861</t>
  </si>
  <si>
    <t>T036513</t>
  </si>
  <si>
    <t>S00280</t>
  </si>
  <si>
    <t>C002250</t>
  </si>
  <si>
    <t>T024566</t>
  </si>
  <si>
    <t>C003457</t>
  </si>
  <si>
    <t>T09496</t>
  </si>
  <si>
    <t>C001654</t>
  </si>
  <si>
    <t>T064062</t>
  </si>
  <si>
    <t>I00090</t>
  </si>
  <si>
    <t>C000225</t>
  </si>
  <si>
    <t>T059289</t>
  </si>
  <si>
    <t>S00614</t>
  </si>
  <si>
    <t>C007837</t>
  </si>
  <si>
    <t>T012803</t>
  </si>
  <si>
    <t>I00222</t>
  </si>
  <si>
    <t>C002928</t>
  </si>
  <si>
    <t>T083400</t>
  </si>
  <si>
    <t>C005340</t>
  </si>
  <si>
    <t>T067924</t>
  </si>
  <si>
    <t>S00168</t>
  </si>
  <si>
    <t>C002993</t>
  </si>
  <si>
    <t>T023419</t>
  </si>
  <si>
    <t>S00144</t>
  </si>
  <si>
    <t>C007592</t>
  </si>
  <si>
    <t>T07056</t>
  </si>
  <si>
    <t>S0020</t>
  </si>
  <si>
    <t>C007746</t>
  </si>
  <si>
    <t>T070198</t>
  </si>
  <si>
    <t>S00379</t>
  </si>
  <si>
    <t>C005610</t>
  </si>
  <si>
    <t>T030718</t>
  </si>
  <si>
    <t>S0012</t>
  </si>
  <si>
    <t>C003414</t>
  </si>
  <si>
    <t>T019188</t>
  </si>
  <si>
    <t>S00176</t>
  </si>
  <si>
    <t>C002706</t>
  </si>
  <si>
    <t>T083262</t>
  </si>
  <si>
    <t>S00193</t>
  </si>
  <si>
    <t>C007013</t>
  </si>
  <si>
    <t>T098609</t>
  </si>
  <si>
    <t>T086214</t>
  </si>
  <si>
    <t>C003365</t>
  </si>
  <si>
    <t>T069478</t>
  </si>
  <si>
    <t>I00176</t>
  </si>
  <si>
    <t>C003314</t>
  </si>
  <si>
    <t>T04209</t>
  </si>
  <si>
    <t>I00093</t>
  </si>
  <si>
    <t>Total_Price</t>
  </si>
  <si>
    <t>Logical OR</t>
  </si>
  <si>
    <t>Logical AND</t>
  </si>
  <si>
    <t>I00001</t>
  </si>
  <si>
    <t>A&amp;W Root Beer - 12 oz cans</t>
  </si>
  <si>
    <t>a. Beverage - Soda</t>
  </si>
  <si>
    <t>Netherlands</t>
  </si>
  <si>
    <t>Bolsius Boxmeer</t>
  </si>
  <si>
    <t>A&amp;W Root Beer Diet - 12 oz cans</t>
  </si>
  <si>
    <t>poland</t>
  </si>
  <si>
    <t>CHROMADURLIN S.A.S</t>
  </si>
  <si>
    <t>Barq's Root Beer - 12 oz cans</t>
  </si>
  <si>
    <t>Bangladesh</t>
  </si>
  <si>
    <t>DENIMACH LTD</t>
  </si>
  <si>
    <t>Cherry Coke 12oz</t>
  </si>
  <si>
    <t>Cherry Coke Zero 12 pack</t>
  </si>
  <si>
    <t>Finland</t>
  </si>
  <si>
    <t>HARDFORD AB</t>
  </si>
  <si>
    <t>Coke Classic 12 oz cans</t>
  </si>
  <si>
    <t>Lithuania</t>
  </si>
  <si>
    <t>BIGSO AB</t>
  </si>
  <si>
    <t>India</t>
  </si>
  <si>
    <t>Indo Count Industries Ltd</t>
  </si>
  <si>
    <t>Coke Zero Sugar 12 oz cans</t>
  </si>
  <si>
    <t>Diet Coke - 12 oz cans</t>
  </si>
  <si>
    <t>Diet Coke Caffeine Free 12oz cans</t>
  </si>
  <si>
    <t>Germany</t>
  </si>
  <si>
    <t>Friedola 1888 GmbH</t>
  </si>
  <si>
    <t>I00012</t>
  </si>
  <si>
    <t>Diet Dr. Pepper - 12 oz cans</t>
  </si>
  <si>
    <t>China</t>
  </si>
  <si>
    <t>CHERRY GROUP CO.,LTD</t>
  </si>
  <si>
    <t>Diet Gingerale 12 oz cans</t>
  </si>
  <si>
    <t>United States</t>
  </si>
  <si>
    <t>MAESA SAS</t>
  </si>
  <si>
    <t>Diet Mountain Dew 12oz cans</t>
  </si>
  <si>
    <t>Diet Pepsi - 12 oz cans</t>
  </si>
  <si>
    <t>I00016</t>
  </si>
  <si>
    <t>Dr. Pepper - 12 oz cans</t>
  </si>
  <si>
    <t>Fresca Black Cherry - 12 oz cans</t>
  </si>
  <si>
    <t>Cambodia</t>
  </si>
  <si>
    <t>NINGBO SEDUNO IMP &amp; EXP CO.LTD</t>
  </si>
  <si>
    <t>Fresca Original - 12 oz cans</t>
  </si>
  <si>
    <t>I00019</t>
  </si>
  <si>
    <t>Fresca Peach Citrus - 12 oz cans</t>
  </si>
  <si>
    <t>Ginger Ale - 12 oz cans</t>
  </si>
  <si>
    <t>Hawaiian Punch - 12 oz cans</t>
  </si>
  <si>
    <t>I00022</t>
  </si>
  <si>
    <t>Mountain Dew - 12 oz cans</t>
  </si>
  <si>
    <t>Pepsi - 12 oz cans</t>
  </si>
  <si>
    <t>Seven Up - 12 oz cans</t>
  </si>
  <si>
    <t>Sprite - 12 oz cans</t>
  </si>
  <si>
    <t>Sprite Zero - 12 pack</t>
  </si>
  <si>
    <t>Sunkist Orange - 12 oz cans</t>
  </si>
  <si>
    <t>La Croix Sparkling Berry 12 ozv</t>
  </si>
  <si>
    <t>a. Beverage Sparkling Water</t>
  </si>
  <si>
    <t>I00031</t>
  </si>
  <si>
    <t>La Croix Sparkling Coconut 12 oz</t>
  </si>
  <si>
    <t>I00032</t>
  </si>
  <si>
    <t>La Croix Sparkling Cran-Raspberry 12 oz</t>
  </si>
  <si>
    <t>La Croix Sparkling Grapefruit 12 oz</t>
  </si>
  <si>
    <t>La Croix Sparkling Lemon 12 oz</t>
  </si>
  <si>
    <t>La Croix Sparkling Lime 12 oz</t>
  </si>
  <si>
    <t>La Croix Sparkling Orange 12 oz</t>
  </si>
  <si>
    <t>La Croix Sparkling Pure 12 oz</t>
  </si>
  <si>
    <t>Perrier Flavors Sparkling Water 16.9oz</t>
  </si>
  <si>
    <t>Perrier Sparkling Water glass 11oz</t>
  </si>
  <si>
    <t>I00040</t>
  </si>
  <si>
    <t>Perrier Sparkling Water plastic 16.9oz</t>
  </si>
  <si>
    <t xml:space="preserve">San Pelligrino 16oz Plastic </t>
  </si>
  <si>
    <t>Topo Chico 12 oz glass</t>
  </si>
  <si>
    <t>Topo Chico 20oz plastic</t>
  </si>
  <si>
    <t>Waterloo Sparkling Blackcherry 12oz</t>
  </si>
  <si>
    <t>Waterloo Sparkling Grapefruit 12oz</t>
  </si>
  <si>
    <t>Waterloo Sparkling Lemon 12oz</t>
  </si>
  <si>
    <t>Waterloo Sparkling Lime 12oz</t>
  </si>
  <si>
    <t>Waterloo Sparkling Mango 12oz</t>
  </si>
  <si>
    <t>Waterloo Sparkling Original 12oz</t>
  </si>
  <si>
    <t>Waterloo Sparkling Watermelon 12oz</t>
  </si>
  <si>
    <t>Monster Java 15 oz</t>
  </si>
  <si>
    <t xml:space="preserve">Beverage - Energy/Protein </t>
  </si>
  <si>
    <t>Monster Lo-Carb 16 oz</t>
  </si>
  <si>
    <t>Beverage - Energy/Protein</t>
  </si>
  <si>
    <t>Monster Original Green 16 oz</t>
  </si>
  <si>
    <t>I00054</t>
  </si>
  <si>
    <t>Monster Zero Ultra 16 oz</t>
  </si>
  <si>
    <t>Monster Zero Ultra Variety 16 oz</t>
  </si>
  <si>
    <t>Muscle Milk Protein Shake Choc. 11oz</t>
  </si>
  <si>
    <t>I00057</t>
  </si>
  <si>
    <t>Muscle Milk Protein Shake Van. 11oz</t>
  </si>
  <si>
    <t>Premier Protein Shake Choc. 11oz</t>
  </si>
  <si>
    <t>Muscle Milk Protein Shake Strbry. 11oz</t>
  </si>
  <si>
    <t>Red Bull 12oz</t>
  </si>
  <si>
    <t>Red Bull 16oz</t>
  </si>
  <si>
    <t>Red Bull 8.4 oz</t>
  </si>
  <si>
    <t>Red Bull Sugar Free 8.4 oz</t>
  </si>
  <si>
    <t>G2 Lo Calorie Variety 20 oz</t>
  </si>
  <si>
    <t>Beverage - Gatorade</t>
  </si>
  <si>
    <t xml:space="preserve">Gatorade Frost Variety 20 oz </t>
  </si>
  <si>
    <t>Gatorade Lemon Lime 12oz</t>
  </si>
  <si>
    <t xml:space="preserve">Gatorade Liberty Variety 20 oz </t>
  </si>
  <si>
    <t>Gatorade Frost Variety 12 oz</t>
  </si>
  <si>
    <t>I00070</t>
  </si>
  <si>
    <t>Gatorade Liberty Variety 12 oz</t>
  </si>
  <si>
    <t>Gatorade Original Variety 12 oz</t>
  </si>
  <si>
    <t>I00072</t>
  </si>
  <si>
    <t xml:space="preserve">Gatorade Variety 20 oz </t>
  </si>
  <si>
    <t>Gatorade X-Factor Fierce Variety 20 oz</t>
  </si>
  <si>
    <t>Gatorade Zero Variety 20 oz</t>
  </si>
  <si>
    <t>Brisk Lemon Iced Tea - 12 oz cans</t>
  </si>
  <si>
    <t>Beverage - Iced Tea</t>
  </si>
  <si>
    <t>Diet Fuze Iced Tea</t>
  </si>
  <si>
    <t>Fuze Iced Tea</t>
  </si>
  <si>
    <t>Pure Leaf Sweet Tea 8.5oz</t>
  </si>
  <si>
    <t>Pure Leaf Unsweetened Tea 18.5oz</t>
  </si>
  <si>
    <t>Snapple Variety Pack 20oz</t>
  </si>
  <si>
    <t>I00081</t>
  </si>
  <si>
    <t>Tejava Unsweetened Black Tea 16.9oz</t>
  </si>
  <si>
    <t xml:space="preserve">100% Juice Box Variety 6.75 oz </t>
  </si>
  <si>
    <t>Beverage - Juice</t>
  </si>
  <si>
    <t xml:space="preserve">Ocean Spray Cranberry Juice Cocktail 15oz </t>
  </si>
  <si>
    <t xml:space="preserve">Tropicana Apple Juice 10 oz 100% </t>
  </si>
  <si>
    <t xml:space="preserve">Tropicana Orange Juice 10 oz 100% </t>
  </si>
  <si>
    <t>V8 100% Vegetable Juice 11oz cans</t>
  </si>
  <si>
    <t>I00087</t>
  </si>
  <si>
    <t>V-8 Splash Variety 20 oz</t>
  </si>
  <si>
    <t>Welch's 100% Juice Variety10 oz</t>
  </si>
  <si>
    <t>AquaFina Purified Drinking Water 16oz</t>
  </si>
  <si>
    <t>Beverage Water</t>
  </si>
  <si>
    <t>Dasani Bottled Water 16.9 oz</t>
  </si>
  <si>
    <t xml:space="preserve">Nestle Purelife 16oz </t>
  </si>
  <si>
    <t>Ozarka Spring Water 16.9 oz bottles</t>
  </si>
  <si>
    <t>Ozarka Spring Water 20 oz</t>
  </si>
  <si>
    <t>Ozarka Spring Water Mini 8oz</t>
  </si>
  <si>
    <t>I00095</t>
  </si>
  <si>
    <t>Propel Zero Variety 20 oz</t>
  </si>
  <si>
    <t>botlltes</t>
  </si>
  <si>
    <t>Sobe Zero Lifewater Variety 20 oz</t>
  </si>
  <si>
    <t>item_name</t>
  </si>
  <si>
    <t>desc</t>
  </si>
  <si>
    <t>man_country</t>
  </si>
  <si>
    <t>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</si>
</sst>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0" xfId="0" applyFill="1"/>
    <xf numFmtId="0" fontId="0" fillId="6" borderId="1" xfId="0" applyFill="1" applyBorder="1"/>
    <xf numFmtId="0" fontId="1" fillId="4" borderId="2" xfId="0" applyFont="1" applyFill="1" applyBorder="1"/>
    <xf numFmtId="0" fontId="2" fillId="4" borderId="2" xfId="0" applyFont="1" applyFill="1" applyBorder="1"/>
    <xf numFmtId="0" fontId="0" fillId="2" borderId="1" xfId="0" applyFill="1" applyBorder="1" applyAlignment="1">
      <alignment horizontal="left" vertical="top"/>
    </xf>
    <xf numFmtId="0" fontId="0" fillId="7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8" borderId="1" xfId="0" applyFill="1" applyBorder="1"/>
    <xf numFmtId="0" fontId="0" fillId="9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1783-2E08-4609-A8AC-64621B6E489C}">
  <dimension ref="A4:AE550004"/>
  <sheetViews>
    <sheetView topLeftCell="A490" workbookViewId="0">
      <selection activeCell="F4" sqref="F4:F500"/>
    </sheetView>
  </sheetViews>
  <sheetFormatPr defaultRowHeight="15" x14ac:dyDescent="0.25"/>
  <cols>
    <col min="1" max="1" width="15.42578125" bestFit="1" customWidth="1"/>
    <col min="2" max="2" width="17" bestFit="1" customWidth="1"/>
    <col min="3" max="4" width="11.5703125" bestFit="1" customWidth="1"/>
    <col min="5" max="5" width="12" bestFit="1" customWidth="1"/>
    <col min="6" max="6" width="10.7109375" bestFit="1" customWidth="1"/>
    <col min="7" max="7" width="7.42578125" bestFit="1" customWidth="1"/>
    <col min="8" max="8" width="12.28515625" bestFit="1" customWidth="1"/>
    <col min="9" max="9" width="13.140625" bestFit="1" customWidth="1"/>
    <col min="10" max="10" width="11.140625" bestFit="1" customWidth="1"/>
    <col min="11" max="11" width="10.42578125" bestFit="1" customWidth="1"/>
    <col min="12" max="12" width="8.28515625" bestFit="1" customWidth="1"/>
    <col min="13" max="13" width="9.5703125" bestFit="1" customWidth="1"/>
    <col min="14" max="14" width="13.7109375" bestFit="1" customWidth="1"/>
    <col min="15" max="15" width="12.28515625" bestFit="1" customWidth="1"/>
    <col min="16" max="16" width="15.42578125" bestFit="1" customWidth="1"/>
    <col min="17" max="17" width="8" bestFit="1" customWidth="1"/>
    <col min="18" max="18" width="7.85546875" bestFit="1" customWidth="1"/>
    <col min="19" max="19" width="6.7109375" bestFit="1" customWidth="1"/>
    <col min="20" max="20" width="9.42578125" bestFit="1" customWidth="1"/>
    <col min="21" max="21" width="8.7109375" bestFit="1" customWidth="1"/>
    <col min="23" max="23" width="10.5703125" bestFit="1" customWidth="1"/>
    <col min="24" max="24" width="12.42578125" bestFit="1" customWidth="1"/>
    <col min="25" max="25" width="6.7109375" bestFit="1" customWidth="1"/>
    <col min="26" max="26" width="7.85546875" bestFit="1" customWidth="1"/>
    <col min="27" max="27" width="7.140625" bestFit="1" customWidth="1"/>
    <col min="28" max="28" width="6.42578125" bestFit="1" customWidth="1"/>
    <col min="29" max="29" width="19.5703125" bestFit="1" customWidth="1"/>
    <col min="30" max="30" width="6.85546875" bestFit="1" customWidth="1"/>
    <col min="31" max="31" width="16.28515625" bestFit="1" customWidth="1"/>
  </cols>
  <sheetData>
    <row r="4" spans="1:31" x14ac:dyDescent="0.25">
      <c r="A4" s="8" t="s">
        <v>0</v>
      </c>
      <c r="B4" s="8" t="s">
        <v>1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7</v>
      </c>
      <c r="I4" s="11" t="s">
        <v>1659</v>
      </c>
      <c r="J4" s="12" t="s">
        <v>45</v>
      </c>
      <c r="K4" s="12" t="s">
        <v>46</v>
      </c>
      <c r="L4" s="12" t="s">
        <v>41</v>
      </c>
      <c r="M4" s="12" t="s">
        <v>42</v>
      </c>
      <c r="N4" s="12" t="s">
        <v>1661</v>
      </c>
      <c r="O4" s="12" t="s">
        <v>1660</v>
      </c>
      <c r="P4" s="12" t="s">
        <v>49</v>
      </c>
      <c r="Q4" s="12" t="s">
        <v>60</v>
      </c>
      <c r="R4" s="12" t="s">
        <v>48</v>
      </c>
      <c r="S4" s="12" t="s">
        <v>53</v>
      </c>
      <c r="T4" s="12" t="s">
        <v>54</v>
      </c>
      <c r="U4" s="12" t="s">
        <v>55</v>
      </c>
      <c r="V4" s="12" t="s">
        <v>57</v>
      </c>
      <c r="W4" s="12" t="s">
        <v>59</v>
      </c>
      <c r="X4" s="12" t="s">
        <v>58</v>
      </c>
      <c r="Y4" s="12" t="s">
        <v>51</v>
      </c>
      <c r="Z4" s="12" t="s">
        <v>52</v>
      </c>
      <c r="AA4" s="12" t="s">
        <v>50</v>
      </c>
      <c r="AB4" s="12" t="s">
        <v>56</v>
      </c>
      <c r="AC4" s="12" t="s">
        <v>89</v>
      </c>
      <c r="AD4" s="12" t="s">
        <v>61</v>
      </c>
      <c r="AE4" s="12" t="s">
        <v>62</v>
      </c>
    </row>
    <row r="5" spans="1:31" ht="30" x14ac:dyDescent="0.25">
      <c r="A5" s="9" t="s">
        <v>9</v>
      </c>
      <c r="B5" s="9" t="s">
        <v>10</v>
      </c>
      <c r="C5" s="9" t="s">
        <v>11</v>
      </c>
      <c r="D5" s="9" t="s">
        <v>12</v>
      </c>
      <c r="E5" s="9" t="s">
        <v>13</v>
      </c>
      <c r="F5" s="9">
        <v>1</v>
      </c>
      <c r="G5" s="9" t="s">
        <v>14</v>
      </c>
      <c r="H5" s="9">
        <v>35</v>
      </c>
      <c r="I5" s="13">
        <f>$F5*H5</f>
        <v>35</v>
      </c>
      <c r="J5" s="13">
        <f>_xlfn.RANK.AVG(I5,$I$5:$I$550000)</f>
        <v>420.5</v>
      </c>
      <c r="K5" s="13">
        <f>_xlfn.RANK.EQ(I5,$I$5:$I$550000)</f>
        <v>420</v>
      </c>
      <c r="L5" s="13">
        <f>SUMIF($G$5:$G$417,G5,$H$5:$H$500)</f>
        <v>3009.5</v>
      </c>
      <c r="M5" s="13">
        <f>COUNTIF(G5:G417,G5)</f>
        <v>157</v>
      </c>
      <c r="N5" s="13" t="b">
        <f>AND(H5&gt;20,H5&lt;70)</f>
        <v>1</v>
      </c>
      <c r="O5" s="13" t="b">
        <f>OR(H5&gt;10,H5&lt;60)</f>
        <v>1</v>
      </c>
      <c r="P5" s="13" t="str">
        <f>_xlfn.CONCAT(B5,"-",G5)</f>
        <v>C004510-ct</v>
      </c>
      <c r="Q5" s="14" t="str">
        <f>_xlfn.CONCAT(C5,CHAR(10),F5)</f>
        <v>T049189
1</v>
      </c>
      <c r="R5" s="13" t="b">
        <f>EXACT(D5,E5)</f>
        <v>0</v>
      </c>
      <c r="S5" s="13" t="str">
        <f>MID(D5,4,2)</f>
        <v>17</v>
      </c>
      <c r="T5" s="13" t="str">
        <f>UPPER(G5)</f>
        <v>CT</v>
      </c>
      <c r="U5" s="13" t="str">
        <f>LOWER(G5)</f>
        <v>ct</v>
      </c>
      <c r="V5" s="13">
        <f>SEARCH("0",E5)</f>
        <v>2</v>
      </c>
      <c r="W5" s="13" t="str">
        <f>_xlfn.TEXTJOIN(" ",TRUE,C5,F5)</f>
        <v>T049189 1</v>
      </c>
      <c r="X5" s="13" t="str">
        <f>SUBSTITUTE(E5,"0","5")</f>
        <v>S55357</v>
      </c>
      <c r="Y5" s="13" t="str">
        <f>LEFT(C5,3)</f>
        <v>T04</v>
      </c>
      <c r="Z5" s="13" t="str">
        <f>RIGHT(C5,3)</f>
        <v>189</v>
      </c>
      <c r="AA5" s="13">
        <f>FIND("0",A5)</f>
        <v>2</v>
      </c>
      <c r="AB5" s="13">
        <f>LEN(G5)</f>
        <v>2</v>
      </c>
      <c r="AC5" s="10" t="s">
        <v>14</v>
      </c>
      <c r="AD5" s="13"/>
      <c r="AE5" s="13"/>
    </row>
    <row r="6" spans="1:31" ht="30" x14ac:dyDescent="0.25">
      <c r="A6" s="9" t="s">
        <v>15</v>
      </c>
      <c r="B6" s="9" t="s">
        <v>16</v>
      </c>
      <c r="C6" s="9" t="s">
        <v>17</v>
      </c>
      <c r="D6" s="9" t="s">
        <v>18</v>
      </c>
      <c r="E6" s="9" t="s">
        <v>19</v>
      </c>
      <c r="F6" s="9">
        <v>1</v>
      </c>
      <c r="G6" s="9" t="s">
        <v>20</v>
      </c>
      <c r="H6" s="9">
        <v>26</v>
      </c>
      <c r="I6" s="13">
        <f t="shared" ref="I6:I69" si="0">$F6*H6</f>
        <v>26</v>
      </c>
      <c r="J6" s="13">
        <f t="shared" ref="J6:J69" si="1">_xlfn.RANK.AVG(I6,$I$5:$I$550000)</f>
        <v>448.5</v>
      </c>
      <c r="K6" s="13">
        <f t="shared" ref="K6:K69" si="2">_xlfn.RANK.EQ(I6,$I$5:$I$550000)</f>
        <v>447</v>
      </c>
      <c r="L6" s="13">
        <f t="shared" ref="L6:L69" si="3">SUMIF(G6:G418,G6,H6:H501)</f>
        <v>104</v>
      </c>
      <c r="M6" s="13">
        <f t="shared" ref="M6:M69" si="4">COUNTIF(G6:G418,G6)</f>
        <v>4</v>
      </c>
      <c r="N6" s="13" t="b">
        <f t="shared" ref="N6:N69" si="5">AND(H6&gt;20,H6&lt;70)</f>
        <v>1</v>
      </c>
      <c r="O6" s="13" t="b">
        <f t="shared" ref="O6:O69" si="6">OR(H6&gt;10,H6&lt;60)</f>
        <v>1</v>
      </c>
      <c r="P6" s="13" t="str">
        <f>_xlfn.CONCAT(B6,"-",G6)</f>
        <v>C008967-rolls</v>
      </c>
      <c r="Q6" s="14" t="str">
        <f t="shared" ref="Q6:Q69" si="7">_xlfn.CONCAT(C6,CHAR(10),F6)</f>
        <v>T041209
1</v>
      </c>
      <c r="R6" s="13" t="b">
        <f t="shared" ref="R6:R69" si="8">EXACT(D6,E6)</f>
        <v>0</v>
      </c>
      <c r="S6" s="13" t="str">
        <f t="shared" ref="S6:S69" si="9">MID(D6,4,2)</f>
        <v>24</v>
      </c>
      <c r="T6" s="13" t="str">
        <f t="shared" ref="T6:T69" si="10">UPPER(G6)</f>
        <v>ROLLS</v>
      </c>
      <c r="U6" s="13" t="str">
        <f t="shared" ref="U6:U69" si="11">LOWER(G6)</f>
        <v>rolls</v>
      </c>
      <c r="V6" s="13">
        <f t="shared" ref="V6:V69" si="12">SEARCH("0",E6)</f>
        <v>2</v>
      </c>
      <c r="W6" s="13" t="str">
        <f t="shared" ref="W6:W69" si="13">_xlfn.TEXTJOIN(" ",TRUE,C6,F6)</f>
        <v>T041209 1</v>
      </c>
      <c r="X6" s="13" t="str">
        <f t="shared" ref="X6:X69" si="14">SUBSTITUTE(E6,"0","5")</f>
        <v>S55595</v>
      </c>
      <c r="Y6" s="13" t="str">
        <f t="shared" ref="Y6:Y69" si="15">LEFT(C6,3)</f>
        <v>T04</v>
      </c>
      <c r="Z6" s="13" t="str">
        <f t="shared" ref="Z6:Z69" si="16">RIGHT(C6,3)</f>
        <v>209</v>
      </c>
      <c r="AA6" s="13">
        <f t="shared" ref="AA6:AA69" si="17">FIND("0",A6)</f>
        <v>2</v>
      </c>
      <c r="AB6" s="13">
        <f t="shared" ref="AB6:AB69" si="18">LEN(G6)</f>
        <v>5</v>
      </c>
      <c r="AC6" s="10" t="s">
        <v>20</v>
      </c>
      <c r="AD6" s="13"/>
      <c r="AE6" s="13"/>
    </row>
    <row r="7" spans="1:31" ht="30" x14ac:dyDescent="0.25">
      <c r="A7" s="9" t="s">
        <v>21</v>
      </c>
      <c r="B7" s="9" t="s">
        <v>22</v>
      </c>
      <c r="C7" s="9" t="s">
        <v>23</v>
      </c>
      <c r="D7" s="9" t="s">
        <v>24</v>
      </c>
      <c r="E7" s="9" t="s">
        <v>25</v>
      </c>
      <c r="F7" s="9">
        <v>8</v>
      </c>
      <c r="G7" s="9" t="s">
        <v>14</v>
      </c>
      <c r="H7" s="9">
        <v>12.5</v>
      </c>
      <c r="I7" s="13">
        <f t="shared" si="0"/>
        <v>100</v>
      </c>
      <c r="J7" s="13">
        <f t="shared" si="1"/>
        <v>214.5</v>
      </c>
      <c r="K7" s="13">
        <f t="shared" si="2"/>
        <v>212</v>
      </c>
      <c r="L7" s="13">
        <f t="shared" si="3"/>
        <v>2974.5</v>
      </c>
      <c r="M7" s="13">
        <f t="shared" si="4"/>
        <v>156</v>
      </c>
      <c r="N7" s="13" t="b">
        <f t="shared" si="5"/>
        <v>0</v>
      </c>
      <c r="O7" s="13" t="b">
        <f t="shared" si="6"/>
        <v>1</v>
      </c>
      <c r="P7" s="13" t="str">
        <f t="shared" ref="P7:P69" si="19">_xlfn.CONCAT(B7,"-",G7)</f>
        <v>C007261-ct</v>
      </c>
      <c r="Q7" s="14" t="str">
        <f t="shared" si="7"/>
        <v>T03633
8</v>
      </c>
      <c r="R7" s="13" t="b">
        <f t="shared" si="8"/>
        <v>0</v>
      </c>
      <c r="S7" s="13" t="str">
        <f t="shared" si="9"/>
        <v>19</v>
      </c>
      <c r="T7" s="13" t="str">
        <f t="shared" si="10"/>
        <v>CT</v>
      </c>
      <c r="U7" s="13" t="str">
        <f t="shared" si="11"/>
        <v>ct</v>
      </c>
      <c r="V7" s="13">
        <f t="shared" si="12"/>
        <v>2</v>
      </c>
      <c r="W7" s="13" t="str">
        <f t="shared" si="13"/>
        <v>T03633 8</v>
      </c>
      <c r="X7" s="13" t="str">
        <f t="shared" si="14"/>
        <v>S55496</v>
      </c>
      <c r="Y7" s="13" t="str">
        <f t="shared" si="15"/>
        <v>T03</v>
      </c>
      <c r="Z7" s="13" t="str">
        <f t="shared" si="16"/>
        <v>633</v>
      </c>
      <c r="AA7" s="13">
        <f t="shared" si="17"/>
        <v>2</v>
      </c>
      <c r="AB7" s="13">
        <f t="shared" si="18"/>
        <v>2</v>
      </c>
      <c r="AC7" s="10" t="s">
        <v>14</v>
      </c>
      <c r="AD7" s="13"/>
      <c r="AE7" s="13"/>
    </row>
    <row r="8" spans="1:31" ht="30" x14ac:dyDescent="0.25">
      <c r="A8" s="9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9">
        <v>8</v>
      </c>
      <c r="G8" s="9" t="s">
        <v>14</v>
      </c>
      <c r="H8" s="9">
        <v>14</v>
      </c>
      <c r="I8" s="13">
        <f t="shared" si="0"/>
        <v>112</v>
      </c>
      <c r="J8" s="13">
        <f t="shared" si="1"/>
        <v>188.5</v>
      </c>
      <c r="K8" s="13">
        <f t="shared" si="2"/>
        <v>186</v>
      </c>
      <c r="L8" s="13">
        <f t="shared" si="3"/>
        <v>2962</v>
      </c>
      <c r="M8" s="13">
        <f t="shared" si="4"/>
        <v>155</v>
      </c>
      <c r="N8" s="13" t="b">
        <f t="shared" si="5"/>
        <v>0</v>
      </c>
      <c r="O8" s="13" t="b">
        <f t="shared" si="6"/>
        <v>1</v>
      </c>
      <c r="P8" s="13" t="str">
        <f t="shared" si="19"/>
        <v>C007048-ct</v>
      </c>
      <c r="Q8" s="14" t="str">
        <f t="shared" si="7"/>
        <v>T084631
8</v>
      </c>
      <c r="R8" s="13" t="b">
        <f t="shared" si="8"/>
        <v>0</v>
      </c>
      <c r="S8" s="13" t="str">
        <f t="shared" si="9"/>
        <v>13</v>
      </c>
      <c r="T8" s="13" t="str">
        <f t="shared" si="10"/>
        <v>CT</v>
      </c>
      <c r="U8" s="13" t="str">
        <f t="shared" si="11"/>
        <v>ct</v>
      </c>
      <c r="V8" s="13">
        <f t="shared" si="12"/>
        <v>2</v>
      </c>
      <c r="W8" s="13" t="str">
        <f t="shared" si="13"/>
        <v>T084631 8</v>
      </c>
      <c r="X8" s="13" t="str">
        <f t="shared" si="14"/>
        <v>S5586</v>
      </c>
      <c r="Y8" s="13" t="str">
        <f t="shared" si="15"/>
        <v>T08</v>
      </c>
      <c r="Z8" s="13" t="str">
        <f t="shared" si="16"/>
        <v>631</v>
      </c>
      <c r="AA8" s="13">
        <f t="shared" si="17"/>
        <v>2</v>
      </c>
      <c r="AB8" s="13">
        <f t="shared" si="18"/>
        <v>2</v>
      </c>
      <c r="AC8" s="10" t="s">
        <v>36</v>
      </c>
      <c r="AD8" s="13"/>
      <c r="AE8" s="13"/>
    </row>
    <row r="9" spans="1:31" ht="30" x14ac:dyDescent="0.25">
      <c r="A9" s="9" t="s">
        <v>31</v>
      </c>
      <c r="B9" s="9" t="s">
        <v>32</v>
      </c>
      <c r="C9" s="9" t="s">
        <v>33</v>
      </c>
      <c r="D9" s="9" t="s">
        <v>34</v>
      </c>
      <c r="E9" s="9" t="s">
        <v>35</v>
      </c>
      <c r="F9" s="9">
        <v>8</v>
      </c>
      <c r="G9" s="9" t="s">
        <v>36</v>
      </c>
      <c r="H9" s="9">
        <v>8</v>
      </c>
      <c r="I9" s="13">
        <f t="shared" si="0"/>
        <v>64</v>
      </c>
      <c r="J9" s="13">
        <f t="shared" si="1"/>
        <v>328</v>
      </c>
      <c r="K9" s="13">
        <f t="shared" si="2"/>
        <v>324</v>
      </c>
      <c r="L9" s="13">
        <f t="shared" si="3"/>
        <v>1299.25</v>
      </c>
      <c r="M9" s="13">
        <f t="shared" si="4"/>
        <v>83</v>
      </c>
      <c r="N9" s="13" t="b">
        <f>AND(H9&gt;20,H9&lt;70)</f>
        <v>0</v>
      </c>
      <c r="O9" s="13" t="b">
        <f t="shared" si="6"/>
        <v>1</v>
      </c>
      <c r="P9" s="13" t="str">
        <f t="shared" si="19"/>
        <v>C006430-cans</v>
      </c>
      <c r="Q9" s="14" t="str">
        <f t="shared" si="7"/>
        <v>T071276
8</v>
      </c>
      <c r="R9" s="13" t="b">
        <f t="shared" si="8"/>
        <v>0</v>
      </c>
      <c r="S9" s="13" t="str">
        <f t="shared" si="9"/>
        <v>05</v>
      </c>
      <c r="T9" s="13" t="str">
        <f t="shared" si="10"/>
        <v>CANS</v>
      </c>
      <c r="U9" s="13" t="str">
        <f t="shared" si="11"/>
        <v>cans</v>
      </c>
      <c r="V9" s="13">
        <f t="shared" si="12"/>
        <v>2</v>
      </c>
      <c r="W9" s="13" t="str">
        <f t="shared" si="13"/>
        <v>T071276 8</v>
      </c>
      <c r="X9" s="13" t="str">
        <f t="shared" si="14"/>
        <v>S55488</v>
      </c>
      <c r="Y9" s="13" t="str">
        <f t="shared" si="15"/>
        <v>T07</v>
      </c>
      <c r="Z9" s="13" t="str">
        <f t="shared" si="16"/>
        <v>276</v>
      </c>
      <c r="AA9" s="13">
        <f t="shared" si="17"/>
        <v>2</v>
      </c>
      <c r="AB9" s="13">
        <f t="shared" si="18"/>
        <v>4</v>
      </c>
      <c r="AC9" s="10" t="s">
        <v>68</v>
      </c>
      <c r="AD9" s="13"/>
      <c r="AE9" s="13"/>
    </row>
    <row r="10" spans="1:31" ht="30" x14ac:dyDescent="0.25">
      <c r="A10" s="9" t="s">
        <v>63</v>
      </c>
      <c r="B10" s="9" t="s">
        <v>64</v>
      </c>
      <c r="C10" s="9" t="s">
        <v>65</v>
      </c>
      <c r="D10" s="9" t="s">
        <v>66</v>
      </c>
      <c r="E10" s="9" t="s">
        <v>67</v>
      </c>
      <c r="F10" s="9">
        <v>5</v>
      </c>
      <c r="G10" s="9" t="s">
        <v>68</v>
      </c>
      <c r="H10" s="9">
        <v>22</v>
      </c>
      <c r="I10" s="13">
        <f t="shared" si="0"/>
        <v>110</v>
      </c>
      <c r="J10" s="13">
        <f t="shared" si="1"/>
        <v>194</v>
      </c>
      <c r="K10" s="13">
        <f t="shared" si="2"/>
        <v>192</v>
      </c>
      <c r="L10" s="13">
        <f t="shared" si="3"/>
        <v>1042.5</v>
      </c>
      <c r="M10" s="13">
        <f t="shared" si="4"/>
        <v>58</v>
      </c>
      <c r="N10" s="13" t="b">
        <f t="shared" si="5"/>
        <v>1</v>
      </c>
      <c r="O10" s="13" t="b">
        <f>OR(H10&gt;10,H10&lt;60)</f>
        <v>1</v>
      </c>
      <c r="P10" s="13" t="str">
        <f t="shared" si="19"/>
        <v>C007574-bottles</v>
      </c>
      <c r="Q10" s="14" t="str">
        <f t="shared" si="7"/>
        <v>T026950
5</v>
      </c>
      <c r="R10" s="13" t="b">
        <f t="shared" si="8"/>
        <v>0</v>
      </c>
      <c r="S10" s="13" t="str">
        <f t="shared" si="9"/>
        <v>05</v>
      </c>
      <c r="T10" s="13" t="str">
        <f t="shared" si="10"/>
        <v>BOTTLES</v>
      </c>
      <c r="U10" s="13" t="str">
        <f t="shared" si="11"/>
        <v>bottles</v>
      </c>
      <c r="V10" s="13">
        <f t="shared" si="12"/>
        <v>2</v>
      </c>
      <c r="W10" s="13" t="str">
        <f t="shared" si="13"/>
        <v>T026950 5</v>
      </c>
      <c r="X10" s="13" t="str">
        <f t="shared" si="14"/>
        <v>S55328</v>
      </c>
      <c r="Y10" s="13" t="str">
        <f t="shared" si="15"/>
        <v>T02</v>
      </c>
      <c r="Z10" s="13" t="str">
        <f t="shared" si="16"/>
        <v>950</v>
      </c>
      <c r="AA10" s="13">
        <f t="shared" si="17"/>
        <v>2</v>
      </c>
      <c r="AB10" s="13">
        <f t="shared" si="18"/>
        <v>7</v>
      </c>
      <c r="AC10" s="10" t="s">
        <v>115</v>
      </c>
      <c r="AD10" s="13"/>
      <c r="AE10" s="13"/>
    </row>
    <row r="11" spans="1:31" ht="30" x14ac:dyDescent="0.25">
      <c r="A11" s="9" t="s">
        <v>69</v>
      </c>
      <c r="B11" s="9" t="s">
        <v>70</v>
      </c>
      <c r="C11" s="9" t="s">
        <v>71</v>
      </c>
      <c r="D11" s="9" t="s">
        <v>72</v>
      </c>
      <c r="E11" s="9" t="s">
        <v>73</v>
      </c>
      <c r="F11" s="9">
        <v>2</v>
      </c>
      <c r="G11" s="9" t="s">
        <v>36</v>
      </c>
      <c r="H11" s="9">
        <v>15.5</v>
      </c>
      <c r="I11" s="13">
        <f t="shared" si="0"/>
        <v>31</v>
      </c>
      <c r="J11" s="13">
        <f t="shared" si="1"/>
        <v>438</v>
      </c>
      <c r="K11" s="13">
        <f t="shared" si="2"/>
        <v>438</v>
      </c>
      <c r="L11" s="13">
        <f t="shared" si="3"/>
        <v>1298</v>
      </c>
      <c r="M11" s="13">
        <f t="shared" si="4"/>
        <v>83</v>
      </c>
      <c r="N11" s="13" t="b">
        <f t="shared" si="5"/>
        <v>0</v>
      </c>
      <c r="O11" s="13" t="b">
        <f t="shared" si="6"/>
        <v>1</v>
      </c>
      <c r="P11" s="13" t="str">
        <f t="shared" si="19"/>
        <v>C005695-cans</v>
      </c>
      <c r="Q11" s="14" t="str">
        <f t="shared" si="7"/>
        <v>T096704
2</v>
      </c>
      <c r="R11" s="13" t="b">
        <f t="shared" si="8"/>
        <v>0</v>
      </c>
      <c r="S11" s="13" t="str">
        <f t="shared" si="9"/>
        <v>07</v>
      </c>
      <c r="T11" s="13" t="str">
        <f t="shared" si="10"/>
        <v>CANS</v>
      </c>
      <c r="U11" s="13" t="str">
        <f t="shared" si="11"/>
        <v>cans</v>
      </c>
      <c r="V11" s="13">
        <f t="shared" si="12"/>
        <v>2</v>
      </c>
      <c r="W11" s="13" t="str">
        <f t="shared" si="13"/>
        <v>T096704 2</v>
      </c>
      <c r="X11" s="13" t="str">
        <f t="shared" si="14"/>
        <v>S55196</v>
      </c>
      <c r="Y11" s="13" t="str">
        <f t="shared" si="15"/>
        <v>T09</v>
      </c>
      <c r="Z11" s="13" t="str">
        <f t="shared" si="16"/>
        <v>704</v>
      </c>
      <c r="AA11" s="13">
        <f t="shared" si="17"/>
        <v>2</v>
      </c>
      <c r="AB11" s="13">
        <f t="shared" si="18"/>
        <v>4</v>
      </c>
      <c r="AC11" s="10" t="s">
        <v>176</v>
      </c>
      <c r="AD11" s="13"/>
      <c r="AE11" s="13"/>
    </row>
    <row r="12" spans="1:31" ht="30" x14ac:dyDescent="0.25">
      <c r="A12" s="9" t="s">
        <v>74</v>
      </c>
      <c r="B12" s="9" t="s">
        <v>75</v>
      </c>
      <c r="C12" s="9" t="s">
        <v>76</v>
      </c>
      <c r="D12" s="9" t="s">
        <v>77</v>
      </c>
      <c r="E12" s="9" t="s">
        <v>78</v>
      </c>
      <c r="F12" s="9">
        <v>1</v>
      </c>
      <c r="G12" s="9" t="s">
        <v>14</v>
      </c>
      <c r="H12" s="9">
        <v>14</v>
      </c>
      <c r="I12" s="13">
        <f t="shared" si="0"/>
        <v>14</v>
      </c>
      <c r="J12" s="13">
        <f t="shared" si="1"/>
        <v>481.5</v>
      </c>
      <c r="K12" s="13">
        <f t="shared" si="2"/>
        <v>481</v>
      </c>
      <c r="L12" s="13">
        <f t="shared" si="3"/>
        <v>2961</v>
      </c>
      <c r="M12" s="13">
        <f t="shared" si="4"/>
        <v>155</v>
      </c>
      <c r="N12" s="13" t="b">
        <f t="shared" si="5"/>
        <v>0</v>
      </c>
      <c r="O12" s="13" t="b">
        <f t="shared" si="6"/>
        <v>1</v>
      </c>
      <c r="P12" s="13" t="str">
        <f t="shared" si="19"/>
        <v>C008728-ct</v>
      </c>
      <c r="Q12" s="14" t="str">
        <f t="shared" si="7"/>
        <v>T010756
1</v>
      </c>
      <c r="R12" s="13" t="b">
        <f t="shared" si="8"/>
        <v>0</v>
      </c>
      <c r="S12" s="13" t="str">
        <f t="shared" si="9"/>
        <v>18</v>
      </c>
      <c r="T12" s="13" t="str">
        <f t="shared" si="10"/>
        <v>CT</v>
      </c>
      <c r="U12" s="13" t="str">
        <f t="shared" si="11"/>
        <v>ct</v>
      </c>
      <c r="V12" s="13">
        <f t="shared" si="12"/>
        <v>2</v>
      </c>
      <c r="W12" s="13" t="str">
        <f t="shared" si="13"/>
        <v>T010756 1</v>
      </c>
      <c r="X12" s="13" t="str">
        <f t="shared" si="14"/>
        <v>S5515</v>
      </c>
      <c r="Y12" s="13" t="str">
        <f t="shared" si="15"/>
        <v>T01</v>
      </c>
      <c r="Z12" s="13" t="str">
        <f t="shared" si="16"/>
        <v>756</v>
      </c>
      <c r="AA12" s="13">
        <f t="shared" si="17"/>
        <v>2</v>
      </c>
      <c r="AB12" s="13">
        <f t="shared" si="18"/>
        <v>2</v>
      </c>
      <c r="AC12" s="10" t="s">
        <v>187</v>
      </c>
      <c r="AD12" s="13"/>
      <c r="AE12" s="13"/>
    </row>
    <row r="13" spans="1:31" ht="30" x14ac:dyDescent="0.25">
      <c r="A13" s="9" t="s">
        <v>79</v>
      </c>
      <c r="B13" s="9" t="s">
        <v>80</v>
      </c>
      <c r="C13" s="9" t="s">
        <v>81</v>
      </c>
      <c r="D13" s="9" t="s">
        <v>82</v>
      </c>
      <c r="E13" s="9" t="s">
        <v>83</v>
      </c>
      <c r="F13" s="9">
        <v>11</v>
      </c>
      <c r="G13" s="9" t="s">
        <v>36</v>
      </c>
      <c r="H13" s="9">
        <v>6.75</v>
      </c>
      <c r="I13" s="13">
        <f t="shared" si="0"/>
        <v>74.25</v>
      </c>
      <c r="J13" s="13">
        <f t="shared" si="1"/>
        <v>289.5</v>
      </c>
      <c r="K13" s="13">
        <f t="shared" si="2"/>
        <v>288</v>
      </c>
      <c r="L13" s="13">
        <f t="shared" si="3"/>
        <v>1282.5</v>
      </c>
      <c r="M13" s="13">
        <f t="shared" si="4"/>
        <v>82</v>
      </c>
      <c r="N13" s="13" t="b">
        <f t="shared" si="5"/>
        <v>0</v>
      </c>
      <c r="O13" s="13" t="b">
        <f t="shared" si="6"/>
        <v>1</v>
      </c>
      <c r="P13" s="13" t="str">
        <f t="shared" si="19"/>
        <v>C002764-cans</v>
      </c>
      <c r="Q13" s="14" t="str">
        <f t="shared" si="7"/>
        <v>T017598
11</v>
      </c>
      <c r="R13" s="13" t="b">
        <f t="shared" si="8"/>
        <v>0</v>
      </c>
      <c r="S13" s="13" t="str">
        <f t="shared" si="9"/>
        <v>01</v>
      </c>
      <c r="T13" s="13" t="str">
        <f t="shared" si="10"/>
        <v>CANS</v>
      </c>
      <c r="U13" s="13" t="str">
        <f t="shared" si="11"/>
        <v>cans</v>
      </c>
      <c r="V13" s="13">
        <f t="shared" si="12"/>
        <v>2</v>
      </c>
      <c r="W13" s="13" t="str">
        <f t="shared" si="13"/>
        <v>T017598 11</v>
      </c>
      <c r="X13" s="13" t="str">
        <f t="shared" si="14"/>
        <v>S55164</v>
      </c>
      <c r="Y13" s="13" t="str">
        <f t="shared" si="15"/>
        <v>T01</v>
      </c>
      <c r="Z13" s="13" t="str">
        <f t="shared" si="16"/>
        <v>598</v>
      </c>
      <c r="AA13" s="13">
        <f t="shared" si="17"/>
        <v>2</v>
      </c>
      <c r="AB13" s="13">
        <f t="shared" si="18"/>
        <v>4</v>
      </c>
      <c r="AC13" s="10" t="s">
        <v>232</v>
      </c>
      <c r="AD13" s="13"/>
      <c r="AE13" s="13"/>
    </row>
    <row r="14" spans="1:31" ht="30" x14ac:dyDescent="0.25">
      <c r="A14" s="9" t="s">
        <v>84</v>
      </c>
      <c r="B14" s="9" t="s">
        <v>85</v>
      </c>
      <c r="C14" s="9" t="s">
        <v>86</v>
      </c>
      <c r="D14" s="9" t="s">
        <v>87</v>
      </c>
      <c r="E14" s="9" t="s">
        <v>88</v>
      </c>
      <c r="F14" s="9">
        <v>10</v>
      </c>
      <c r="G14" s="9" t="s">
        <v>14</v>
      </c>
      <c r="H14" s="9">
        <v>15</v>
      </c>
      <c r="I14" s="13">
        <f t="shared" si="0"/>
        <v>150</v>
      </c>
      <c r="J14" s="13">
        <f t="shared" si="1"/>
        <v>111</v>
      </c>
      <c r="K14" s="13">
        <f t="shared" si="2"/>
        <v>110</v>
      </c>
      <c r="L14" s="13">
        <f t="shared" si="3"/>
        <v>2947</v>
      </c>
      <c r="M14" s="13">
        <f t="shared" si="4"/>
        <v>154</v>
      </c>
      <c r="N14" s="13" t="b">
        <f t="shared" si="5"/>
        <v>0</v>
      </c>
      <c r="O14" s="13" t="b">
        <f t="shared" si="6"/>
        <v>1</v>
      </c>
      <c r="P14" s="13" t="str">
        <f t="shared" si="19"/>
        <v>C003128-ct</v>
      </c>
      <c r="Q14" s="14" t="str">
        <f t="shared" si="7"/>
        <v>T048812
10</v>
      </c>
      <c r="R14" s="13" t="b">
        <f t="shared" si="8"/>
        <v>0</v>
      </c>
      <c r="S14" s="13" t="str">
        <f t="shared" si="9"/>
        <v>13</v>
      </c>
      <c r="T14" s="13" t="str">
        <f t="shared" si="10"/>
        <v>CT</v>
      </c>
      <c r="U14" s="13" t="str">
        <f t="shared" si="11"/>
        <v>ct</v>
      </c>
      <c r="V14" s="13">
        <f t="shared" si="12"/>
        <v>2</v>
      </c>
      <c r="W14" s="13" t="str">
        <f t="shared" si="13"/>
        <v>T048812 10</v>
      </c>
      <c r="X14" s="13" t="str">
        <f t="shared" si="14"/>
        <v>S55645</v>
      </c>
      <c r="Y14" s="13" t="str">
        <f t="shared" si="15"/>
        <v>T04</v>
      </c>
      <c r="Z14" s="13" t="str">
        <f t="shared" si="16"/>
        <v>812</v>
      </c>
      <c r="AA14" s="13">
        <f t="shared" si="17"/>
        <v>2</v>
      </c>
      <c r="AB14" s="13">
        <f t="shared" si="18"/>
        <v>2</v>
      </c>
      <c r="AC14" s="10" t="s">
        <v>248</v>
      </c>
      <c r="AD14" s="13"/>
      <c r="AE14" s="13"/>
    </row>
    <row r="15" spans="1:31" ht="30" x14ac:dyDescent="0.25">
      <c r="A15" s="9" t="s">
        <v>91</v>
      </c>
      <c r="B15" s="9" t="s">
        <v>92</v>
      </c>
      <c r="C15" s="9" t="s">
        <v>93</v>
      </c>
      <c r="D15" s="9" t="s">
        <v>94</v>
      </c>
      <c r="E15" s="9" t="s">
        <v>95</v>
      </c>
      <c r="F15" s="9">
        <v>8</v>
      </c>
      <c r="G15" s="9" t="s">
        <v>68</v>
      </c>
      <c r="H15" s="9">
        <v>20</v>
      </c>
      <c r="I15" s="13">
        <f t="shared" si="0"/>
        <v>160</v>
      </c>
      <c r="J15" s="13">
        <f t="shared" si="1"/>
        <v>90.5</v>
      </c>
      <c r="K15" s="13">
        <f t="shared" si="2"/>
        <v>84</v>
      </c>
      <c r="L15" s="13">
        <f t="shared" si="3"/>
        <v>1040.5</v>
      </c>
      <c r="M15" s="13">
        <f t="shared" si="4"/>
        <v>58</v>
      </c>
      <c r="N15" s="13" t="b">
        <f t="shared" si="5"/>
        <v>0</v>
      </c>
      <c r="O15" s="13" t="b">
        <f t="shared" si="6"/>
        <v>1</v>
      </c>
      <c r="P15" s="13" t="str">
        <f t="shared" si="19"/>
        <v>C006613-bottles</v>
      </c>
      <c r="Q15" s="14" t="str">
        <f t="shared" si="7"/>
        <v>T078755
8</v>
      </c>
      <c r="R15" s="13" t="b">
        <f t="shared" si="8"/>
        <v>0</v>
      </c>
      <c r="S15" s="13" t="str">
        <f t="shared" si="9"/>
        <v>06</v>
      </c>
      <c r="T15" s="13" t="str">
        <f t="shared" si="10"/>
        <v>BOTTLES</v>
      </c>
      <c r="U15" s="13" t="str">
        <f t="shared" si="11"/>
        <v>bottles</v>
      </c>
      <c r="V15" s="13">
        <f t="shared" si="12"/>
        <v>2</v>
      </c>
      <c r="W15" s="13" t="str">
        <f t="shared" si="13"/>
        <v>T078755 8</v>
      </c>
      <c r="X15" s="13" t="str">
        <f t="shared" si="14"/>
        <v>S55545</v>
      </c>
      <c r="Y15" s="13" t="str">
        <f t="shared" si="15"/>
        <v>T07</v>
      </c>
      <c r="Z15" s="13" t="str">
        <f t="shared" si="16"/>
        <v>755</v>
      </c>
      <c r="AA15" s="13">
        <f t="shared" si="17"/>
        <v>2</v>
      </c>
      <c r="AB15" s="13">
        <f t="shared" si="18"/>
        <v>7</v>
      </c>
      <c r="AC15" s="10" t="s">
        <v>254</v>
      </c>
      <c r="AD15" s="13"/>
      <c r="AE15" s="13"/>
    </row>
    <row r="16" spans="1:31" ht="30" x14ac:dyDescent="0.25">
      <c r="A16" s="9" t="s">
        <v>21</v>
      </c>
      <c r="B16" s="9" t="s">
        <v>96</v>
      </c>
      <c r="C16" s="9" t="s">
        <v>97</v>
      </c>
      <c r="D16" s="9" t="s">
        <v>98</v>
      </c>
      <c r="E16" s="9" t="s">
        <v>99</v>
      </c>
      <c r="F16" s="9">
        <v>10</v>
      </c>
      <c r="G16" s="9" t="s">
        <v>36</v>
      </c>
      <c r="H16" s="9">
        <v>6.75</v>
      </c>
      <c r="I16" s="13">
        <f t="shared" si="0"/>
        <v>67.5</v>
      </c>
      <c r="J16" s="13">
        <f t="shared" si="1"/>
        <v>311.5</v>
      </c>
      <c r="K16" s="13">
        <f t="shared" si="2"/>
        <v>309</v>
      </c>
      <c r="L16" s="13">
        <f t="shared" si="3"/>
        <v>1298.75</v>
      </c>
      <c r="M16" s="13">
        <f t="shared" si="4"/>
        <v>83</v>
      </c>
      <c r="N16" s="13" t="b">
        <f t="shared" si="5"/>
        <v>0</v>
      </c>
      <c r="O16" s="13" t="b">
        <f t="shared" si="6"/>
        <v>1</v>
      </c>
      <c r="P16" s="13" t="str">
        <f t="shared" si="19"/>
        <v>C009139-cans</v>
      </c>
      <c r="Q16" s="14" t="str">
        <f t="shared" si="7"/>
        <v>T037206
10</v>
      </c>
      <c r="R16" s="13" t="b">
        <f t="shared" si="8"/>
        <v>0</v>
      </c>
      <c r="S16" s="13" t="str">
        <f t="shared" si="9"/>
        <v>02</v>
      </c>
      <c r="T16" s="13" t="str">
        <f t="shared" si="10"/>
        <v>CANS</v>
      </c>
      <c r="U16" s="13" t="str">
        <f t="shared" si="11"/>
        <v>cans</v>
      </c>
      <c r="V16" s="13">
        <f t="shared" si="12"/>
        <v>2</v>
      </c>
      <c r="W16" s="13" t="str">
        <f t="shared" si="13"/>
        <v>T037206 10</v>
      </c>
      <c r="X16" s="13" t="str">
        <f t="shared" si="14"/>
        <v>S5532</v>
      </c>
      <c r="Y16" s="13" t="str">
        <f t="shared" si="15"/>
        <v>T03</v>
      </c>
      <c r="Z16" s="13" t="str">
        <f t="shared" si="16"/>
        <v>206</v>
      </c>
      <c r="AA16" s="13">
        <f t="shared" si="17"/>
        <v>2</v>
      </c>
      <c r="AB16" s="13">
        <f t="shared" si="18"/>
        <v>4</v>
      </c>
      <c r="AC16" s="10" t="s">
        <v>278</v>
      </c>
      <c r="AD16" s="13"/>
      <c r="AE16" s="13"/>
    </row>
    <row r="17" spans="1:31" ht="30" x14ac:dyDescent="0.25">
      <c r="A17" s="9" t="s">
        <v>100</v>
      </c>
      <c r="B17" s="9" t="s">
        <v>101</v>
      </c>
      <c r="C17" s="9" t="s">
        <v>102</v>
      </c>
      <c r="D17" s="9" t="s">
        <v>103</v>
      </c>
      <c r="E17" s="9" t="s">
        <v>104</v>
      </c>
      <c r="F17" s="9">
        <v>3</v>
      </c>
      <c r="G17" s="9" t="s">
        <v>14</v>
      </c>
      <c r="H17" s="9">
        <v>16</v>
      </c>
      <c r="I17" s="13">
        <f t="shared" si="0"/>
        <v>48</v>
      </c>
      <c r="J17" s="13">
        <f t="shared" si="1"/>
        <v>382.5</v>
      </c>
      <c r="K17" s="13">
        <f t="shared" si="2"/>
        <v>379</v>
      </c>
      <c r="L17" s="13">
        <f t="shared" si="3"/>
        <v>2932</v>
      </c>
      <c r="M17" s="13">
        <f t="shared" si="4"/>
        <v>153</v>
      </c>
      <c r="N17" s="13" t="b">
        <f t="shared" si="5"/>
        <v>0</v>
      </c>
      <c r="O17" s="13" t="b">
        <f t="shared" si="6"/>
        <v>1</v>
      </c>
      <c r="P17" s="13" t="str">
        <f t="shared" si="19"/>
        <v>C000849-ct</v>
      </c>
      <c r="Q17" s="14" t="str">
        <f t="shared" si="7"/>
        <v>T045267
3</v>
      </c>
      <c r="R17" s="13" t="b">
        <f t="shared" si="8"/>
        <v>0</v>
      </c>
      <c r="S17" s="13" t="str">
        <f t="shared" si="9"/>
        <v>23</v>
      </c>
      <c r="T17" s="13" t="str">
        <f t="shared" si="10"/>
        <v>CT</v>
      </c>
      <c r="U17" s="13" t="str">
        <f t="shared" si="11"/>
        <v>ct</v>
      </c>
      <c r="V17" s="13">
        <f t="shared" si="12"/>
        <v>2</v>
      </c>
      <c r="W17" s="13" t="str">
        <f t="shared" si="13"/>
        <v>T045267 3</v>
      </c>
      <c r="X17" s="13" t="str">
        <f t="shared" si="14"/>
        <v>S55631</v>
      </c>
      <c r="Y17" s="13" t="str">
        <f t="shared" si="15"/>
        <v>T04</v>
      </c>
      <c r="Z17" s="13" t="str">
        <f t="shared" si="16"/>
        <v>267</v>
      </c>
      <c r="AA17" s="13">
        <f t="shared" si="17"/>
        <v>2</v>
      </c>
      <c r="AB17" s="13">
        <f t="shared" si="18"/>
        <v>2</v>
      </c>
      <c r="AC17" s="10" t="s">
        <v>411</v>
      </c>
      <c r="AD17" s="13"/>
      <c r="AE17" s="13"/>
    </row>
    <row r="18" spans="1:31" ht="30" x14ac:dyDescent="0.25">
      <c r="A18" s="9" t="s">
        <v>105</v>
      </c>
      <c r="B18" s="9" t="s">
        <v>106</v>
      </c>
      <c r="C18" s="9" t="s">
        <v>107</v>
      </c>
      <c r="D18" s="9" t="s">
        <v>108</v>
      </c>
      <c r="E18" s="9" t="s">
        <v>109</v>
      </c>
      <c r="F18" s="9">
        <v>6</v>
      </c>
      <c r="G18" s="9" t="s">
        <v>14</v>
      </c>
      <c r="H18" s="9">
        <v>15</v>
      </c>
      <c r="I18" s="13">
        <f t="shared" si="0"/>
        <v>90</v>
      </c>
      <c r="J18" s="13">
        <f t="shared" si="1"/>
        <v>245</v>
      </c>
      <c r="K18" s="13">
        <f t="shared" si="2"/>
        <v>239</v>
      </c>
      <c r="L18" s="13">
        <f t="shared" si="3"/>
        <v>2937</v>
      </c>
      <c r="M18" s="13">
        <f t="shared" si="4"/>
        <v>153</v>
      </c>
      <c r="N18" s="13" t="b">
        <f t="shared" si="5"/>
        <v>0</v>
      </c>
      <c r="O18" s="13" t="b">
        <f t="shared" si="6"/>
        <v>1</v>
      </c>
      <c r="P18" s="13" t="str">
        <f t="shared" si="19"/>
        <v>C005138-ct</v>
      </c>
      <c r="Q18" s="14" t="str">
        <f t="shared" si="7"/>
        <v>T017837
6</v>
      </c>
      <c r="R18" s="13" t="b">
        <f t="shared" si="8"/>
        <v>0</v>
      </c>
      <c r="S18" s="13" t="str">
        <f t="shared" si="9"/>
        <v>08</v>
      </c>
      <c r="T18" s="13" t="str">
        <f t="shared" si="10"/>
        <v>CT</v>
      </c>
      <c r="U18" s="13" t="str">
        <f t="shared" si="11"/>
        <v>ct</v>
      </c>
      <c r="V18" s="13">
        <f t="shared" si="12"/>
        <v>2</v>
      </c>
      <c r="W18" s="13" t="str">
        <f t="shared" si="13"/>
        <v>T017837 6</v>
      </c>
      <c r="X18" s="13" t="str">
        <f t="shared" si="14"/>
        <v>S5535</v>
      </c>
      <c r="Y18" s="13" t="str">
        <f t="shared" si="15"/>
        <v>T01</v>
      </c>
      <c r="Z18" s="13" t="str">
        <f t="shared" si="16"/>
        <v>837</v>
      </c>
      <c r="AA18" s="13">
        <f t="shared" si="17"/>
        <v>2</v>
      </c>
      <c r="AB18" s="13">
        <f t="shared" si="18"/>
        <v>2</v>
      </c>
      <c r="AC18" s="10" t="s">
        <v>416</v>
      </c>
      <c r="AD18" s="13"/>
      <c r="AE18" s="13"/>
    </row>
    <row r="19" spans="1:31" ht="30" x14ac:dyDescent="0.25">
      <c r="A19" s="9" t="s">
        <v>110</v>
      </c>
      <c r="B19" s="9" t="s">
        <v>111</v>
      </c>
      <c r="C19" s="9" t="s">
        <v>112</v>
      </c>
      <c r="D19" s="9" t="s">
        <v>113</v>
      </c>
      <c r="E19" s="9" t="s">
        <v>114</v>
      </c>
      <c r="F19" s="9">
        <v>3</v>
      </c>
      <c r="G19" s="9" t="s">
        <v>115</v>
      </c>
      <c r="H19" s="9">
        <v>15</v>
      </c>
      <c r="I19" s="13">
        <f t="shared" si="0"/>
        <v>45</v>
      </c>
      <c r="J19" s="13">
        <f t="shared" si="1"/>
        <v>396.5</v>
      </c>
      <c r="K19" s="13">
        <f t="shared" si="2"/>
        <v>394</v>
      </c>
      <c r="L19" s="13">
        <f t="shared" si="3"/>
        <v>452</v>
      </c>
      <c r="M19" s="13">
        <f t="shared" si="4"/>
        <v>27</v>
      </c>
      <c r="N19" s="13" t="b">
        <f t="shared" si="5"/>
        <v>0</v>
      </c>
      <c r="O19" s="13" t="b">
        <f t="shared" si="6"/>
        <v>1</v>
      </c>
      <c r="P19" s="13" t="str">
        <f t="shared" si="19"/>
        <v>C000136-bags</v>
      </c>
      <c r="Q19" s="14" t="str">
        <f t="shared" si="7"/>
        <v>T074844
3</v>
      </c>
      <c r="R19" s="13" t="b">
        <f t="shared" si="8"/>
        <v>0</v>
      </c>
      <c r="S19" s="13" t="str">
        <f t="shared" si="9"/>
        <v>16</v>
      </c>
      <c r="T19" s="13" t="str">
        <f t="shared" si="10"/>
        <v>BAGS</v>
      </c>
      <c r="U19" s="13" t="str">
        <f t="shared" si="11"/>
        <v>bags</v>
      </c>
      <c r="V19" s="13">
        <f t="shared" si="12"/>
        <v>2</v>
      </c>
      <c r="W19" s="13" t="str">
        <f t="shared" si="13"/>
        <v>T074844 3</v>
      </c>
      <c r="X19" s="13" t="str">
        <f t="shared" si="14"/>
        <v>S55158</v>
      </c>
      <c r="Y19" s="13" t="str">
        <f t="shared" si="15"/>
        <v>T07</v>
      </c>
      <c r="Z19" s="13" t="str">
        <f t="shared" si="16"/>
        <v>844</v>
      </c>
      <c r="AA19" s="13">
        <f t="shared" si="17"/>
        <v>2</v>
      </c>
      <c r="AB19" s="13">
        <f t="shared" si="18"/>
        <v>4</v>
      </c>
      <c r="AC19" s="10" t="s">
        <v>913</v>
      </c>
      <c r="AD19" s="13"/>
      <c r="AE19" s="13"/>
    </row>
    <row r="20" spans="1:31" ht="30" x14ac:dyDescent="0.25">
      <c r="A20" s="9" t="s">
        <v>116</v>
      </c>
      <c r="B20" s="9" t="s">
        <v>117</v>
      </c>
      <c r="C20" s="9" t="s">
        <v>118</v>
      </c>
      <c r="D20" s="9" t="s">
        <v>119</v>
      </c>
      <c r="E20" s="9" t="s">
        <v>120</v>
      </c>
      <c r="F20" s="9">
        <v>2</v>
      </c>
      <c r="G20" s="9" t="s">
        <v>68</v>
      </c>
      <c r="H20" s="9">
        <v>7.5</v>
      </c>
      <c r="I20" s="13">
        <f t="shared" si="0"/>
        <v>15</v>
      </c>
      <c r="J20" s="13">
        <f t="shared" si="1"/>
        <v>476.5</v>
      </c>
      <c r="K20" s="13">
        <f t="shared" si="2"/>
        <v>473</v>
      </c>
      <c r="L20" s="13">
        <f t="shared" si="3"/>
        <v>1020.5</v>
      </c>
      <c r="M20" s="13">
        <f t="shared" si="4"/>
        <v>57</v>
      </c>
      <c r="N20" s="13" t="b">
        <f t="shared" si="5"/>
        <v>0</v>
      </c>
      <c r="O20" s="13" t="b">
        <f t="shared" si="6"/>
        <v>1</v>
      </c>
      <c r="P20" s="13" t="str">
        <f t="shared" si="19"/>
        <v>C007305-bottles</v>
      </c>
      <c r="Q20" s="14" t="str">
        <f t="shared" si="7"/>
        <v>T06087
2</v>
      </c>
      <c r="R20" s="13" t="b">
        <f t="shared" si="8"/>
        <v>0</v>
      </c>
      <c r="S20" s="13" t="str">
        <f t="shared" si="9"/>
        <v>09</v>
      </c>
      <c r="T20" s="13" t="str">
        <f t="shared" si="10"/>
        <v>BOTTLES</v>
      </c>
      <c r="U20" s="13" t="str">
        <f t="shared" si="11"/>
        <v>bottles</v>
      </c>
      <c r="V20" s="13">
        <f t="shared" si="12"/>
        <v>2</v>
      </c>
      <c r="W20" s="13" t="str">
        <f t="shared" si="13"/>
        <v>T06087 2</v>
      </c>
      <c r="X20" s="13" t="str">
        <f t="shared" si="14"/>
        <v>S55455</v>
      </c>
      <c r="Y20" s="13" t="str">
        <f t="shared" si="15"/>
        <v>T06</v>
      </c>
      <c r="Z20" s="13" t="str">
        <f t="shared" si="16"/>
        <v>087</v>
      </c>
      <c r="AA20" s="13">
        <f t="shared" si="17"/>
        <v>2</v>
      </c>
      <c r="AB20" s="13">
        <f t="shared" si="18"/>
        <v>7</v>
      </c>
      <c r="AC20" s="10" t="s">
        <v>1335</v>
      </c>
      <c r="AD20" s="13"/>
      <c r="AE20" s="13"/>
    </row>
    <row r="21" spans="1:31" ht="30" x14ac:dyDescent="0.25">
      <c r="A21" s="9" t="s">
        <v>91</v>
      </c>
      <c r="B21" s="9" t="s">
        <v>121</v>
      </c>
      <c r="C21" s="9" t="s">
        <v>122</v>
      </c>
      <c r="D21" s="9" t="s">
        <v>123</v>
      </c>
      <c r="E21" s="9" t="s">
        <v>124</v>
      </c>
      <c r="F21" s="9">
        <v>9</v>
      </c>
      <c r="G21" s="9" t="s">
        <v>14</v>
      </c>
      <c r="H21" s="9">
        <v>15</v>
      </c>
      <c r="I21" s="13">
        <f t="shared" si="0"/>
        <v>135</v>
      </c>
      <c r="J21" s="13">
        <f t="shared" si="1"/>
        <v>134.5</v>
      </c>
      <c r="K21" s="13">
        <f t="shared" si="2"/>
        <v>133</v>
      </c>
      <c r="L21" s="13">
        <f t="shared" si="3"/>
        <v>2922</v>
      </c>
      <c r="M21" s="13">
        <f t="shared" si="4"/>
        <v>152</v>
      </c>
      <c r="N21" s="13" t="b">
        <f t="shared" si="5"/>
        <v>0</v>
      </c>
      <c r="O21" s="13" t="b">
        <f t="shared" si="6"/>
        <v>1</v>
      </c>
      <c r="P21" s="13" t="str">
        <f t="shared" si="19"/>
        <v>C006779-ct</v>
      </c>
      <c r="Q21" s="14" t="str">
        <f t="shared" si="7"/>
        <v>T097274
9</v>
      </c>
      <c r="R21" s="13" t="b">
        <f t="shared" si="8"/>
        <v>0</v>
      </c>
      <c r="S21" s="13" t="str">
        <f t="shared" si="9"/>
        <v>12</v>
      </c>
      <c r="T21" s="13" t="str">
        <f t="shared" si="10"/>
        <v>CT</v>
      </c>
      <c r="U21" s="13" t="str">
        <f t="shared" si="11"/>
        <v>ct</v>
      </c>
      <c r="V21" s="13">
        <f t="shared" si="12"/>
        <v>2</v>
      </c>
      <c r="W21" s="13" t="str">
        <f t="shared" si="13"/>
        <v>T097274 9</v>
      </c>
      <c r="X21" s="13" t="str">
        <f t="shared" si="14"/>
        <v>S5571</v>
      </c>
      <c r="Y21" s="13" t="str">
        <f t="shared" si="15"/>
        <v>T09</v>
      </c>
      <c r="Z21" s="13" t="str">
        <f t="shared" si="16"/>
        <v>274</v>
      </c>
      <c r="AA21" s="13">
        <f t="shared" si="17"/>
        <v>2</v>
      </c>
      <c r="AB21" s="13">
        <f t="shared" si="18"/>
        <v>2</v>
      </c>
      <c r="AC21" s="13"/>
      <c r="AD21" s="13"/>
      <c r="AE21" s="13"/>
    </row>
    <row r="22" spans="1:31" ht="30" x14ac:dyDescent="0.25">
      <c r="A22" s="9" t="s">
        <v>125</v>
      </c>
      <c r="B22" s="9" t="s">
        <v>126</v>
      </c>
      <c r="C22" s="9" t="s">
        <v>127</v>
      </c>
      <c r="D22" s="9" t="s">
        <v>128</v>
      </c>
      <c r="E22" s="9" t="s">
        <v>129</v>
      </c>
      <c r="F22" s="9">
        <v>9</v>
      </c>
      <c r="G22" s="9" t="s">
        <v>115</v>
      </c>
      <c r="H22" s="9">
        <v>17</v>
      </c>
      <c r="I22" s="13">
        <f t="shared" si="0"/>
        <v>153</v>
      </c>
      <c r="J22" s="13">
        <f t="shared" si="1"/>
        <v>105.5</v>
      </c>
      <c r="K22" s="13">
        <f t="shared" si="2"/>
        <v>103</v>
      </c>
      <c r="L22" s="13">
        <f t="shared" si="3"/>
        <v>437</v>
      </c>
      <c r="M22" s="13">
        <f t="shared" si="4"/>
        <v>26</v>
      </c>
      <c r="N22" s="13" t="b">
        <f t="shared" si="5"/>
        <v>0</v>
      </c>
      <c r="O22" s="13" t="b">
        <f t="shared" si="6"/>
        <v>1</v>
      </c>
      <c r="P22" s="13" t="str">
        <f t="shared" si="19"/>
        <v>C004337-bags</v>
      </c>
      <c r="Q22" s="14" t="str">
        <f t="shared" si="7"/>
        <v>T069004
9</v>
      </c>
      <c r="R22" s="13" t="b">
        <f t="shared" si="8"/>
        <v>0</v>
      </c>
      <c r="S22" s="13" t="str">
        <f t="shared" si="9"/>
        <v>15</v>
      </c>
      <c r="T22" s="13" t="str">
        <f t="shared" si="10"/>
        <v>BAGS</v>
      </c>
      <c r="U22" s="13" t="str">
        <f t="shared" si="11"/>
        <v>bags</v>
      </c>
      <c r="V22" s="13">
        <f t="shared" si="12"/>
        <v>2</v>
      </c>
      <c r="W22" s="13" t="str">
        <f t="shared" si="13"/>
        <v>T069004 9</v>
      </c>
      <c r="X22" s="13" t="str">
        <f t="shared" si="14"/>
        <v>S55616</v>
      </c>
      <c r="Y22" s="13" t="str">
        <f t="shared" si="15"/>
        <v>T06</v>
      </c>
      <c r="Z22" s="13" t="str">
        <f t="shared" si="16"/>
        <v>004</v>
      </c>
      <c r="AA22" s="13">
        <f t="shared" si="17"/>
        <v>2</v>
      </c>
      <c r="AB22" s="13">
        <f t="shared" si="18"/>
        <v>4</v>
      </c>
      <c r="AC22" s="13"/>
      <c r="AD22" s="13"/>
      <c r="AE22" s="13"/>
    </row>
    <row r="23" spans="1:31" ht="30" x14ac:dyDescent="0.25">
      <c r="A23" s="9" t="s">
        <v>130</v>
      </c>
      <c r="B23" s="9" t="s">
        <v>131</v>
      </c>
      <c r="C23" s="9" t="s">
        <v>132</v>
      </c>
      <c r="D23" s="9" t="s">
        <v>82</v>
      </c>
      <c r="E23" s="9" t="s">
        <v>133</v>
      </c>
      <c r="F23" s="9">
        <v>7</v>
      </c>
      <c r="G23" s="9" t="s">
        <v>36</v>
      </c>
      <c r="H23" s="9">
        <v>6.75</v>
      </c>
      <c r="I23" s="13">
        <f t="shared" si="0"/>
        <v>47.25</v>
      </c>
      <c r="J23" s="13">
        <f t="shared" si="1"/>
        <v>389</v>
      </c>
      <c r="K23" s="13">
        <f t="shared" si="2"/>
        <v>387</v>
      </c>
      <c r="L23" s="13">
        <f t="shared" si="3"/>
        <v>1363.25</v>
      </c>
      <c r="M23" s="13">
        <f t="shared" si="4"/>
        <v>84</v>
      </c>
      <c r="N23" s="13" t="b">
        <f t="shared" si="5"/>
        <v>0</v>
      </c>
      <c r="O23" s="13" t="b">
        <f t="shared" si="6"/>
        <v>1</v>
      </c>
      <c r="P23" s="13" t="str">
        <f t="shared" si="19"/>
        <v>C007044-cans</v>
      </c>
      <c r="Q23" s="14" t="str">
        <f t="shared" si="7"/>
        <v>T049755
7</v>
      </c>
      <c r="R23" s="13" t="b">
        <f t="shared" si="8"/>
        <v>0</v>
      </c>
      <c r="S23" s="13" t="str">
        <f t="shared" si="9"/>
        <v>01</v>
      </c>
      <c r="T23" s="13" t="str">
        <f t="shared" si="10"/>
        <v>CANS</v>
      </c>
      <c r="U23" s="13" t="str">
        <f t="shared" si="11"/>
        <v>cans</v>
      </c>
      <c r="V23" s="13">
        <f t="shared" si="12"/>
        <v>2</v>
      </c>
      <c r="W23" s="13" t="str">
        <f t="shared" si="13"/>
        <v>T049755 7</v>
      </c>
      <c r="X23" s="13" t="str">
        <f t="shared" si="14"/>
        <v>S55423</v>
      </c>
      <c r="Y23" s="13" t="str">
        <f t="shared" si="15"/>
        <v>T04</v>
      </c>
      <c r="Z23" s="13" t="str">
        <f t="shared" si="16"/>
        <v>755</v>
      </c>
      <c r="AA23" s="13">
        <f t="shared" si="17"/>
        <v>2</v>
      </c>
      <c r="AB23" s="13">
        <f t="shared" si="18"/>
        <v>4</v>
      </c>
      <c r="AC23" s="13"/>
      <c r="AD23" s="13"/>
      <c r="AE23" s="13"/>
    </row>
    <row r="24" spans="1:31" ht="30" x14ac:dyDescent="0.25">
      <c r="A24" s="9" t="s">
        <v>134</v>
      </c>
      <c r="B24" s="9" t="s">
        <v>135</v>
      </c>
      <c r="C24" s="9" t="s">
        <v>136</v>
      </c>
      <c r="D24" s="9" t="s">
        <v>137</v>
      </c>
      <c r="E24" s="9" t="s">
        <v>138</v>
      </c>
      <c r="F24" s="9">
        <v>4</v>
      </c>
      <c r="G24" s="9" t="s">
        <v>115</v>
      </c>
      <c r="H24" s="9">
        <v>15</v>
      </c>
      <c r="I24" s="13">
        <f t="shared" si="0"/>
        <v>60</v>
      </c>
      <c r="J24" s="13">
        <f t="shared" si="1"/>
        <v>344.5</v>
      </c>
      <c r="K24" s="13">
        <f t="shared" si="2"/>
        <v>337</v>
      </c>
      <c r="L24" s="13">
        <f t="shared" si="3"/>
        <v>420</v>
      </c>
      <c r="M24" s="13">
        <f t="shared" si="4"/>
        <v>25</v>
      </c>
      <c r="N24" s="13" t="b">
        <f t="shared" si="5"/>
        <v>0</v>
      </c>
      <c r="O24" s="13" t="b">
        <f t="shared" si="6"/>
        <v>1</v>
      </c>
      <c r="P24" s="13" t="str">
        <f t="shared" si="19"/>
        <v>C004437-bags</v>
      </c>
      <c r="Q24" s="14" t="str">
        <f t="shared" si="7"/>
        <v>T088776
4</v>
      </c>
      <c r="R24" s="13" t="b">
        <f t="shared" si="8"/>
        <v>0</v>
      </c>
      <c r="S24" s="13" t="str">
        <f t="shared" si="9"/>
        <v>15</v>
      </c>
      <c r="T24" s="13" t="str">
        <f t="shared" si="10"/>
        <v>BAGS</v>
      </c>
      <c r="U24" s="13" t="str">
        <f t="shared" si="11"/>
        <v>bags</v>
      </c>
      <c r="V24" s="13">
        <f t="shared" si="12"/>
        <v>2</v>
      </c>
      <c r="W24" s="13" t="str">
        <f t="shared" si="13"/>
        <v>T088776 4</v>
      </c>
      <c r="X24" s="13" t="str">
        <f t="shared" si="14"/>
        <v>S55658</v>
      </c>
      <c r="Y24" s="13" t="str">
        <f t="shared" si="15"/>
        <v>T08</v>
      </c>
      <c r="Z24" s="13" t="str">
        <f t="shared" si="16"/>
        <v>776</v>
      </c>
      <c r="AA24" s="13">
        <f t="shared" si="17"/>
        <v>2</v>
      </c>
      <c r="AB24" s="13">
        <f t="shared" si="18"/>
        <v>4</v>
      </c>
      <c r="AC24" s="13"/>
      <c r="AD24" s="13"/>
      <c r="AE24" s="13"/>
    </row>
    <row r="25" spans="1:31" ht="30" x14ac:dyDescent="0.25">
      <c r="A25" s="9" t="s">
        <v>100</v>
      </c>
      <c r="B25" s="9" t="s">
        <v>139</v>
      </c>
      <c r="C25" s="9" t="s">
        <v>140</v>
      </c>
      <c r="D25" s="9" t="s">
        <v>141</v>
      </c>
      <c r="E25" s="9" t="s">
        <v>142</v>
      </c>
      <c r="F25" s="9">
        <v>4</v>
      </c>
      <c r="G25" s="9" t="s">
        <v>36</v>
      </c>
      <c r="H25" s="9">
        <v>8</v>
      </c>
      <c r="I25" s="13">
        <f t="shared" si="0"/>
        <v>32</v>
      </c>
      <c r="J25" s="13">
        <f t="shared" si="1"/>
        <v>435</v>
      </c>
      <c r="K25" s="13">
        <f t="shared" si="2"/>
        <v>433</v>
      </c>
      <c r="L25" s="13">
        <f t="shared" si="3"/>
        <v>1372.5</v>
      </c>
      <c r="M25" s="13">
        <f t="shared" si="4"/>
        <v>84</v>
      </c>
      <c r="N25" s="13" t="b">
        <f t="shared" si="5"/>
        <v>0</v>
      </c>
      <c r="O25" s="13" t="b">
        <f t="shared" si="6"/>
        <v>1</v>
      </c>
      <c r="P25" s="13" t="str">
        <f t="shared" si="19"/>
        <v>C006330-cans</v>
      </c>
      <c r="Q25" s="14" t="str">
        <f t="shared" si="7"/>
        <v>T081360
4</v>
      </c>
      <c r="R25" s="13" t="b">
        <f t="shared" si="8"/>
        <v>0</v>
      </c>
      <c r="S25" s="13" t="str">
        <f t="shared" si="9"/>
        <v>04</v>
      </c>
      <c r="T25" s="13" t="str">
        <f t="shared" si="10"/>
        <v>CANS</v>
      </c>
      <c r="U25" s="13" t="str">
        <f t="shared" si="11"/>
        <v>cans</v>
      </c>
      <c r="V25" s="13">
        <f t="shared" si="12"/>
        <v>2</v>
      </c>
      <c r="W25" s="13" t="str">
        <f t="shared" si="13"/>
        <v>T081360 4</v>
      </c>
      <c r="X25" s="13" t="str">
        <f t="shared" si="14"/>
        <v>S55628</v>
      </c>
      <c r="Y25" s="13" t="str">
        <f t="shared" si="15"/>
        <v>T08</v>
      </c>
      <c r="Z25" s="13" t="str">
        <f t="shared" si="16"/>
        <v>360</v>
      </c>
      <c r="AA25" s="13">
        <f t="shared" si="17"/>
        <v>2</v>
      </c>
      <c r="AB25" s="13">
        <f t="shared" si="18"/>
        <v>4</v>
      </c>
      <c r="AC25" s="13"/>
      <c r="AD25" s="13"/>
      <c r="AE25" s="13"/>
    </row>
    <row r="26" spans="1:31" ht="30" x14ac:dyDescent="0.25">
      <c r="A26" s="9" t="s">
        <v>84</v>
      </c>
      <c r="B26" s="9" t="s">
        <v>143</v>
      </c>
      <c r="C26" s="9" t="s">
        <v>144</v>
      </c>
      <c r="D26" s="9" t="s">
        <v>123</v>
      </c>
      <c r="E26" s="9" t="s">
        <v>145</v>
      </c>
      <c r="F26" s="9">
        <v>7</v>
      </c>
      <c r="G26" s="9" t="s">
        <v>14</v>
      </c>
      <c r="H26" s="9">
        <v>15</v>
      </c>
      <c r="I26" s="13">
        <f t="shared" si="0"/>
        <v>105</v>
      </c>
      <c r="J26" s="13">
        <f t="shared" si="1"/>
        <v>202.5</v>
      </c>
      <c r="K26" s="13">
        <f t="shared" si="2"/>
        <v>199</v>
      </c>
      <c r="L26" s="13">
        <f t="shared" si="3"/>
        <v>2948</v>
      </c>
      <c r="M26" s="13">
        <f t="shared" si="4"/>
        <v>153</v>
      </c>
      <c r="N26" s="13" t="b">
        <f t="shared" si="5"/>
        <v>0</v>
      </c>
      <c r="O26" s="13" t="b">
        <f t="shared" si="6"/>
        <v>1</v>
      </c>
      <c r="P26" s="13" t="str">
        <f t="shared" si="19"/>
        <v>C004953-ct</v>
      </c>
      <c r="Q26" s="14" t="str">
        <f t="shared" si="7"/>
        <v>T064303
7</v>
      </c>
      <c r="R26" s="13" t="b">
        <f t="shared" si="8"/>
        <v>0</v>
      </c>
      <c r="S26" s="13" t="str">
        <f t="shared" si="9"/>
        <v>12</v>
      </c>
      <c r="T26" s="13" t="str">
        <f t="shared" si="10"/>
        <v>CT</v>
      </c>
      <c r="U26" s="13" t="str">
        <f t="shared" si="11"/>
        <v>ct</v>
      </c>
      <c r="V26" s="13">
        <f t="shared" si="12"/>
        <v>2</v>
      </c>
      <c r="W26" s="13" t="str">
        <f t="shared" si="13"/>
        <v>T064303 7</v>
      </c>
      <c r="X26" s="13" t="str">
        <f t="shared" si="14"/>
        <v>S55197</v>
      </c>
      <c r="Y26" s="13" t="str">
        <f t="shared" si="15"/>
        <v>T06</v>
      </c>
      <c r="Z26" s="13" t="str">
        <f t="shared" si="16"/>
        <v>303</v>
      </c>
      <c r="AA26" s="13">
        <f t="shared" si="17"/>
        <v>2</v>
      </c>
      <c r="AB26" s="13">
        <f t="shared" si="18"/>
        <v>2</v>
      </c>
      <c r="AC26" s="13"/>
      <c r="AD26" s="13"/>
      <c r="AE26" s="13"/>
    </row>
    <row r="27" spans="1:31" ht="30" x14ac:dyDescent="0.25">
      <c r="A27" s="9" t="s">
        <v>146</v>
      </c>
      <c r="B27" s="9" t="s">
        <v>147</v>
      </c>
      <c r="C27" s="9" t="s">
        <v>148</v>
      </c>
      <c r="D27" s="9" t="s">
        <v>149</v>
      </c>
      <c r="E27" s="9" t="s">
        <v>150</v>
      </c>
      <c r="F27" s="9">
        <v>8</v>
      </c>
      <c r="G27" s="9" t="s">
        <v>68</v>
      </c>
      <c r="H27" s="9">
        <v>17</v>
      </c>
      <c r="I27" s="13">
        <f t="shared" si="0"/>
        <v>136</v>
      </c>
      <c r="J27" s="13">
        <f t="shared" si="1"/>
        <v>130.5</v>
      </c>
      <c r="K27" s="13">
        <f t="shared" si="2"/>
        <v>129</v>
      </c>
      <c r="L27" s="13">
        <f t="shared" si="3"/>
        <v>1013</v>
      </c>
      <c r="M27" s="13">
        <f t="shared" si="4"/>
        <v>56</v>
      </c>
      <c r="N27" s="13" t="b">
        <f t="shared" si="5"/>
        <v>0</v>
      </c>
      <c r="O27" s="13" t="b">
        <f t="shared" si="6"/>
        <v>1</v>
      </c>
      <c r="P27" s="13" t="str">
        <f t="shared" si="19"/>
        <v>C009102-bottles</v>
      </c>
      <c r="Q27" s="14" t="str">
        <f t="shared" si="7"/>
        <v>T034213
8</v>
      </c>
      <c r="R27" s="13" t="b">
        <f t="shared" si="8"/>
        <v>0</v>
      </c>
      <c r="S27" s="13" t="str">
        <f t="shared" si="9"/>
        <v>07</v>
      </c>
      <c r="T27" s="13" t="str">
        <f t="shared" si="10"/>
        <v>BOTTLES</v>
      </c>
      <c r="U27" s="13" t="str">
        <f t="shared" si="11"/>
        <v>bottles</v>
      </c>
      <c r="V27" s="13">
        <f t="shared" si="12"/>
        <v>2</v>
      </c>
      <c r="W27" s="13" t="str">
        <f t="shared" si="13"/>
        <v>T034213 8</v>
      </c>
      <c r="X27" s="13" t="str">
        <f t="shared" si="14"/>
        <v>S55172</v>
      </c>
      <c r="Y27" s="13" t="str">
        <f t="shared" si="15"/>
        <v>T03</v>
      </c>
      <c r="Z27" s="13" t="str">
        <f t="shared" si="16"/>
        <v>213</v>
      </c>
      <c r="AA27" s="13">
        <f t="shared" si="17"/>
        <v>2</v>
      </c>
      <c r="AB27" s="13">
        <f t="shared" si="18"/>
        <v>7</v>
      </c>
      <c r="AC27" s="13"/>
      <c r="AD27" s="13"/>
      <c r="AE27" s="13"/>
    </row>
    <row r="28" spans="1:31" ht="30" x14ac:dyDescent="0.25">
      <c r="A28" s="9" t="s">
        <v>134</v>
      </c>
      <c r="B28" s="9" t="s">
        <v>151</v>
      </c>
      <c r="C28" s="9" t="s">
        <v>152</v>
      </c>
      <c r="D28" s="9" t="s">
        <v>153</v>
      </c>
      <c r="E28" s="9" t="s">
        <v>154</v>
      </c>
      <c r="F28" s="9">
        <v>1</v>
      </c>
      <c r="G28" s="9" t="s">
        <v>14</v>
      </c>
      <c r="H28" s="9">
        <v>42</v>
      </c>
      <c r="I28" s="13">
        <f t="shared" si="0"/>
        <v>42</v>
      </c>
      <c r="J28" s="13">
        <f t="shared" si="1"/>
        <v>404</v>
      </c>
      <c r="K28" s="13">
        <f t="shared" si="2"/>
        <v>400</v>
      </c>
      <c r="L28" s="13">
        <f t="shared" si="3"/>
        <v>2972</v>
      </c>
      <c r="M28" s="13">
        <f t="shared" si="4"/>
        <v>154</v>
      </c>
      <c r="N28" s="13" t="b">
        <f t="shared" si="5"/>
        <v>1</v>
      </c>
      <c r="O28" s="13" t="b">
        <f t="shared" si="6"/>
        <v>1</v>
      </c>
      <c r="P28" s="13" t="str">
        <f t="shared" si="19"/>
        <v>C001667-ct</v>
      </c>
      <c r="Q28" s="14" t="str">
        <f t="shared" si="7"/>
        <v>T03431
1</v>
      </c>
      <c r="R28" s="13" t="b">
        <f t="shared" si="8"/>
        <v>0</v>
      </c>
      <c r="S28" s="13" t="str">
        <f t="shared" si="9"/>
        <v>11</v>
      </c>
      <c r="T28" s="13" t="str">
        <f t="shared" si="10"/>
        <v>CT</v>
      </c>
      <c r="U28" s="13" t="str">
        <f t="shared" si="11"/>
        <v>ct</v>
      </c>
      <c r="V28" s="13">
        <f t="shared" si="12"/>
        <v>2</v>
      </c>
      <c r="W28" s="13" t="str">
        <f t="shared" si="13"/>
        <v>T03431 1</v>
      </c>
      <c r="X28" s="13" t="str">
        <f t="shared" si="14"/>
        <v>S55319</v>
      </c>
      <c r="Y28" s="13" t="str">
        <f t="shared" si="15"/>
        <v>T03</v>
      </c>
      <c r="Z28" s="13" t="str">
        <f t="shared" si="16"/>
        <v>431</v>
      </c>
      <c r="AA28" s="13">
        <f t="shared" si="17"/>
        <v>2</v>
      </c>
      <c r="AB28" s="13">
        <f t="shared" si="18"/>
        <v>2</v>
      </c>
      <c r="AC28" s="13"/>
      <c r="AD28" s="13"/>
      <c r="AE28" s="13"/>
    </row>
    <row r="29" spans="1:31" ht="30" x14ac:dyDescent="0.25">
      <c r="A29" s="9" t="s">
        <v>155</v>
      </c>
      <c r="B29" s="9" t="s">
        <v>156</v>
      </c>
      <c r="C29" s="9" t="s">
        <v>157</v>
      </c>
      <c r="D29" s="9" t="s">
        <v>158</v>
      </c>
      <c r="E29" s="9" t="s">
        <v>159</v>
      </c>
      <c r="F29" s="9">
        <v>10</v>
      </c>
      <c r="G29" s="9" t="s">
        <v>68</v>
      </c>
      <c r="H29" s="9">
        <v>17</v>
      </c>
      <c r="I29" s="13">
        <f t="shared" si="0"/>
        <v>170</v>
      </c>
      <c r="J29" s="13">
        <f t="shared" si="1"/>
        <v>74</v>
      </c>
      <c r="K29" s="13">
        <f t="shared" si="2"/>
        <v>72</v>
      </c>
      <c r="L29" s="13">
        <f t="shared" si="3"/>
        <v>996</v>
      </c>
      <c r="M29" s="13">
        <f t="shared" si="4"/>
        <v>55</v>
      </c>
      <c r="N29" s="13" t="b">
        <f t="shared" si="5"/>
        <v>0</v>
      </c>
      <c r="O29" s="13" t="b">
        <f t="shared" si="6"/>
        <v>1</v>
      </c>
      <c r="P29" s="13" t="str">
        <f t="shared" si="19"/>
        <v>C003131-bottles</v>
      </c>
      <c r="Q29" s="14" t="str">
        <f t="shared" si="7"/>
        <v>T072373
10</v>
      </c>
      <c r="R29" s="13" t="b">
        <f t="shared" si="8"/>
        <v>0</v>
      </c>
      <c r="S29" s="13" t="str">
        <f t="shared" si="9"/>
        <v>07</v>
      </c>
      <c r="T29" s="13" t="str">
        <f t="shared" si="10"/>
        <v>BOTTLES</v>
      </c>
      <c r="U29" s="13" t="str">
        <f t="shared" si="11"/>
        <v>bottles</v>
      </c>
      <c r="V29" s="13">
        <f t="shared" si="12"/>
        <v>2</v>
      </c>
      <c r="W29" s="13" t="str">
        <f t="shared" si="13"/>
        <v>T072373 10</v>
      </c>
      <c r="X29" s="13" t="str">
        <f t="shared" si="14"/>
        <v>S55462</v>
      </c>
      <c r="Y29" s="13" t="str">
        <f t="shared" si="15"/>
        <v>T07</v>
      </c>
      <c r="Z29" s="13" t="str">
        <f t="shared" si="16"/>
        <v>373</v>
      </c>
      <c r="AA29" s="13">
        <f t="shared" si="17"/>
        <v>2</v>
      </c>
      <c r="AB29" s="13">
        <f t="shared" si="18"/>
        <v>7</v>
      </c>
      <c r="AC29" s="13"/>
      <c r="AD29" s="13"/>
      <c r="AE29" s="13"/>
    </row>
    <row r="30" spans="1:31" ht="30" x14ac:dyDescent="0.25">
      <c r="A30" s="9" t="s">
        <v>110</v>
      </c>
      <c r="B30" s="9" t="s">
        <v>160</v>
      </c>
      <c r="C30" s="9" t="s">
        <v>161</v>
      </c>
      <c r="D30" s="9" t="s">
        <v>18</v>
      </c>
      <c r="E30" s="9" t="s">
        <v>162</v>
      </c>
      <c r="F30" s="9">
        <v>2</v>
      </c>
      <c r="G30" s="9" t="s">
        <v>20</v>
      </c>
      <c r="H30" s="9">
        <v>26</v>
      </c>
      <c r="I30" s="13">
        <f t="shared" si="0"/>
        <v>52</v>
      </c>
      <c r="J30" s="13">
        <f t="shared" si="1"/>
        <v>371</v>
      </c>
      <c r="K30" s="13">
        <f t="shared" si="2"/>
        <v>370</v>
      </c>
      <c r="L30" s="13">
        <f t="shared" si="3"/>
        <v>78</v>
      </c>
      <c r="M30" s="13">
        <f t="shared" si="4"/>
        <v>3</v>
      </c>
      <c r="N30" s="13" t="b">
        <f t="shared" si="5"/>
        <v>1</v>
      </c>
      <c r="O30" s="13" t="b">
        <f t="shared" si="6"/>
        <v>1</v>
      </c>
      <c r="P30" s="13" t="str">
        <f t="shared" si="19"/>
        <v>C000117-rolls</v>
      </c>
      <c r="Q30" s="14" t="str">
        <f t="shared" si="7"/>
        <v>T016070
2</v>
      </c>
      <c r="R30" s="13" t="b">
        <f t="shared" si="8"/>
        <v>0</v>
      </c>
      <c r="S30" s="13" t="str">
        <f t="shared" si="9"/>
        <v>24</v>
      </c>
      <c r="T30" s="13" t="str">
        <f t="shared" si="10"/>
        <v>ROLLS</v>
      </c>
      <c r="U30" s="13" t="str">
        <f t="shared" si="11"/>
        <v>rolls</v>
      </c>
      <c r="V30" s="13">
        <f t="shared" si="12"/>
        <v>2</v>
      </c>
      <c r="W30" s="13" t="str">
        <f t="shared" si="13"/>
        <v>T016070 2</v>
      </c>
      <c r="X30" s="13" t="str">
        <f t="shared" si="14"/>
        <v>S55465</v>
      </c>
      <c r="Y30" s="13" t="str">
        <f t="shared" si="15"/>
        <v>T01</v>
      </c>
      <c r="Z30" s="13" t="str">
        <f t="shared" si="16"/>
        <v>070</v>
      </c>
      <c r="AA30" s="13">
        <f t="shared" si="17"/>
        <v>2</v>
      </c>
      <c r="AB30" s="13">
        <f t="shared" si="18"/>
        <v>5</v>
      </c>
      <c r="AC30" s="13"/>
      <c r="AD30" s="13"/>
      <c r="AE30" s="13"/>
    </row>
    <row r="31" spans="1:31" ht="30" x14ac:dyDescent="0.25">
      <c r="A31" s="9" t="s">
        <v>9</v>
      </c>
      <c r="B31" s="9" t="s">
        <v>163</v>
      </c>
      <c r="C31" s="9" t="s">
        <v>164</v>
      </c>
      <c r="D31" s="9" t="s">
        <v>165</v>
      </c>
      <c r="E31" s="9" t="s">
        <v>166</v>
      </c>
      <c r="F31" s="9">
        <v>8</v>
      </c>
      <c r="G31" s="9" t="s">
        <v>14</v>
      </c>
      <c r="H31" s="9">
        <v>16</v>
      </c>
      <c r="I31" s="13">
        <f t="shared" si="0"/>
        <v>128</v>
      </c>
      <c r="J31" s="13">
        <f t="shared" si="1"/>
        <v>150</v>
      </c>
      <c r="K31" s="13">
        <f t="shared" si="2"/>
        <v>148</v>
      </c>
      <c r="L31" s="13">
        <f t="shared" si="3"/>
        <v>2944</v>
      </c>
      <c r="M31" s="13">
        <f t="shared" si="4"/>
        <v>154</v>
      </c>
      <c r="N31" s="13" t="b">
        <f t="shared" si="5"/>
        <v>0</v>
      </c>
      <c r="O31" s="13" t="b">
        <f t="shared" si="6"/>
        <v>1</v>
      </c>
      <c r="P31" s="13" t="str">
        <f t="shared" si="19"/>
        <v>C008372-ct</v>
      </c>
      <c r="Q31" s="14" t="str">
        <f t="shared" si="7"/>
        <v>T011517
8</v>
      </c>
      <c r="R31" s="13" t="b">
        <f t="shared" si="8"/>
        <v>0</v>
      </c>
      <c r="S31" s="13" t="str">
        <f t="shared" si="9"/>
        <v>11</v>
      </c>
      <c r="T31" s="13" t="str">
        <f t="shared" si="10"/>
        <v>CT</v>
      </c>
      <c r="U31" s="13" t="str">
        <f t="shared" si="11"/>
        <v>ct</v>
      </c>
      <c r="V31" s="13">
        <f t="shared" si="12"/>
        <v>2</v>
      </c>
      <c r="W31" s="13" t="str">
        <f t="shared" si="13"/>
        <v>T011517 8</v>
      </c>
      <c r="X31" s="13" t="str">
        <f t="shared" si="14"/>
        <v>S55415</v>
      </c>
      <c r="Y31" s="13" t="str">
        <f t="shared" si="15"/>
        <v>T01</v>
      </c>
      <c r="Z31" s="13" t="str">
        <f t="shared" si="16"/>
        <v>517</v>
      </c>
      <c r="AA31" s="13">
        <f t="shared" si="17"/>
        <v>2</v>
      </c>
      <c r="AB31" s="13">
        <f t="shared" si="18"/>
        <v>2</v>
      </c>
      <c r="AC31" s="13"/>
      <c r="AD31" s="13"/>
      <c r="AE31" s="13"/>
    </row>
    <row r="32" spans="1:31" ht="30" x14ac:dyDescent="0.25">
      <c r="A32" s="9" t="s">
        <v>134</v>
      </c>
      <c r="B32" s="9" t="s">
        <v>167</v>
      </c>
      <c r="C32" s="9" t="s">
        <v>168</v>
      </c>
      <c r="D32" s="9" t="s">
        <v>169</v>
      </c>
      <c r="E32" s="9" t="s">
        <v>170</v>
      </c>
      <c r="F32" s="9">
        <v>1</v>
      </c>
      <c r="G32" s="9" t="s">
        <v>68</v>
      </c>
      <c r="H32" s="9">
        <v>20</v>
      </c>
      <c r="I32" s="13">
        <f t="shared" si="0"/>
        <v>20</v>
      </c>
      <c r="J32" s="13">
        <f t="shared" si="1"/>
        <v>464</v>
      </c>
      <c r="K32" s="13">
        <f t="shared" si="2"/>
        <v>462</v>
      </c>
      <c r="L32" s="13">
        <f t="shared" si="3"/>
        <v>1001</v>
      </c>
      <c r="M32" s="13">
        <f t="shared" si="4"/>
        <v>55</v>
      </c>
      <c r="N32" s="13" t="b">
        <f t="shared" si="5"/>
        <v>0</v>
      </c>
      <c r="O32" s="13" t="b">
        <f t="shared" si="6"/>
        <v>1</v>
      </c>
      <c r="P32" s="13" t="str">
        <f t="shared" si="19"/>
        <v>C000587-bottles</v>
      </c>
      <c r="Q32" s="14" t="str">
        <f t="shared" si="7"/>
        <v>T098189
1</v>
      </c>
      <c r="R32" s="13" t="b">
        <f t="shared" si="8"/>
        <v>0</v>
      </c>
      <c r="S32" s="13" t="str">
        <f t="shared" si="9"/>
        <v>06</v>
      </c>
      <c r="T32" s="13" t="str">
        <f t="shared" si="10"/>
        <v>BOTTLES</v>
      </c>
      <c r="U32" s="13" t="str">
        <f t="shared" si="11"/>
        <v>bottles</v>
      </c>
      <c r="V32" s="13">
        <f t="shared" si="12"/>
        <v>2</v>
      </c>
      <c r="W32" s="13" t="str">
        <f t="shared" si="13"/>
        <v>T098189 1</v>
      </c>
      <c r="X32" s="13" t="str">
        <f t="shared" si="14"/>
        <v>S55142</v>
      </c>
      <c r="Y32" s="13" t="str">
        <f t="shared" si="15"/>
        <v>T09</v>
      </c>
      <c r="Z32" s="13" t="str">
        <f t="shared" si="16"/>
        <v>189</v>
      </c>
      <c r="AA32" s="13">
        <f t="shared" si="17"/>
        <v>2</v>
      </c>
      <c r="AB32" s="13">
        <f t="shared" si="18"/>
        <v>7</v>
      </c>
      <c r="AC32" s="13"/>
      <c r="AD32" s="13"/>
      <c r="AE32" s="13"/>
    </row>
    <row r="33" spans="1:31" ht="30" x14ac:dyDescent="0.25">
      <c r="A33" s="9" t="s">
        <v>171</v>
      </c>
      <c r="B33" s="9" t="s">
        <v>172</v>
      </c>
      <c r="C33" s="9" t="s">
        <v>173</v>
      </c>
      <c r="D33" s="9" t="s">
        <v>174</v>
      </c>
      <c r="E33" s="9" t="s">
        <v>175</v>
      </c>
      <c r="F33" s="9">
        <v>2</v>
      </c>
      <c r="G33" s="9" t="s">
        <v>176</v>
      </c>
      <c r="H33" s="9">
        <v>15</v>
      </c>
      <c r="I33" s="13">
        <f t="shared" si="0"/>
        <v>30</v>
      </c>
      <c r="J33" s="13">
        <f t="shared" si="1"/>
        <v>440.5</v>
      </c>
      <c r="K33" s="13">
        <f t="shared" si="2"/>
        <v>439</v>
      </c>
      <c r="L33" s="13">
        <f t="shared" si="3"/>
        <v>470.5</v>
      </c>
      <c r="M33" s="13">
        <f t="shared" si="4"/>
        <v>30</v>
      </c>
      <c r="N33" s="13" t="b">
        <f t="shared" si="5"/>
        <v>0</v>
      </c>
      <c r="O33" s="13" t="b">
        <f t="shared" si="6"/>
        <v>1</v>
      </c>
      <c r="P33" s="13" t="str">
        <f t="shared" si="19"/>
        <v>C002814-oz</v>
      </c>
      <c r="Q33" s="14" t="str">
        <f t="shared" si="7"/>
        <v>T095863
2</v>
      </c>
      <c r="R33" s="13" t="b">
        <f t="shared" si="8"/>
        <v>0</v>
      </c>
      <c r="S33" s="13" t="str">
        <f t="shared" si="9"/>
        <v>10</v>
      </c>
      <c r="T33" s="13" t="str">
        <f t="shared" si="10"/>
        <v>OZ</v>
      </c>
      <c r="U33" s="13" t="str">
        <f t="shared" si="11"/>
        <v>oz</v>
      </c>
      <c r="V33" s="13">
        <f t="shared" si="12"/>
        <v>2</v>
      </c>
      <c r="W33" s="13" t="str">
        <f t="shared" si="13"/>
        <v>T095863 2</v>
      </c>
      <c r="X33" s="13" t="str">
        <f t="shared" si="14"/>
        <v>S55563</v>
      </c>
      <c r="Y33" s="13" t="str">
        <f t="shared" si="15"/>
        <v>T09</v>
      </c>
      <c r="Z33" s="13" t="str">
        <f t="shared" si="16"/>
        <v>863</v>
      </c>
      <c r="AA33" s="13">
        <f t="shared" si="17"/>
        <v>2</v>
      </c>
      <c r="AB33" s="13">
        <f t="shared" si="18"/>
        <v>2</v>
      </c>
      <c r="AC33" s="13"/>
      <c r="AD33" s="13"/>
      <c r="AE33" s="13"/>
    </row>
    <row r="34" spans="1:31" ht="30" x14ac:dyDescent="0.25">
      <c r="A34" s="9" t="s">
        <v>177</v>
      </c>
      <c r="B34" s="9" t="s">
        <v>178</v>
      </c>
      <c r="C34" s="9" t="s">
        <v>179</v>
      </c>
      <c r="D34" s="9" t="s">
        <v>180</v>
      </c>
      <c r="E34" s="9" t="s">
        <v>181</v>
      </c>
      <c r="F34" s="9">
        <v>11</v>
      </c>
      <c r="G34" s="9" t="s">
        <v>36</v>
      </c>
      <c r="H34" s="9">
        <v>6.75</v>
      </c>
      <c r="I34" s="13">
        <f t="shared" si="0"/>
        <v>74.25</v>
      </c>
      <c r="J34" s="13">
        <f t="shared" si="1"/>
        <v>289.5</v>
      </c>
      <c r="K34" s="13">
        <f t="shared" si="2"/>
        <v>288</v>
      </c>
      <c r="L34" s="13">
        <f t="shared" si="3"/>
        <v>1411.25</v>
      </c>
      <c r="M34" s="13">
        <f t="shared" si="4"/>
        <v>85</v>
      </c>
      <c r="N34" s="13" t="b">
        <f t="shared" si="5"/>
        <v>0</v>
      </c>
      <c r="O34" s="13" t="b">
        <f t="shared" si="6"/>
        <v>1</v>
      </c>
      <c r="P34" s="13" t="str">
        <f t="shared" si="19"/>
        <v>C006599-cans</v>
      </c>
      <c r="Q34" s="14" t="str">
        <f t="shared" si="7"/>
        <v>T01535
11</v>
      </c>
      <c r="R34" s="13" t="b">
        <f t="shared" si="8"/>
        <v>0</v>
      </c>
      <c r="S34" s="13" t="str">
        <f t="shared" si="9"/>
        <v>07</v>
      </c>
      <c r="T34" s="13" t="str">
        <f t="shared" si="10"/>
        <v>CANS</v>
      </c>
      <c r="U34" s="13" t="str">
        <f t="shared" si="11"/>
        <v>cans</v>
      </c>
      <c r="V34" s="13">
        <f t="shared" si="12"/>
        <v>2</v>
      </c>
      <c r="W34" s="13" t="str">
        <f t="shared" si="13"/>
        <v>T01535 11</v>
      </c>
      <c r="X34" s="13" t="str">
        <f t="shared" si="14"/>
        <v>S55317</v>
      </c>
      <c r="Y34" s="13" t="str">
        <f t="shared" si="15"/>
        <v>T01</v>
      </c>
      <c r="Z34" s="13" t="str">
        <f t="shared" si="16"/>
        <v>535</v>
      </c>
      <c r="AA34" s="13">
        <f t="shared" si="17"/>
        <v>2</v>
      </c>
      <c r="AB34" s="13">
        <f t="shared" si="18"/>
        <v>4</v>
      </c>
      <c r="AC34" s="13"/>
      <c r="AD34" s="13"/>
      <c r="AE34" s="13"/>
    </row>
    <row r="35" spans="1:31" ht="30" x14ac:dyDescent="0.25">
      <c r="A35" s="9" t="s">
        <v>182</v>
      </c>
      <c r="B35" s="9" t="s">
        <v>183</v>
      </c>
      <c r="C35" s="9" t="s">
        <v>184</v>
      </c>
      <c r="D35" s="9" t="s">
        <v>185</v>
      </c>
      <c r="E35" s="9" t="s">
        <v>186</v>
      </c>
      <c r="F35" s="9">
        <v>6</v>
      </c>
      <c r="G35" s="9" t="s">
        <v>187</v>
      </c>
      <c r="H35" s="9">
        <v>15</v>
      </c>
      <c r="I35" s="13">
        <f t="shared" si="0"/>
        <v>90</v>
      </c>
      <c r="J35" s="13">
        <f t="shared" si="1"/>
        <v>245</v>
      </c>
      <c r="K35" s="13">
        <f t="shared" si="2"/>
        <v>239</v>
      </c>
      <c r="L35" s="13">
        <f t="shared" si="3"/>
        <v>93</v>
      </c>
      <c r="M35" s="13">
        <f t="shared" si="4"/>
        <v>6</v>
      </c>
      <c r="N35" s="13" t="b">
        <f t="shared" si="5"/>
        <v>0</v>
      </c>
      <c r="O35" s="13" t="b">
        <f t="shared" si="6"/>
        <v>1</v>
      </c>
      <c r="P35" s="13" t="str">
        <f t="shared" si="19"/>
        <v>C004506-tubs</v>
      </c>
      <c r="Q35" s="14" t="str">
        <f t="shared" si="7"/>
        <v>T034740
6</v>
      </c>
      <c r="R35" s="13" t="b">
        <f t="shared" si="8"/>
        <v>0</v>
      </c>
      <c r="S35" s="13" t="str">
        <f t="shared" si="9"/>
        <v>10</v>
      </c>
      <c r="T35" s="13" t="str">
        <f t="shared" si="10"/>
        <v>TUBS</v>
      </c>
      <c r="U35" s="13" t="str">
        <f t="shared" si="11"/>
        <v>tubs</v>
      </c>
      <c r="V35" s="13">
        <f t="shared" si="12"/>
        <v>2</v>
      </c>
      <c r="W35" s="13" t="str">
        <f t="shared" si="13"/>
        <v>T034740 6</v>
      </c>
      <c r="X35" s="13" t="str">
        <f t="shared" si="14"/>
        <v>S5595</v>
      </c>
      <c r="Y35" s="13" t="str">
        <f t="shared" si="15"/>
        <v>T03</v>
      </c>
      <c r="Z35" s="13" t="str">
        <f t="shared" si="16"/>
        <v>740</v>
      </c>
      <c r="AA35" s="13">
        <f t="shared" si="17"/>
        <v>2</v>
      </c>
      <c r="AB35" s="13">
        <f t="shared" si="18"/>
        <v>4</v>
      </c>
      <c r="AC35" s="13"/>
      <c r="AD35" s="13"/>
      <c r="AE35" s="13"/>
    </row>
    <row r="36" spans="1:31" ht="30" x14ac:dyDescent="0.25">
      <c r="A36" s="9" t="s">
        <v>105</v>
      </c>
      <c r="B36" s="9" t="s">
        <v>188</v>
      </c>
      <c r="C36" s="9" t="s">
        <v>189</v>
      </c>
      <c r="D36" s="9" t="s">
        <v>190</v>
      </c>
      <c r="E36" s="9" t="s">
        <v>191</v>
      </c>
      <c r="F36" s="9">
        <v>3</v>
      </c>
      <c r="G36" s="9" t="s">
        <v>14</v>
      </c>
      <c r="H36" s="9">
        <v>6</v>
      </c>
      <c r="I36" s="13">
        <f t="shared" si="0"/>
        <v>18</v>
      </c>
      <c r="J36" s="13">
        <f t="shared" si="1"/>
        <v>467</v>
      </c>
      <c r="K36" s="13">
        <f t="shared" si="2"/>
        <v>467</v>
      </c>
      <c r="L36" s="13">
        <f t="shared" si="3"/>
        <v>2957</v>
      </c>
      <c r="M36" s="13">
        <f t="shared" si="4"/>
        <v>154</v>
      </c>
      <c r="N36" s="13" t="b">
        <f t="shared" si="5"/>
        <v>0</v>
      </c>
      <c r="O36" s="13" t="b">
        <f t="shared" si="6"/>
        <v>1</v>
      </c>
      <c r="P36" s="13" t="str">
        <f t="shared" si="19"/>
        <v>C003012-ct</v>
      </c>
      <c r="Q36" s="14" t="str">
        <f t="shared" si="7"/>
        <v>T066927
3</v>
      </c>
      <c r="R36" s="13" t="b">
        <f t="shared" si="8"/>
        <v>0</v>
      </c>
      <c r="S36" s="13" t="str">
        <f t="shared" si="9"/>
        <v>21</v>
      </c>
      <c r="T36" s="13" t="str">
        <f t="shared" si="10"/>
        <v>CT</v>
      </c>
      <c r="U36" s="13" t="str">
        <f t="shared" si="11"/>
        <v>ct</v>
      </c>
      <c r="V36" s="13">
        <f t="shared" si="12"/>
        <v>2</v>
      </c>
      <c r="W36" s="13" t="str">
        <f t="shared" si="13"/>
        <v>T066927 3</v>
      </c>
      <c r="X36" s="13" t="str">
        <f t="shared" si="14"/>
        <v>S55395</v>
      </c>
      <c r="Y36" s="13" t="str">
        <f t="shared" si="15"/>
        <v>T06</v>
      </c>
      <c r="Z36" s="13" t="str">
        <f t="shared" si="16"/>
        <v>927</v>
      </c>
      <c r="AA36" s="13">
        <f t="shared" si="17"/>
        <v>2</v>
      </c>
      <c r="AB36" s="13">
        <f t="shared" si="18"/>
        <v>2</v>
      </c>
      <c r="AC36" s="13"/>
      <c r="AD36" s="13"/>
      <c r="AE36" s="13"/>
    </row>
    <row r="37" spans="1:31" ht="30" x14ac:dyDescent="0.25">
      <c r="A37" s="9" t="s">
        <v>63</v>
      </c>
      <c r="B37" s="9" t="s">
        <v>192</v>
      </c>
      <c r="C37" s="9" t="s">
        <v>193</v>
      </c>
      <c r="D37" s="9" t="s">
        <v>194</v>
      </c>
      <c r="E37" s="9" t="s">
        <v>195</v>
      </c>
      <c r="F37" s="9">
        <v>6</v>
      </c>
      <c r="G37" s="9" t="s">
        <v>14</v>
      </c>
      <c r="H37" s="9">
        <v>14</v>
      </c>
      <c r="I37" s="13">
        <f t="shared" si="0"/>
        <v>84</v>
      </c>
      <c r="J37" s="13">
        <f t="shared" si="1"/>
        <v>263.5</v>
      </c>
      <c r="K37" s="13">
        <f t="shared" si="2"/>
        <v>260</v>
      </c>
      <c r="L37" s="13">
        <f t="shared" si="3"/>
        <v>2951</v>
      </c>
      <c r="M37" s="13">
        <f t="shared" si="4"/>
        <v>153</v>
      </c>
      <c r="N37" s="13" t="b">
        <f t="shared" si="5"/>
        <v>0</v>
      </c>
      <c r="O37" s="13" t="b">
        <f t="shared" si="6"/>
        <v>1</v>
      </c>
      <c r="P37" s="13" t="str">
        <f t="shared" si="19"/>
        <v>C002416-ct</v>
      </c>
      <c r="Q37" s="14" t="str">
        <f t="shared" si="7"/>
        <v>T016376
6</v>
      </c>
      <c r="R37" s="13" t="b">
        <f t="shared" si="8"/>
        <v>0</v>
      </c>
      <c r="S37" s="13" t="str">
        <f t="shared" si="9"/>
        <v>13</v>
      </c>
      <c r="T37" s="13" t="str">
        <f t="shared" si="10"/>
        <v>CT</v>
      </c>
      <c r="U37" s="13" t="str">
        <f t="shared" si="11"/>
        <v>ct</v>
      </c>
      <c r="V37" s="13">
        <f t="shared" si="12"/>
        <v>2</v>
      </c>
      <c r="W37" s="13" t="str">
        <f t="shared" si="13"/>
        <v>T016376 6</v>
      </c>
      <c r="X37" s="13" t="str">
        <f t="shared" si="14"/>
        <v>S5565</v>
      </c>
      <c r="Y37" s="13" t="str">
        <f t="shared" si="15"/>
        <v>T01</v>
      </c>
      <c r="Z37" s="13" t="str">
        <f t="shared" si="16"/>
        <v>376</v>
      </c>
      <c r="AA37" s="13">
        <f t="shared" si="17"/>
        <v>2</v>
      </c>
      <c r="AB37" s="13">
        <f t="shared" si="18"/>
        <v>2</v>
      </c>
      <c r="AC37" s="13"/>
      <c r="AD37" s="13"/>
      <c r="AE37" s="13"/>
    </row>
    <row r="38" spans="1:31" ht="30" x14ac:dyDescent="0.25">
      <c r="A38" s="9" t="s">
        <v>196</v>
      </c>
      <c r="B38" s="9" t="s">
        <v>197</v>
      </c>
      <c r="C38" s="9" t="s">
        <v>198</v>
      </c>
      <c r="D38" s="9" t="s">
        <v>199</v>
      </c>
      <c r="E38" s="9" t="s">
        <v>200</v>
      </c>
      <c r="F38" s="9">
        <v>3</v>
      </c>
      <c r="G38" s="9" t="s">
        <v>14</v>
      </c>
      <c r="H38" s="9">
        <v>20</v>
      </c>
      <c r="I38" s="13">
        <f t="shared" si="0"/>
        <v>60</v>
      </c>
      <c r="J38" s="13">
        <f t="shared" si="1"/>
        <v>344.5</v>
      </c>
      <c r="K38" s="13">
        <f t="shared" si="2"/>
        <v>337</v>
      </c>
      <c r="L38" s="13">
        <f t="shared" si="3"/>
        <v>2963</v>
      </c>
      <c r="M38" s="13">
        <f t="shared" si="4"/>
        <v>153</v>
      </c>
      <c r="N38" s="13" t="b">
        <f t="shared" si="5"/>
        <v>0</v>
      </c>
      <c r="O38" s="13" t="b">
        <f t="shared" si="6"/>
        <v>1</v>
      </c>
      <c r="P38" s="13" t="str">
        <f t="shared" si="19"/>
        <v>C004635-ct</v>
      </c>
      <c r="Q38" s="14" t="str">
        <f t="shared" si="7"/>
        <v>T058922
3</v>
      </c>
      <c r="R38" s="13" t="b">
        <f t="shared" si="8"/>
        <v>0</v>
      </c>
      <c r="S38" s="13" t="str">
        <f t="shared" si="9"/>
        <v>24</v>
      </c>
      <c r="T38" s="13" t="str">
        <f t="shared" si="10"/>
        <v>CT</v>
      </c>
      <c r="U38" s="13" t="str">
        <f t="shared" si="11"/>
        <v>ct</v>
      </c>
      <c r="V38" s="13">
        <f t="shared" si="12"/>
        <v>2</v>
      </c>
      <c r="W38" s="13" t="str">
        <f t="shared" si="13"/>
        <v>T058922 3</v>
      </c>
      <c r="X38" s="13" t="str">
        <f t="shared" si="14"/>
        <v>S5537</v>
      </c>
      <c r="Y38" s="13" t="str">
        <f t="shared" si="15"/>
        <v>T05</v>
      </c>
      <c r="Z38" s="13" t="str">
        <f t="shared" si="16"/>
        <v>922</v>
      </c>
      <c r="AA38" s="13">
        <f t="shared" si="17"/>
        <v>2</v>
      </c>
      <c r="AB38" s="13">
        <f t="shared" si="18"/>
        <v>2</v>
      </c>
      <c r="AC38" s="13"/>
      <c r="AD38" s="13"/>
      <c r="AE38" s="13"/>
    </row>
    <row r="39" spans="1:31" ht="30" x14ac:dyDescent="0.25">
      <c r="A39" s="9" t="s">
        <v>130</v>
      </c>
      <c r="B39" s="9" t="s">
        <v>201</v>
      </c>
      <c r="C39" s="9" t="s">
        <v>202</v>
      </c>
      <c r="D39" s="9" t="s">
        <v>203</v>
      </c>
      <c r="E39" s="9" t="s">
        <v>204</v>
      </c>
      <c r="F39" s="9">
        <v>11</v>
      </c>
      <c r="G39" s="9" t="s">
        <v>14</v>
      </c>
      <c r="H39" s="9">
        <v>9</v>
      </c>
      <c r="I39" s="13">
        <f t="shared" si="0"/>
        <v>99</v>
      </c>
      <c r="J39" s="13">
        <f t="shared" si="1"/>
        <v>219</v>
      </c>
      <c r="K39" s="13">
        <f t="shared" si="2"/>
        <v>218</v>
      </c>
      <c r="L39" s="13">
        <f t="shared" si="3"/>
        <v>2943</v>
      </c>
      <c r="M39" s="13">
        <f t="shared" si="4"/>
        <v>152</v>
      </c>
      <c r="N39" s="13" t="b">
        <f t="shared" si="5"/>
        <v>0</v>
      </c>
      <c r="O39" s="13" t="b">
        <f t="shared" si="6"/>
        <v>1</v>
      </c>
      <c r="P39" s="13" t="str">
        <f t="shared" si="19"/>
        <v>C002106-ct</v>
      </c>
      <c r="Q39" s="14" t="str">
        <f t="shared" si="7"/>
        <v>T084934
11</v>
      </c>
      <c r="R39" s="13" t="b">
        <f t="shared" si="8"/>
        <v>0</v>
      </c>
      <c r="S39" s="13" t="str">
        <f t="shared" si="9"/>
        <v>12</v>
      </c>
      <c r="T39" s="13" t="str">
        <f t="shared" si="10"/>
        <v>CT</v>
      </c>
      <c r="U39" s="13" t="str">
        <f t="shared" si="11"/>
        <v>ct</v>
      </c>
      <c r="V39" s="13">
        <f t="shared" si="12"/>
        <v>2</v>
      </c>
      <c r="W39" s="13" t="str">
        <f t="shared" si="13"/>
        <v>T084934 11</v>
      </c>
      <c r="X39" s="13" t="str">
        <f t="shared" si="14"/>
        <v>S55676</v>
      </c>
      <c r="Y39" s="13" t="str">
        <f t="shared" si="15"/>
        <v>T08</v>
      </c>
      <c r="Z39" s="13" t="str">
        <f t="shared" si="16"/>
        <v>934</v>
      </c>
      <c r="AA39" s="13">
        <f t="shared" si="17"/>
        <v>2</v>
      </c>
      <c r="AB39" s="13">
        <f t="shared" si="18"/>
        <v>2</v>
      </c>
      <c r="AC39" s="13"/>
      <c r="AD39" s="13"/>
      <c r="AE39" s="13"/>
    </row>
    <row r="40" spans="1:31" ht="30" x14ac:dyDescent="0.25">
      <c r="A40" s="9" t="s">
        <v>9</v>
      </c>
      <c r="B40" s="9" t="s">
        <v>205</v>
      </c>
      <c r="C40" s="9" t="s">
        <v>206</v>
      </c>
      <c r="D40" s="9" t="s">
        <v>207</v>
      </c>
      <c r="E40" s="9" t="s">
        <v>208</v>
      </c>
      <c r="F40" s="9">
        <v>5</v>
      </c>
      <c r="G40" s="9" t="s">
        <v>68</v>
      </c>
      <c r="H40" s="9">
        <v>20</v>
      </c>
      <c r="I40" s="13">
        <f t="shared" si="0"/>
        <v>100</v>
      </c>
      <c r="J40" s="13">
        <f t="shared" si="1"/>
        <v>214.5</v>
      </c>
      <c r="K40" s="13">
        <f t="shared" si="2"/>
        <v>212</v>
      </c>
      <c r="L40" s="13">
        <f t="shared" si="3"/>
        <v>1001</v>
      </c>
      <c r="M40" s="13">
        <f t="shared" si="4"/>
        <v>55</v>
      </c>
      <c r="N40" s="13" t="b">
        <f t="shared" si="5"/>
        <v>0</v>
      </c>
      <c r="O40" s="13" t="b">
        <f t="shared" si="6"/>
        <v>1</v>
      </c>
      <c r="P40" s="13" t="str">
        <f t="shared" si="19"/>
        <v>C002014-bottles</v>
      </c>
      <c r="Q40" s="14" t="str">
        <f t="shared" si="7"/>
        <v>T075762
5</v>
      </c>
      <c r="R40" s="13" t="b">
        <f t="shared" si="8"/>
        <v>0</v>
      </c>
      <c r="S40" s="13" t="str">
        <f t="shared" si="9"/>
        <v>06</v>
      </c>
      <c r="T40" s="13" t="str">
        <f t="shared" si="10"/>
        <v>BOTTLES</v>
      </c>
      <c r="U40" s="13" t="str">
        <f t="shared" si="11"/>
        <v>bottles</v>
      </c>
      <c r="V40" s="13">
        <f t="shared" si="12"/>
        <v>2</v>
      </c>
      <c r="W40" s="13" t="str">
        <f t="shared" si="13"/>
        <v>T075762 5</v>
      </c>
      <c r="X40" s="13" t="str">
        <f t="shared" si="14"/>
        <v>S55759</v>
      </c>
      <c r="Y40" s="13" t="str">
        <f t="shared" si="15"/>
        <v>T07</v>
      </c>
      <c r="Z40" s="13" t="str">
        <f t="shared" si="16"/>
        <v>762</v>
      </c>
      <c r="AA40" s="13">
        <f t="shared" si="17"/>
        <v>2</v>
      </c>
      <c r="AB40" s="13">
        <f t="shared" si="18"/>
        <v>7</v>
      </c>
      <c r="AC40" s="13"/>
      <c r="AD40" s="13"/>
      <c r="AE40" s="13"/>
    </row>
    <row r="41" spans="1:31" ht="30" x14ac:dyDescent="0.25">
      <c r="A41" s="9" t="s">
        <v>209</v>
      </c>
      <c r="B41" s="9" t="s">
        <v>210</v>
      </c>
      <c r="C41" s="9" t="s">
        <v>211</v>
      </c>
      <c r="D41" s="9" t="s">
        <v>212</v>
      </c>
      <c r="E41" s="9" t="s">
        <v>213</v>
      </c>
      <c r="F41" s="9">
        <v>1</v>
      </c>
      <c r="G41" s="9" t="s">
        <v>36</v>
      </c>
      <c r="H41" s="9">
        <v>6.75</v>
      </c>
      <c r="I41" s="13">
        <f t="shared" si="0"/>
        <v>6.75</v>
      </c>
      <c r="J41" s="13">
        <f t="shared" si="1"/>
        <v>495</v>
      </c>
      <c r="K41" s="13">
        <f t="shared" si="2"/>
        <v>494</v>
      </c>
      <c r="L41" s="13">
        <f t="shared" si="3"/>
        <v>1444.5</v>
      </c>
      <c r="M41" s="13">
        <f t="shared" si="4"/>
        <v>85</v>
      </c>
      <c r="N41" s="13" t="b">
        <f t="shared" si="5"/>
        <v>0</v>
      </c>
      <c r="O41" s="13" t="b">
        <f t="shared" si="6"/>
        <v>1</v>
      </c>
      <c r="P41" s="13" t="str">
        <f t="shared" si="19"/>
        <v>C006673-cans</v>
      </c>
      <c r="Q41" s="14" t="str">
        <f t="shared" si="7"/>
        <v>T067888
1</v>
      </c>
      <c r="R41" s="13" t="b">
        <f t="shared" si="8"/>
        <v>0</v>
      </c>
      <c r="S41" s="13" t="str">
        <f t="shared" si="9"/>
        <v>01</v>
      </c>
      <c r="T41" s="13" t="str">
        <f t="shared" si="10"/>
        <v>CANS</v>
      </c>
      <c r="U41" s="13" t="str">
        <f t="shared" si="11"/>
        <v>cans</v>
      </c>
      <c r="V41" s="13">
        <f t="shared" si="12"/>
        <v>2</v>
      </c>
      <c r="W41" s="13" t="str">
        <f t="shared" si="13"/>
        <v>T067888 1</v>
      </c>
      <c r="X41" s="13" t="str">
        <f t="shared" si="14"/>
        <v>S55547</v>
      </c>
      <c r="Y41" s="13" t="str">
        <f t="shared" si="15"/>
        <v>T06</v>
      </c>
      <c r="Z41" s="13" t="str">
        <f t="shared" si="16"/>
        <v>888</v>
      </c>
      <c r="AA41" s="13">
        <f t="shared" si="17"/>
        <v>2</v>
      </c>
      <c r="AB41" s="13">
        <f t="shared" si="18"/>
        <v>4</v>
      </c>
      <c r="AC41" s="13"/>
      <c r="AD41" s="13"/>
      <c r="AE41" s="13"/>
    </row>
    <row r="42" spans="1:31" ht="30" x14ac:dyDescent="0.25">
      <c r="A42" s="9" t="s">
        <v>146</v>
      </c>
      <c r="B42" s="9" t="s">
        <v>214</v>
      </c>
      <c r="C42" s="9" t="s">
        <v>215</v>
      </c>
      <c r="D42" s="9" t="s">
        <v>216</v>
      </c>
      <c r="E42" s="9" t="s">
        <v>217</v>
      </c>
      <c r="F42" s="9">
        <v>7</v>
      </c>
      <c r="G42" s="9" t="s">
        <v>36</v>
      </c>
      <c r="H42" s="9">
        <v>16</v>
      </c>
      <c r="I42" s="13">
        <f t="shared" si="0"/>
        <v>112</v>
      </c>
      <c r="J42" s="13">
        <f t="shared" si="1"/>
        <v>188.5</v>
      </c>
      <c r="K42" s="13">
        <f t="shared" si="2"/>
        <v>186</v>
      </c>
      <c r="L42" s="13">
        <f t="shared" si="3"/>
        <v>1437.75</v>
      </c>
      <c r="M42" s="13">
        <f t="shared" si="4"/>
        <v>84</v>
      </c>
      <c r="N42" s="13" t="b">
        <f t="shared" si="5"/>
        <v>0</v>
      </c>
      <c r="O42" s="13" t="b">
        <f t="shared" si="6"/>
        <v>1</v>
      </c>
      <c r="P42" s="13" t="str">
        <f t="shared" si="19"/>
        <v>C003551-cans</v>
      </c>
      <c r="Q42" s="14" t="str">
        <f t="shared" si="7"/>
        <v>T064445
7</v>
      </c>
      <c r="R42" s="13" t="b">
        <f t="shared" si="8"/>
        <v>0</v>
      </c>
      <c r="S42" s="13" t="str">
        <f t="shared" si="9"/>
        <v>03</v>
      </c>
      <c r="T42" s="13" t="str">
        <f t="shared" si="10"/>
        <v>CANS</v>
      </c>
      <c r="U42" s="13" t="str">
        <f t="shared" si="11"/>
        <v>cans</v>
      </c>
      <c r="V42" s="13">
        <f t="shared" si="12"/>
        <v>2</v>
      </c>
      <c r="W42" s="13" t="str">
        <f t="shared" si="13"/>
        <v>T064445 7</v>
      </c>
      <c r="X42" s="13" t="str">
        <f t="shared" si="14"/>
        <v>S55343</v>
      </c>
      <c r="Y42" s="13" t="str">
        <f t="shared" si="15"/>
        <v>T06</v>
      </c>
      <c r="Z42" s="13" t="str">
        <f t="shared" si="16"/>
        <v>445</v>
      </c>
      <c r="AA42" s="13">
        <f t="shared" si="17"/>
        <v>2</v>
      </c>
      <c r="AB42" s="13">
        <f t="shared" si="18"/>
        <v>4</v>
      </c>
      <c r="AC42" s="13"/>
      <c r="AD42" s="13"/>
      <c r="AE42" s="13"/>
    </row>
    <row r="43" spans="1:31" ht="30" x14ac:dyDescent="0.25">
      <c r="A43" s="9" t="s">
        <v>218</v>
      </c>
      <c r="B43" s="9" t="s">
        <v>219</v>
      </c>
      <c r="C43" s="9" t="s">
        <v>220</v>
      </c>
      <c r="D43" s="9" t="s">
        <v>221</v>
      </c>
      <c r="E43" s="9" t="s">
        <v>222</v>
      </c>
      <c r="F43" s="9">
        <v>6</v>
      </c>
      <c r="G43" s="9" t="s">
        <v>14</v>
      </c>
      <c r="H43" s="9">
        <v>45</v>
      </c>
      <c r="I43" s="13">
        <f t="shared" si="0"/>
        <v>270</v>
      </c>
      <c r="J43" s="13">
        <f t="shared" si="1"/>
        <v>22</v>
      </c>
      <c r="K43" s="13">
        <f t="shared" si="2"/>
        <v>22</v>
      </c>
      <c r="L43" s="13">
        <f t="shared" si="3"/>
        <v>3042</v>
      </c>
      <c r="M43" s="13">
        <f t="shared" si="4"/>
        <v>155</v>
      </c>
      <c r="N43" s="13" t="b">
        <f t="shared" si="5"/>
        <v>1</v>
      </c>
      <c r="O43" s="13" t="b">
        <f t="shared" si="6"/>
        <v>1</v>
      </c>
      <c r="P43" s="13" t="str">
        <f t="shared" si="19"/>
        <v>C004163-ct</v>
      </c>
      <c r="Q43" s="14" t="str">
        <f t="shared" si="7"/>
        <v>T04044
6</v>
      </c>
      <c r="R43" s="13" t="b">
        <f t="shared" si="8"/>
        <v>0</v>
      </c>
      <c r="S43" s="13" t="str">
        <f t="shared" si="9"/>
        <v>12</v>
      </c>
      <c r="T43" s="13" t="str">
        <f t="shared" si="10"/>
        <v>CT</v>
      </c>
      <c r="U43" s="13" t="str">
        <f t="shared" si="11"/>
        <v>ct</v>
      </c>
      <c r="V43" s="13">
        <f t="shared" si="12"/>
        <v>2</v>
      </c>
      <c r="W43" s="13" t="str">
        <f t="shared" si="13"/>
        <v>T04044 6</v>
      </c>
      <c r="X43" s="13" t="str">
        <f t="shared" si="14"/>
        <v>S5579</v>
      </c>
      <c r="Y43" s="13" t="str">
        <f t="shared" si="15"/>
        <v>T04</v>
      </c>
      <c r="Z43" s="13" t="str">
        <f t="shared" si="16"/>
        <v>044</v>
      </c>
      <c r="AA43" s="13">
        <f t="shared" si="17"/>
        <v>2</v>
      </c>
      <c r="AB43" s="13">
        <f t="shared" si="18"/>
        <v>2</v>
      </c>
      <c r="AC43" s="13"/>
      <c r="AD43" s="13"/>
      <c r="AE43" s="13"/>
    </row>
    <row r="44" spans="1:31" ht="30" x14ac:dyDescent="0.25">
      <c r="A44" s="9" t="s">
        <v>182</v>
      </c>
      <c r="B44" s="9" t="s">
        <v>223</v>
      </c>
      <c r="C44" s="9" t="s">
        <v>224</v>
      </c>
      <c r="D44" s="9" t="s">
        <v>225</v>
      </c>
      <c r="E44" s="9" t="s">
        <v>226</v>
      </c>
      <c r="F44" s="9">
        <v>5</v>
      </c>
      <c r="G44" s="9" t="s">
        <v>14</v>
      </c>
      <c r="H44" s="9">
        <v>17</v>
      </c>
      <c r="I44" s="13">
        <f t="shared" si="0"/>
        <v>85</v>
      </c>
      <c r="J44" s="13">
        <f t="shared" si="1"/>
        <v>258</v>
      </c>
      <c r="K44" s="13">
        <f t="shared" si="2"/>
        <v>257</v>
      </c>
      <c r="L44" s="13">
        <f t="shared" si="3"/>
        <v>2997</v>
      </c>
      <c r="M44" s="13">
        <f t="shared" si="4"/>
        <v>154</v>
      </c>
      <c r="N44" s="13" t="b">
        <f t="shared" si="5"/>
        <v>0</v>
      </c>
      <c r="O44" s="13" t="b">
        <f t="shared" si="6"/>
        <v>1</v>
      </c>
      <c r="P44" s="13" t="str">
        <f t="shared" si="19"/>
        <v>C008636-ct</v>
      </c>
      <c r="Q44" s="14" t="str">
        <f t="shared" si="7"/>
        <v>T086840
5</v>
      </c>
      <c r="R44" s="13" t="b">
        <f t="shared" si="8"/>
        <v>0</v>
      </c>
      <c r="S44" s="13" t="str">
        <f t="shared" si="9"/>
        <v>20</v>
      </c>
      <c r="T44" s="13" t="str">
        <f t="shared" si="10"/>
        <v>CT</v>
      </c>
      <c r="U44" s="13" t="str">
        <f t="shared" si="11"/>
        <v>ct</v>
      </c>
      <c r="V44" s="13">
        <f t="shared" si="12"/>
        <v>2</v>
      </c>
      <c r="W44" s="13" t="str">
        <f t="shared" si="13"/>
        <v>T086840 5</v>
      </c>
      <c r="X44" s="13" t="str">
        <f t="shared" si="14"/>
        <v>S55643</v>
      </c>
      <c r="Y44" s="13" t="str">
        <f t="shared" si="15"/>
        <v>T08</v>
      </c>
      <c r="Z44" s="13" t="str">
        <f t="shared" si="16"/>
        <v>840</v>
      </c>
      <c r="AA44" s="13">
        <f t="shared" si="17"/>
        <v>2</v>
      </c>
      <c r="AB44" s="13">
        <f t="shared" si="18"/>
        <v>2</v>
      </c>
      <c r="AC44" s="13"/>
      <c r="AD44" s="13"/>
      <c r="AE44" s="13"/>
    </row>
    <row r="45" spans="1:31" ht="30" x14ac:dyDescent="0.25">
      <c r="A45" s="9" t="s">
        <v>227</v>
      </c>
      <c r="B45" s="9" t="s">
        <v>228</v>
      </c>
      <c r="C45" s="9" t="s">
        <v>229</v>
      </c>
      <c r="D45" s="9" t="s">
        <v>230</v>
      </c>
      <c r="E45" s="9" t="s">
        <v>231</v>
      </c>
      <c r="F45" s="9">
        <v>11</v>
      </c>
      <c r="G45" s="9" t="s">
        <v>232</v>
      </c>
      <c r="H45" s="9">
        <v>19</v>
      </c>
      <c r="I45" s="13">
        <f t="shared" si="0"/>
        <v>209</v>
      </c>
      <c r="J45" s="13">
        <f t="shared" si="1"/>
        <v>42.5</v>
      </c>
      <c r="K45" s="13">
        <f t="shared" si="2"/>
        <v>42</v>
      </c>
      <c r="L45" s="13">
        <f t="shared" si="3"/>
        <v>38</v>
      </c>
      <c r="M45" s="13">
        <f t="shared" si="4"/>
        <v>2</v>
      </c>
      <c r="N45" s="13" t="b">
        <f t="shared" si="5"/>
        <v>0</v>
      </c>
      <c r="O45" s="13" t="b">
        <f t="shared" si="6"/>
        <v>1</v>
      </c>
      <c r="P45" s="13" t="str">
        <f t="shared" si="19"/>
        <v>C006607-cartons</v>
      </c>
      <c r="Q45" s="14" t="str">
        <f t="shared" si="7"/>
        <v>T096401
11</v>
      </c>
      <c r="R45" s="13" t="b">
        <f t="shared" si="8"/>
        <v>0</v>
      </c>
      <c r="S45" s="13" t="str">
        <f t="shared" si="9"/>
        <v>09</v>
      </c>
      <c r="T45" s="13" t="str">
        <f t="shared" si="10"/>
        <v>CARTONS</v>
      </c>
      <c r="U45" s="13" t="str">
        <f t="shared" si="11"/>
        <v>cartons</v>
      </c>
      <c r="V45" s="13">
        <f t="shared" si="12"/>
        <v>2</v>
      </c>
      <c r="W45" s="13" t="str">
        <f t="shared" si="13"/>
        <v>T096401 11</v>
      </c>
      <c r="X45" s="13" t="str">
        <f t="shared" si="14"/>
        <v>S55293</v>
      </c>
      <c r="Y45" s="13" t="str">
        <f t="shared" si="15"/>
        <v>T09</v>
      </c>
      <c r="Z45" s="13" t="str">
        <f t="shared" si="16"/>
        <v>401</v>
      </c>
      <c r="AA45" s="13">
        <f t="shared" si="17"/>
        <v>2</v>
      </c>
      <c r="AB45" s="13">
        <f t="shared" si="18"/>
        <v>7</v>
      </c>
      <c r="AC45" s="13"/>
      <c r="AD45" s="13"/>
      <c r="AE45" s="13"/>
    </row>
    <row r="46" spans="1:31" ht="30" x14ac:dyDescent="0.25">
      <c r="A46" s="9" t="s">
        <v>233</v>
      </c>
      <c r="B46" s="9" t="s">
        <v>234</v>
      </c>
      <c r="C46" s="9" t="s">
        <v>235</v>
      </c>
      <c r="D46" s="9" t="s">
        <v>236</v>
      </c>
      <c r="E46" s="9" t="s">
        <v>237</v>
      </c>
      <c r="F46" s="9">
        <v>5</v>
      </c>
      <c r="G46" s="9" t="s">
        <v>14</v>
      </c>
      <c r="H46" s="9">
        <v>12</v>
      </c>
      <c r="I46" s="13">
        <f t="shared" si="0"/>
        <v>60</v>
      </c>
      <c r="J46" s="13">
        <f t="shared" si="1"/>
        <v>344.5</v>
      </c>
      <c r="K46" s="13">
        <f t="shared" si="2"/>
        <v>337</v>
      </c>
      <c r="L46" s="13">
        <f t="shared" si="3"/>
        <v>3018</v>
      </c>
      <c r="M46" s="13">
        <f t="shared" si="4"/>
        <v>155</v>
      </c>
      <c r="N46" s="13" t="b">
        <f t="shared" si="5"/>
        <v>0</v>
      </c>
      <c r="O46" s="13" t="b">
        <f t="shared" si="6"/>
        <v>1</v>
      </c>
      <c r="P46" s="13" t="str">
        <f t="shared" si="19"/>
        <v>C004785-ct</v>
      </c>
      <c r="Q46" s="14" t="str">
        <f t="shared" si="7"/>
        <v>T027401
5</v>
      </c>
      <c r="R46" s="13" t="b">
        <f t="shared" si="8"/>
        <v>0</v>
      </c>
      <c r="S46" s="13" t="str">
        <f t="shared" si="9"/>
        <v>21</v>
      </c>
      <c r="T46" s="13" t="str">
        <f t="shared" si="10"/>
        <v>CT</v>
      </c>
      <c r="U46" s="13" t="str">
        <f t="shared" si="11"/>
        <v>ct</v>
      </c>
      <c r="V46" s="13">
        <f t="shared" si="12"/>
        <v>2</v>
      </c>
      <c r="W46" s="13" t="str">
        <f t="shared" si="13"/>
        <v>T027401 5</v>
      </c>
      <c r="X46" s="13" t="str">
        <f t="shared" si="14"/>
        <v>S55716</v>
      </c>
      <c r="Y46" s="13" t="str">
        <f t="shared" si="15"/>
        <v>T02</v>
      </c>
      <c r="Z46" s="13" t="str">
        <f t="shared" si="16"/>
        <v>401</v>
      </c>
      <c r="AA46" s="13">
        <f t="shared" si="17"/>
        <v>2</v>
      </c>
      <c r="AB46" s="13">
        <f t="shared" si="18"/>
        <v>2</v>
      </c>
      <c r="AC46" s="13"/>
      <c r="AD46" s="13"/>
      <c r="AE46" s="13"/>
    </row>
    <row r="47" spans="1:31" ht="30" x14ac:dyDescent="0.25">
      <c r="A47" s="9" t="s">
        <v>21</v>
      </c>
      <c r="B47" s="9" t="s">
        <v>238</v>
      </c>
      <c r="C47" s="9" t="s">
        <v>239</v>
      </c>
      <c r="D47" s="9" t="s">
        <v>169</v>
      </c>
      <c r="E47" s="9" t="s">
        <v>83</v>
      </c>
      <c r="F47" s="9">
        <v>1</v>
      </c>
      <c r="G47" s="9" t="s">
        <v>68</v>
      </c>
      <c r="H47" s="9">
        <v>20</v>
      </c>
      <c r="I47" s="13">
        <f t="shared" si="0"/>
        <v>20</v>
      </c>
      <c r="J47" s="13">
        <f t="shared" si="1"/>
        <v>464</v>
      </c>
      <c r="K47" s="13">
        <f t="shared" si="2"/>
        <v>462</v>
      </c>
      <c r="L47" s="13">
        <f t="shared" si="3"/>
        <v>981</v>
      </c>
      <c r="M47" s="13">
        <f t="shared" si="4"/>
        <v>54</v>
      </c>
      <c r="N47" s="13" t="b">
        <f t="shared" si="5"/>
        <v>0</v>
      </c>
      <c r="O47" s="13" t="b">
        <f t="shared" si="6"/>
        <v>1</v>
      </c>
      <c r="P47" s="13" t="str">
        <f t="shared" si="19"/>
        <v>C007584-bottles</v>
      </c>
      <c r="Q47" s="14" t="str">
        <f t="shared" si="7"/>
        <v>T097121
1</v>
      </c>
      <c r="R47" s="13" t="b">
        <f t="shared" si="8"/>
        <v>0</v>
      </c>
      <c r="S47" s="13" t="str">
        <f t="shared" si="9"/>
        <v>06</v>
      </c>
      <c r="T47" s="13" t="str">
        <f t="shared" si="10"/>
        <v>BOTTLES</v>
      </c>
      <c r="U47" s="13" t="str">
        <f t="shared" si="11"/>
        <v>bottles</v>
      </c>
      <c r="V47" s="13">
        <f t="shared" si="12"/>
        <v>2</v>
      </c>
      <c r="W47" s="13" t="str">
        <f t="shared" si="13"/>
        <v>T097121 1</v>
      </c>
      <c r="X47" s="13" t="str">
        <f t="shared" si="14"/>
        <v>S55164</v>
      </c>
      <c r="Y47" s="13" t="str">
        <f t="shared" si="15"/>
        <v>T09</v>
      </c>
      <c r="Z47" s="13" t="str">
        <f t="shared" si="16"/>
        <v>121</v>
      </c>
      <c r="AA47" s="13">
        <f t="shared" si="17"/>
        <v>2</v>
      </c>
      <c r="AB47" s="13">
        <f t="shared" si="18"/>
        <v>7</v>
      </c>
      <c r="AC47" s="13"/>
      <c r="AD47" s="13"/>
      <c r="AE47" s="13"/>
    </row>
    <row r="48" spans="1:31" ht="30" x14ac:dyDescent="0.25">
      <c r="A48" s="9" t="s">
        <v>134</v>
      </c>
      <c r="B48" s="9" t="s">
        <v>240</v>
      </c>
      <c r="C48" s="9" t="s">
        <v>241</v>
      </c>
      <c r="D48" s="9" t="s">
        <v>242</v>
      </c>
      <c r="E48" s="9" t="s">
        <v>243</v>
      </c>
      <c r="F48" s="9">
        <v>8</v>
      </c>
      <c r="G48" s="9" t="s">
        <v>36</v>
      </c>
      <c r="H48" s="9">
        <v>6.75</v>
      </c>
      <c r="I48" s="13">
        <f t="shared" si="0"/>
        <v>54</v>
      </c>
      <c r="J48" s="13">
        <f t="shared" si="1"/>
        <v>366.5</v>
      </c>
      <c r="K48" s="13">
        <f t="shared" si="2"/>
        <v>365</v>
      </c>
      <c r="L48" s="13">
        <f t="shared" si="3"/>
        <v>1492.75</v>
      </c>
      <c r="M48" s="13">
        <f t="shared" si="4"/>
        <v>86</v>
      </c>
      <c r="N48" s="13" t="b">
        <f t="shared" si="5"/>
        <v>0</v>
      </c>
      <c r="O48" s="13" t="b">
        <f t="shared" si="6"/>
        <v>1</v>
      </c>
      <c r="P48" s="13" t="str">
        <f t="shared" si="19"/>
        <v>C000794-cans</v>
      </c>
      <c r="Q48" s="14" t="str">
        <f t="shared" si="7"/>
        <v>T061460
8</v>
      </c>
      <c r="R48" s="13" t="b">
        <f t="shared" si="8"/>
        <v>0</v>
      </c>
      <c r="S48" s="13" t="str">
        <f t="shared" si="9"/>
        <v>00</v>
      </c>
      <c r="T48" s="13" t="str">
        <f t="shared" si="10"/>
        <v>CANS</v>
      </c>
      <c r="U48" s="13" t="str">
        <f t="shared" si="11"/>
        <v>cans</v>
      </c>
      <c r="V48" s="13">
        <f t="shared" si="12"/>
        <v>2</v>
      </c>
      <c r="W48" s="13" t="str">
        <f t="shared" si="13"/>
        <v>T061460 8</v>
      </c>
      <c r="X48" s="13" t="str">
        <f t="shared" si="14"/>
        <v>S55654</v>
      </c>
      <c r="Y48" s="13" t="str">
        <f t="shared" si="15"/>
        <v>T06</v>
      </c>
      <c r="Z48" s="13" t="str">
        <f t="shared" si="16"/>
        <v>460</v>
      </c>
      <c r="AA48" s="13">
        <f t="shared" si="17"/>
        <v>2</v>
      </c>
      <c r="AB48" s="13">
        <f t="shared" si="18"/>
        <v>4</v>
      </c>
      <c r="AC48" s="13"/>
      <c r="AD48" s="13"/>
      <c r="AE48" s="13"/>
    </row>
    <row r="49" spans="1:31" ht="30" x14ac:dyDescent="0.25">
      <c r="A49" s="9" t="s">
        <v>63</v>
      </c>
      <c r="B49" s="9" t="s">
        <v>244</v>
      </c>
      <c r="C49" s="9" t="s">
        <v>245</v>
      </c>
      <c r="D49" s="9" t="s">
        <v>246</v>
      </c>
      <c r="E49" s="9" t="s">
        <v>247</v>
      </c>
      <c r="F49" s="9">
        <v>4</v>
      </c>
      <c r="G49" s="9" t="s">
        <v>248</v>
      </c>
      <c r="H49" s="9">
        <v>15</v>
      </c>
      <c r="I49" s="13">
        <f t="shared" si="0"/>
        <v>60</v>
      </c>
      <c r="J49" s="13">
        <f t="shared" si="1"/>
        <v>344.5</v>
      </c>
      <c r="K49" s="13">
        <f t="shared" si="2"/>
        <v>337</v>
      </c>
      <c r="L49" s="13">
        <f t="shared" si="3"/>
        <v>60</v>
      </c>
      <c r="M49" s="13">
        <f t="shared" si="4"/>
        <v>4</v>
      </c>
      <c r="N49" s="13" t="b">
        <f t="shared" si="5"/>
        <v>0</v>
      </c>
      <c r="O49" s="13" t="b">
        <f t="shared" si="6"/>
        <v>1</v>
      </c>
      <c r="P49" s="13" t="str">
        <f t="shared" si="19"/>
        <v>C006515-lb</v>
      </c>
      <c r="Q49" s="14" t="str">
        <f t="shared" si="7"/>
        <v>T070970
4</v>
      </c>
      <c r="R49" s="13" t="b">
        <f t="shared" si="8"/>
        <v>0</v>
      </c>
      <c r="S49" s="13" t="str">
        <f t="shared" si="9"/>
        <v>22</v>
      </c>
      <c r="T49" s="13" t="str">
        <f t="shared" si="10"/>
        <v>LB</v>
      </c>
      <c r="U49" s="13" t="str">
        <f t="shared" si="11"/>
        <v>lb</v>
      </c>
      <c r="V49" s="13">
        <f t="shared" si="12"/>
        <v>2</v>
      </c>
      <c r="W49" s="13" t="str">
        <f t="shared" si="13"/>
        <v>T070970 4</v>
      </c>
      <c r="X49" s="13" t="str">
        <f t="shared" si="14"/>
        <v>S55582</v>
      </c>
      <c r="Y49" s="13" t="str">
        <f t="shared" si="15"/>
        <v>T07</v>
      </c>
      <c r="Z49" s="13" t="str">
        <f t="shared" si="16"/>
        <v>970</v>
      </c>
      <c r="AA49" s="13">
        <f t="shared" si="17"/>
        <v>2</v>
      </c>
      <c r="AB49" s="13">
        <f t="shared" si="18"/>
        <v>2</v>
      </c>
      <c r="AC49" s="13"/>
      <c r="AD49" s="13"/>
      <c r="AE49" s="13"/>
    </row>
    <row r="50" spans="1:31" ht="30" x14ac:dyDescent="0.25">
      <c r="A50" s="9" t="s">
        <v>249</v>
      </c>
      <c r="B50" s="9" t="s">
        <v>250</v>
      </c>
      <c r="C50" s="9" t="s">
        <v>251</v>
      </c>
      <c r="D50" s="9" t="s">
        <v>252</v>
      </c>
      <c r="E50" s="9" t="s">
        <v>253</v>
      </c>
      <c r="F50" s="9">
        <v>10</v>
      </c>
      <c r="G50" s="9" t="s">
        <v>254</v>
      </c>
      <c r="H50" s="9">
        <v>12</v>
      </c>
      <c r="I50" s="13">
        <f t="shared" si="0"/>
        <v>120</v>
      </c>
      <c r="J50" s="13">
        <f t="shared" si="1"/>
        <v>169.5</v>
      </c>
      <c r="K50" s="13">
        <f t="shared" si="2"/>
        <v>162</v>
      </c>
      <c r="L50" s="13">
        <f t="shared" si="3"/>
        <v>36</v>
      </c>
      <c r="M50" s="13">
        <f t="shared" si="4"/>
        <v>3</v>
      </c>
      <c r="N50" s="13" t="b">
        <f t="shared" si="5"/>
        <v>0</v>
      </c>
      <c r="O50" s="13" t="b">
        <f t="shared" si="6"/>
        <v>1</v>
      </c>
      <c r="P50" s="13" t="str">
        <f t="shared" si="19"/>
        <v>C006654-tins</v>
      </c>
      <c r="Q50" s="14" t="str">
        <f t="shared" si="7"/>
        <v>T094539
10</v>
      </c>
      <c r="R50" s="13" t="b">
        <f t="shared" si="8"/>
        <v>0</v>
      </c>
      <c r="S50" s="13" t="str">
        <f t="shared" si="9"/>
        <v>23</v>
      </c>
      <c r="T50" s="13" t="str">
        <f t="shared" si="10"/>
        <v>TINS</v>
      </c>
      <c r="U50" s="13" t="str">
        <f t="shared" si="11"/>
        <v>tins</v>
      </c>
      <c r="V50" s="13">
        <f t="shared" si="12"/>
        <v>2</v>
      </c>
      <c r="W50" s="13" t="str">
        <f t="shared" si="13"/>
        <v>T094539 10</v>
      </c>
      <c r="X50" s="13" t="str">
        <f t="shared" si="14"/>
        <v>S55169</v>
      </c>
      <c r="Y50" s="13" t="str">
        <f t="shared" si="15"/>
        <v>T09</v>
      </c>
      <c r="Z50" s="13" t="str">
        <f t="shared" si="16"/>
        <v>539</v>
      </c>
      <c r="AA50" s="13">
        <f t="shared" si="17"/>
        <v>2</v>
      </c>
      <c r="AB50" s="13">
        <f t="shared" si="18"/>
        <v>4</v>
      </c>
      <c r="AC50" s="13"/>
      <c r="AD50" s="13"/>
      <c r="AE50" s="13"/>
    </row>
    <row r="51" spans="1:31" ht="30" x14ac:dyDescent="0.25">
      <c r="A51" s="9" t="s">
        <v>196</v>
      </c>
      <c r="B51" s="9" t="s">
        <v>255</v>
      </c>
      <c r="C51" s="9" t="s">
        <v>256</v>
      </c>
      <c r="D51" s="9" t="s">
        <v>257</v>
      </c>
      <c r="E51" s="9" t="s">
        <v>258</v>
      </c>
      <c r="F51" s="9">
        <v>3</v>
      </c>
      <c r="G51" s="9" t="s">
        <v>14</v>
      </c>
      <c r="H51" s="9">
        <v>24</v>
      </c>
      <c r="I51" s="13">
        <f t="shared" si="0"/>
        <v>72</v>
      </c>
      <c r="J51" s="13">
        <f t="shared" si="1"/>
        <v>295.5</v>
      </c>
      <c r="K51" s="13">
        <f t="shared" si="2"/>
        <v>292</v>
      </c>
      <c r="L51" s="13">
        <f t="shared" si="3"/>
        <v>3006</v>
      </c>
      <c r="M51" s="13">
        <f t="shared" si="4"/>
        <v>154</v>
      </c>
      <c r="N51" s="13" t="b">
        <f t="shared" si="5"/>
        <v>1</v>
      </c>
      <c r="O51" s="13" t="b">
        <f t="shared" si="6"/>
        <v>1</v>
      </c>
      <c r="P51" s="13" t="str">
        <f t="shared" si="19"/>
        <v>C004238-ct</v>
      </c>
      <c r="Q51" s="14" t="str">
        <f t="shared" si="7"/>
        <v>T043327
3</v>
      </c>
      <c r="R51" s="13" t="b">
        <f t="shared" si="8"/>
        <v>0</v>
      </c>
      <c r="S51" s="13" t="str">
        <f t="shared" si="9"/>
        <v>19</v>
      </c>
      <c r="T51" s="13" t="str">
        <f t="shared" si="10"/>
        <v>CT</v>
      </c>
      <c r="U51" s="13" t="str">
        <f t="shared" si="11"/>
        <v>ct</v>
      </c>
      <c r="V51" s="13">
        <f t="shared" si="12"/>
        <v>2</v>
      </c>
      <c r="W51" s="13" t="str">
        <f t="shared" si="13"/>
        <v>T043327 3</v>
      </c>
      <c r="X51" s="13" t="str">
        <f t="shared" si="14"/>
        <v>S5543</v>
      </c>
      <c r="Y51" s="13" t="str">
        <f t="shared" si="15"/>
        <v>T04</v>
      </c>
      <c r="Z51" s="13" t="str">
        <f t="shared" si="16"/>
        <v>327</v>
      </c>
      <c r="AA51" s="13">
        <f t="shared" si="17"/>
        <v>2</v>
      </c>
      <c r="AB51" s="13">
        <f t="shared" si="18"/>
        <v>2</v>
      </c>
      <c r="AC51" s="13"/>
      <c r="AD51" s="13"/>
      <c r="AE51" s="13"/>
    </row>
    <row r="52" spans="1:31" ht="30" x14ac:dyDescent="0.25">
      <c r="A52" s="9" t="s">
        <v>134</v>
      </c>
      <c r="B52" s="9" t="s">
        <v>259</v>
      </c>
      <c r="C52" s="9" t="s">
        <v>260</v>
      </c>
      <c r="D52" s="9" t="s">
        <v>261</v>
      </c>
      <c r="E52" s="9" t="s">
        <v>262</v>
      </c>
      <c r="F52" s="9">
        <v>1</v>
      </c>
      <c r="G52" s="9" t="s">
        <v>36</v>
      </c>
      <c r="H52" s="9">
        <v>6.75</v>
      </c>
      <c r="I52" s="13">
        <f t="shared" si="0"/>
        <v>6.75</v>
      </c>
      <c r="J52" s="13">
        <f t="shared" si="1"/>
        <v>495</v>
      </c>
      <c r="K52" s="13">
        <f t="shared" si="2"/>
        <v>494</v>
      </c>
      <c r="L52" s="13">
        <f t="shared" si="3"/>
        <v>1509</v>
      </c>
      <c r="M52" s="13">
        <f t="shared" si="4"/>
        <v>87</v>
      </c>
      <c r="N52" s="13" t="b">
        <f t="shared" si="5"/>
        <v>0</v>
      </c>
      <c r="O52" s="13" t="b">
        <f t="shared" si="6"/>
        <v>1</v>
      </c>
      <c r="P52" s="13" t="str">
        <f t="shared" si="19"/>
        <v>C005911-cans</v>
      </c>
      <c r="Q52" s="14" t="str">
        <f t="shared" si="7"/>
        <v>T047958
1</v>
      </c>
      <c r="R52" s="13" t="b">
        <f t="shared" si="8"/>
        <v>0</v>
      </c>
      <c r="S52" s="13" t="str">
        <f t="shared" si="9"/>
        <v>00</v>
      </c>
      <c r="T52" s="13" t="str">
        <f t="shared" si="10"/>
        <v>CANS</v>
      </c>
      <c r="U52" s="13" t="str">
        <f t="shared" si="11"/>
        <v>cans</v>
      </c>
      <c r="V52" s="13">
        <f t="shared" si="12"/>
        <v>2</v>
      </c>
      <c r="W52" s="13" t="str">
        <f t="shared" si="13"/>
        <v>T047958 1</v>
      </c>
      <c r="X52" s="13" t="str">
        <f t="shared" si="14"/>
        <v>S55155</v>
      </c>
      <c r="Y52" s="13" t="str">
        <f t="shared" si="15"/>
        <v>T04</v>
      </c>
      <c r="Z52" s="13" t="str">
        <f t="shared" si="16"/>
        <v>958</v>
      </c>
      <c r="AA52" s="13">
        <f t="shared" si="17"/>
        <v>2</v>
      </c>
      <c r="AB52" s="13">
        <f t="shared" si="18"/>
        <v>4</v>
      </c>
      <c r="AC52" s="13"/>
      <c r="AD52" s="13"/>
      <c r="AE52" s="13"/>
    </row>
    <row r="53" spans="1:31" ht="30" x14ac:dyDescent="0.25">
      <c r="A53" s="9" t="s">
        <v>233</v>
      </c>
      <c r="B53" s="9" t="s">
        <v>263</v>
      </c>
      <c r="C53" s="9" t="s">
        <v>264</v>
      </c>
      <c r="D53" s="9" t="s">
        <v>261</v>
      </c>
      <c r="E53" s="9" t="s">
        <v>265</v>
      </c>
      <c r="F53" s="9">
        <v>10</v>
      </c>
      <c r="G53" s="9" t="s">
        <v>36</v>
      </c>
      <c r="H53" s="9">
        <v>6.75</v>
      </c>
      <c r="I53" s="13">
        <f t="shared" si="0"/>
        <v>67.5</v>
      </c>
      <c r="J53" s="13">
        <f t="shared" si="1"/>
        <v>311.5</v>
      </c>
      <c r="K53" s="13">
        <f t="shared" si="2"/>
        <v>309</v>
      </c>
      <c r="L53" s="13">
        <f t="shared" si="3"/>
        <v>1513.75</v>
      </c>
      <c r="M53" s="13">
        <f t="shared" si="4"/>
        <v>87</v>
      </c>
      <c r="N53" s="13" t="b">
        <f t="shared" si="5"/>
        <v>0</v>
      </c>
      <c r="O53" s="13" t="b">
        <f t="shared" si="6"/>
        <v>1</v>
      </c>
      <c r="P53" s="13" t="str">
        <f t="shared" si="19"/>
        <v>C002711-cans</v>
      </c>
      <c r="Q53" s="14" t="str">
        <f t="shared" si="7"/>
        <v>T099187
10</v>
      </c>
      <c r="R53" s="13" t="b">
        <f t="shared" si="8"/>
        <v>0</v>
      </c>
      <c r="S53" s="13" t="str">
        <f t="shared" si="9"/>
        <v>00</v>
      </c>
      <c r="T53" s="13" t="str">
        <f t="shared" si="10"/>
        <v>CANS</v>
      </c>
      <c r="U53" s="13" t="str">
        <f t="shared" si="11"/>
        <v>cans</v>
      </c>
      <c r="V53" s="13">
        <f t="shared" si="12"/>
        <v>2</v>
      </c>
      <c r="W53" s="13" t="str">
        <f t="shared" si="13"/>
        <v>T099187 10</v>
      </c>
      <c r="X53" s="13" t="str">
        <f t="shared" si="14"/>
        <v>S55291</v>
      </c>
      <c r="Y53" s="13" t="str">
        <f t="shared" si="15"/>
        <v>T09</v>
      </c>
      <c r="Z53" s="13" t="str">
        <f t="shared" si="16"/>
        <v>187</v>
      </c>
      <c r="AA53" s="13">
        <f t="shared" si="17"/>
        <v>2</v>
      </c>
      <c r="AB53" s="13">
        <f t="shared" si="18"/>
        <v>4</v>
      </c>
      <c r="AC53" s="13"/>
      <c r="AD53" s="13"/>
      <c r="AE53" s="13"/>
    </row>
    <row r="54" spans="1:31" ht="30" x14ac:dyDescent="0.25">
      <c r="A54" s="9" t="s">
        <v>146</v>
      </c>
      <c r="B54" s="9" t="s">
        <v>266</v>
      </c>
      <c r="C54" s="9" t="s">
        <v>267</v>
      </c>
      <c r="D54" s="9" t="s">
        <v>268</v>
      </c>
      <c r="E54" s="9" t="s">
        <v>269</v>
      </c>
      <c r="F54" s="9">
        <v>4</v>
      </c>
      <c r="G54" s="9" t="s">
        <v>115</v>
      </c>
      <c r="H54" s="9">
        <v>17</v>
      </c>
      <c r="I54" s="13">
        <f t="shared" si="0"/>
        <v>68</v>
      </c>
      <c r="J54" s="13">
        <f t="shared" si="1"/>
        <v>306</v>
      </c>
      <c r="K54" s="13">
        <f t="shared" si="2"/>
        <v>304</v>
      </c>
      <c r="L54" s="13">
        <f t="shared" si="3"/>
        <v>421</v>
      </c>
      <c r="M54" s="13">
        <f t="shared" si="4"/>
        <v>25</v>
      </c>
      <c r="N54" s="13" t="b">
        <f t="shared" si="5"/>
        <v>0</v>
      </c>
      <c r="O54" s="13" t="b">
        <f t="shared" si="6"/>
        <v>1</v>
      </c>
      <c r="P54" s="13" t="str">
        <f t="shared" si="19"/>
        <v>C002588-bags</v>
      </c>
      <c r="Q54" s="14" t="str">
        <f t="shared" si="7"/>
        <v>T067143
4</v>
      </c>
      <c r="R54" s="13" t="b">
        <f t="shared" si="8"/>
        <v>0</v>
      </c>
      <c r="S54" s="13" t="str">
        <f t="shared" si="9"/>
        <v>15</v>
      </c>
      <c r="T54" s="13" t="str">
        <f t="shared" si="10"/>
        <v>BAGS</v>
      </c>
      <c r="U54" s="13" t="str">
        <f t="shared" si="11"/>
        <v>bags</v>
      </c>
      <c r="V54" s="13">
        <f t="shared" si="12"/>
        <v>2</v>
      </c>
      <c r="W54" s="13" t="str">
        <f t="shared" si="13"/>
        <v>T067143 4</v>
      </c>
      <c r="X54" s="13" t="str">
        <f t="shared" si="14"/>
        <v>S55416</v>
      </c>
      <c r="Y54" s="13" t="str">
        <f t="shared" si="15"/>
        <v>T06</v>
      </c>
      <c r="Z54" s="13" t="str">
        <f t="shared" si="16"/>
        <v>143</v>
      </c>
      <c r="AA54" s="13">
        <f t="shared" si="17"/>
        <v>2</v>
      </c>
      <c r="AB54" s="13">
        <f t="shared" si="18"/>
        <v>4</v>
      </c>
      <c r="AC54" s="13"/>
      <c r="AD54" s="13"/>
      <c r="AE54" s="13"/>
    </row>
    <row r="55" spans="1:31" ht="30" x14ac:dyDescent="0.25">
      <c r="A55" s="9" t="s">
        <v>171</v>
      </c>
      <c r="B55" s="9" t="s">
        <v>270</v>
      </c>
      <c r="C55" s="9" t="s">
        <v>271</v>
      </c>
      <c r="D55" s="9" t="s">
        <v>272</v>
      </c>
      <c r="E55" s="9" t="s">
        <v>273</v>
      </c>
      <c r="F55" s="9">
        <v>9</v>
      </c>
      <c r="G55" s="9" t="s">
        <v>14</v>
      </c>
      <c r="H55" s="9">
        <v>14</v>
      </c>
      <c r="I55" s="13">
        <f t="shared" si="0"/>
        <v>126</v>
      </c>
      <c r="J55" s="13">
        <f t="shared" si="1"/>
        <v>157</v>
      </c>
      <c r="K55" s="13">
        <f t="shared" si="2"/>
        <v>154</v>
      </c>
      <c r="L55" s="13">
        <f t="shared" si="3"/>
        <v>3011</v>
      </c>
      <c r="M55" s="13">
        <f t="shared" si="4"/>
        <v>154</v>
      </c>
      <c r="N55" s="13" t="b">
        <f t="shared" si="5"/>
        <v>0</v>
      </c>
      <c r="O55" s="13" t="b">
        <f t="shared" si="6"/>
        <v>1</v>
      </c>
      <c r="P55" s="13" t="str">
        <f t="shared" si="19"/>
        <v>C001376-ct</v>
      </c>
      <c r="Q55" s="14" t="str">
        <f t="shared" si="7"/>
        <v>T095018
9</v>
      </c>
      <c r="R55" s="13" t="b">
        <f t="shared" si="8"/>
        <v>0</v>
      </c>
      <c r="S55" s="13" t="str">
        <f t="shared" si="9"/>
        <v>24</v>
      </c>
      <c r="T55" s="13" t="str">
        <f t="shared" si="10"/>
        <v>CT</v>
      </c>
      <c r="U55" s="13" t="str">
        <f t="shared" si="11"/>
        <v>ct</v>
      </c>
      <c r="V55" s="13">
        <f t="shared" si="12"/>
        <v>2</v>
      </c>
      <c r="W55" s="13" t="str">
        <f t="shared" si="13"/>
        <v>T095018 9</v>
      </c>
      <c r="X55" s="13" t="str">
        <f t="shared" si="14"/>
        <v>S55483</v>
      </c>
      <c r="Y55" s="13" t="str">
        <f t="shared" si="15"/>
        <v>T09</v>
      </c>
      <c r="Z55" s="13" t="str">
        <f t="shared" si="16"/>
        <v>018</v>
      </c>
      <c r="AA55" s="13">
        <f t="shared" si="17"/>
        <v>2</v>
      </c>
      <c r="AB55" s="13">
        <f t="shared" si="18"/>
        <v>2</v>
      </c>
      <c r="AC55" s="13"/>
      <c r="AD55" s="13"/>
      <c r="AE55" s="13"/>
    </row>
    <row r="56" spans="1:31" ht="30" x14ac:dyDescent="0.25">
      <c r="A56" s="9" t="s">
        <v>26</v>
      </c>
      <c r="B56" s="9" t="s">
        <v>344</v>
      </c>
      <c r="C56" s="9" t="s">
        <v>345</v>
      </c>
      <c r="D56" s="9" t="s">
        <v>346</v>
      </c>
      <c r="E56" s="9" t="s">
        <v>347</v>
      </c>
      <c r="F56" s="9">
        <v>3</v>
      </c>
      <c r="G56" s="9" t="s">
        <v>36</v>
      </c>
      <c r="H56" s="9">
        <v>6.75</v>
      </c>
      <c r="I56" s="13">
        <f t="shared" si="0"/>
        <v>20.25</v>
      </c>
      <c r="J56" s="13">
        <f t="shared" si="1"/>
        <v>459.5</v>
      </c>
      <c r="K56" s="13">
        <f t="shared" si="2"/>
        <v>458</v>
      </c>
      <c r="L56" s="13">
        <f t="shared" si="3"/>
        <v>1531.75</v>
      </c>
      <c r="M56" s="13">
        <f t="shared" si="4"/>
        <v>88</v>
      </c>
      <c r="N56" s="13" t="b">
        <f t="shared" si="5"/>
        <v>0</v>
      </c>
      <c r="O56" s="13" t="b">
        <f t="shared" si="6"/>
        <v>1</v>
      </c>
      <c r="P56" s="13" t="str">
        <f t="shared" si="19"/>
        <v>C005655-cans</v>
      </c>
      <c r="Q56" s="14" t="str">
        <f t="shared" si="7"/>
        <v>T013343
3</v>
      </c>
      <c r="R56" s="13" t="b">
        <f t="shared" si="8"/>
        <v>0</v>
      </c>
      <c r="S56" s="13" t="str">
        <f t="shared" si="9"/>
        <v>02</v>
      </c>
      <c r="T56" s="13" t="str">
        <f t="shared" si="10"/>
        <v>CANS</v>
      </c>
      <c r="U56" s="13" t="str">
        <f t="shared" si="11"/>
        <v>cans</v>
      </c>
      <c r="V56" s="13">
        <f t="shared" si="12"/>
        <v>2</v>
      </c>
      <c r="W56" s="13" t="str">
        <f t="shared" si="13"/>
        <v>T013343 3</v>
      </c>
      <c r="X56" s="13" t="str">
        <f t="shared" si="14"/>
        <v>S5545</v>
      </c>
      <c r="Y56" s="13" t="str">
        <f t="shared" si="15"/>
        <v>T01</v>
      </c>
      <c r="Z56" s="13" t="str">
        <f t="shared" si="16"/>
        <v>343</v>
      </c>
      <c r="AA56" s="13">
        <f t="shared" si="17"/>
        <v>2</v>
      </c>
      <c r="AB56" s="13">
        <f t="shared" si="18"/>
        <v>4</v>
      </c>
      <c r="AC56" s="13"/>
      <c r="AD56" s="13"/>
      <c r="AE56" s="13"/>
    </row>
    <row r="57" spans="1:31" ht="30" x14ac:dyDescent="0.25">
      <c r="A57" s="9" t="s">
        <v>348</v>
      </c>
      <c r="B57" s="9" t="s">
        <v>349</v>
      </c>
      <c r="C57" s="9" t="s">
        <v>350</v>
      </c>
      <c r="D57" s="9" t="s">
        <v>128</v>
      </c>
      <c r="E57" s="9" t="s">
        <v>351</v>
      </c>
      <c r="F57" s="9">
        <v>9</v>
      </c>
      <c r="G57" s="9" t="s">
        <v>115</v>
      </c>
      <c r="H57" s="9">
        <v>17</v>
      </c>
      <c r="I57" s="13">
        <f t="shared" si="0"/>
        <v>153</v>
      </c>
      <c r="J57" s="13">
        <f t="shared" si="1"/>
        <v>105.5</v>
      </c>
      <c r="K57" s="13">
        <f t="shared" si="2"/>
        <v>103</v>
      </c>
      <c r="L57" s="13">
        <f t="shared" si="3"/>
        <v>421</v>
      </c>
      <c r="M57" s="13">
        <f t="shared" si="4"/>
        <v>25</v>
      </c>
      <c r="N57" s="13" t="b">
        <f t="shared" si="5"/>
        <v>0</v>
      </c>
      <c r="O57" s="13" t="b">
        <f t="shared" si="6"/>
        <v>1</v>
      </c>
      <c r="P57" s="13" t="str">
        <f t="shared" si="19"/>
        <v>C000616-bags</v>
      </c>
      <c r="Q57" s="14" t="str">
        <f t="shared" si="7"/>
        <v>T046239
9</v>
      </c>
      <c r="R57" s="13" t="b">
        <f t="shared" si="8"/>
        <v>0</v>
      </c>
      <c r="S57" s="13" t="str">
        <f t="shared" si="9"/>
        <v>15</v>
      </c>
      <c r="T57" s="13" t="str">
        <f t="shared" si="10"/>
        <v>BAGS</v>
      </c>
      <c r="U57" s="13" t="str">
        <f t="shared" si="11"/>
        <v>bags</v>
      </c>
      <c r="V57" s="13">
        <f t="shared" si="12"/>
        <v>2</v>
      </c>
      <c r="W57" s="13" t="str">
        <f t="shared" si="13"/>
        <v>T046239 9</v>
      </c>
      <c r="X57" s="13" t="str">
        <f t="shared" si="14"/>
        <v>S55754</v>
      </c>
      <c r="Y57" s="13" t="str">
        <f t="shared" si="15"/>
        <v>T04</v>
      </c>
      <c r="Z57" s="13" t="str">
        <f t="shared" si="16"/>
        <v>239</v>
      </c>
      <c r="AA57" s="13">
        <f t="shared" si="17"/>
        <v>2</v>
      </c>
      <c r="AB57" s="13">
        <f t="shared" si="18"/>
        <v>4</v>
      </c>
      <c r="AC57" s="13"/>
      <c r="AD57" s="13"/>
      <c r="AE57" s="13"/>
    </row>
    <row r="58" spans="1:31" ht="30" x14ac:dyDescent="0.25">
      <c r="A58" s="9" t="s">
        <v>196</v>
      </c>
      <c r="B58" s="9" t="s">
        <v>352</v>
      </c>
      <c r="C58" s="9" t="s">
        <v>353</v>
      </c>
      <c r="D58" s="9" t="s">
        <v>103</v>
      </c>
      <c r="E58" s="9" t="s">
        <v>354</v>
      </c>
      <c r="F58" s="9">
        <v>11</v>
      </c>
      <c r="G58" s="9" t="s">
        <v>14</v>
      </c>
      <c r="H58" s="9">
        <v>16</v>
      </c>
      <c r="I58" s="13">
        <f t="shared" si="0"/>
        <v>176</v>
      </c>
      <c r="J58" s="13">
        <f t="shared" si="1"/>
        <v>67</v>
      </c>
      <c r="K58" s="13">
        <f t="shared" si="2"/>
        <v>65</v>
      </c>
      <c r="L58" s="13">
        <f t="shared" si="3"/>
        <v>2997</v>
      </c>
      <c r="M58" s="13">
        <f t="shared" si="4"/>
        <v>153</v>
      </c>
      <c r="N58" s="13" t="b">
        <f t="shared" si="5"/>
        <v>0</v>
      </c>
      <c r="O58" s="13" t="b">
        <f t="shared" si="6"/>
        <v>1</v>
      </c>
      <c r="P58" s="13" t="str">
        <f t="shared" si="19"/>
        <v>C006210-ct</v>
      </c>
      <c r="Q58" s="14" t="str">
        <f t="shared" si="7"/>
        <v>T012085
11</v>
      </c>
      <c r="R58" s="13" t="b">
        <f t="shared" si="8"/>
        <v>0</v>
      </c>
      <c r="S58" s="13" t="str">
        <f t="shared" si="9"/>
        <v>23</v>
      </c>
      <c r="T58" s="13" t="str">
        <f t="shared" si="10"/>
        <v>CT</v>
      </c>
      <c r="U58" s="13" t="str">
        <f t="shared" si="11"/>
        <v>ct</v>
      </c>
      <c r="V58" s="13">
        <f t="shared" si="12"/>
        <v>2</v>
      </c>
      <c r="W58" s="13" t="str">
        <f t="shared" si="13"/>
        <v>T012085 11</v>
      </c>
      <c r="X58" s="13" t="str">
        <f t="shared" si="14"/>
        <v>S55389</v>
      </c>
      <c r="Y58" s="13" t="str">
        <f t="shared" si="15"/>
        <v>T01</v>
      </c>
      <c r="Z58" s="13" t="str">
        <f t="shared" si="16"/>
        <v>085</v>
      </c>
      <c r="AA58" s="13">
        <f t="shared" si="17"/>
        <v>2</v>
      </c>
      <c r="AB58" s="13">
        <f t="shared" si="18"/>
        <v>2</v>
      </c>
      <c r="AC58" s="13"/>
      <c r="AD58" s="13"/>
      <c r="AE58" s="13"/>
    </row>
    <row r="59" spans="1:31" ht="30" x14ac:dyDescent="0.25">
      <c r="A59" s="9" t="s">
        <v>31</v>
      </c>
      <c r="B59" s="9" t="s">
        <v>355</v>
      </c>
      <c r="C59" s="9" t="s">
        <v>356</v>
      </c>
      <c r="D59" s="9" t="s">
        <v>357</v>
      </c>
      <c r="E59" s="9" t="s">
        <v>358</v>
      </c>
      <c r="F59" s="9">
        <v>7</v>
      </c>
      <c r="G59" s="9" t="s">
        <v>36</v>
      </c>
      <c r="H59" s="9">
        <v>16</v>
      </c>
      <c r="I59" s="13">
        <f t="shared" si="0"/>
        <v>112</v>
      </c>
      <c r="J59" s="13">
        <f t="shared" si="1"/>
        <v>188.5</v>
      </c>
      <c r="K59" s="13">
        <f t="shared" si="2"/>
        <v>186</v>
      </c>
      <c r="L59" s="13">
        <f t="shared" si="3"/>
        <v>1531.75</v>
      </c>
      <c r="M59" s="13">
        <f t="shared" si="4"/>
        <v>88</v>
      </c>
      <c r="N59" s="13" t="b">
        <f t="shared" si="5"/>
        <v>0</v>
      </c>
      <c r="O59" s="13" t="b">
        <f t="shared" si="6"/>
        <v>1</v>
      </c>
      <c r="P59" s="13" t="str">
        <f t="shared" si="19"/>
        <v>C005781-cans</v>
      </c>
      <c r="Q59" s="14" t="str">
        <f t="shared" si="7"/>
        <v>T089241
7</v>
      </c>
      <c r="R59" s="13" t="b">
        <f t="shared" si="8"/>
        <v>0</v>
      </c>
      <c r="S59" s="13" t="str">
        <f t="shared" si="9"/>
        <v>03</v>
      </c>
      <c r="T59" s="13" t="str">
        <f t="shared" si="10"/>
        <v>CANS</v>
      </c>
      <c r="U59" s="13" t="str">
        <f t="shared" si="11"/>
        <v>cans</v>
      </c>
      <c r="V59" s="13">
        <f t="shared" si="12"/>
        <v>2</v>
      </c>
      <c r="W59" s="13" t="str">
        <f t="shared" si="13"/>
        <v>T089241 7</v>
      </c>
      <c r="X59" s="13" t="str">
        <f t="shared" si="14"/>
        <v>S55362</v>
      </c>
      <c r="Y59" s="13" t="str">
        <f t="shared" si="15"/>
        <v>T08</v>
      </c>
      <c r="Z59" s="13" t="str">
        <f t="shared" si="16"/>
        <v>241</v>
      </c>
      <c r="AA59" s="13">
        <f t="shared" si="17"/>
        <v>2</v>
      </c>
      <c r="AB59" s="13">
        <f t="shared" si="18"/>
        <v>4</v>
      </c>
      <c r="AC59" s="13"/>
      <c r="AD59" s="13"/>
      <c r="AE59" s="13"/>
    </row>
    <row r="60" spans="1:31" ht="30" x14ac:dyDescent="0.25">
      <c r="A60" s="9" t="s">
        <v>182</v>
      </c>
      <c r="B60" s="9" t="s">
        <v>359</v>
      </c>
      <c r="C60" s="9" t="s">
        <v>360</v>
      </c>
      <c r="D60" s="9" t="s">
        <v>221</v>
      </c>
      <c r="E60" s="9" t="s">
        <v>237</v>
      </c>
      <c r="F60" s="9">
        <v>2</v>
      </c>
      <c r="G60" s="9" t="s">
        <v>14</v>
      </c>
      <c r="H60" s="9">
        <v>45</v>
      </c>
      <c r="I60" s="13">
        <f t="shared" si="0"/>
        <v>90</v>
      </c>
      <c r="J60" s="13">
        <f t="shared" si="1"/>
        <v>245</v>
      </c>
      <c r="K60" s="13">
        <f t="shared" si="2"/>
        <v>239</v>
      </c>
      <c r="L60" s="13">
        <f t="shared" si="3"/>
        <v>3000.5</v>
      </c>
      <c r="M60" s="13">
        <f t="shared" si="4"/>
        <v>153</v>
      </c>
      <c r="N60" s="13" t="b">
        <f t="shared" si="5"/>
        <v>1</v>
      </c>
      <c r="O60" s="13" t="b">
        <f t="shared" si="6"/>
        <v>1</v>
      </c>
      <c r="P60" s="13" t="str">
        <f t="shared" si="19"/>
        <v>C000769-ct</v>
      </c>
      <c r="Q60" s="14" t="str">
        <f t="shared" si="7"/>
        <v>T048488
2</v>
      </c>
      <c r="R60" s="13" t="b">
        <f t="shared" si="8"/>
        <v>0</v>
      </c>
      <c r="S60" s="13" t="str">
        <f t="shared" si="9"/>
        <v>12</v>
      </c>
      <c r="T60" s="13" t="str">
        <f t="shared" si="10"/>
        <v>CT</v>
      </c>
      <c r="U60" s="13" t="str">
        <f t="shared" si="11"/>
        <v>ct</v>
      </c>
      <c r="V60" s="13">
        <f t="shared" si="12"/>
        <v>2</v>
      </c>
      <c r="W60" s="13" t="str">
        <f t="shared" si="13"/>
        <v>T048488 2</v>
      </c>
      <c r="X60" s="13" t="str">
        <f t="shared" si="14"/>
        <v>S55716</v>
      </c>
      <c r="Y60" s="13" t="str">
        <f t="shared" si="15"/>
        <v>T04</v>
      </c>
      <c r="Z60" s="13" t="str">
        <f t="shared" si="16"/>
        <v>488</v>
      </c>
      <c r="AA60" s="13">
        <f t="shared" si="17"/>
        <v>2</v>
      </c>
      <c r="AB60" s="13">
        <f t="shared" si="18"/>
        <v>2</v>
      </c>
      <c r="AC60" s="13"/>
      <c r="AD60" s="13"/>
      <c r="AE60" s="13"/>
    </row>
    <row r="61" spans="1:31" ht="30" x14ac:dyDescent="0.25">
      <c r="A61" s="9" t="s">
        <v>63</v>
      </c>
      <c r="B61" s="9" t="s">
        <v>361</v>
      </c>
      <c r="C61" s="9" t="s">
        <v>362</v>
      </c>
      <c r="D61" s="9" t="s">
        <v>363</v>
      </c>
      <c r="E61" s="9" t="s">
        <v>364</v>
      </c>
      <c r="F61" s="9">
        <v>3</v>
      </c>
      <c r="G61" s="9" t="s">
        <v>176</v>
      </c>
      <c r="H61" s="9">
        <v>17</v>
      </c>
      <c r="I61" s="13">
        <f t="shared" si="0"/>
        <v>51</v>
      </c>
      <c r="J61" s="13">
        <f t="shared" si="1"/>
        <v>374</v>
      </c>
      <c r="K61" s="13">
        <f t="shared" si="2"/>
        <v>373</v>
      </c>
      <c r="L61" s="13">
        <f t="shared" si="3"/>
        <v>475</v>
      </c>
      <c r="M61" s="13">
        <f t="shared" si="4"/>
        <v>30</v>
      </c>
      <c r="N61" s="13" t="b">
        <f t="shared" si="5"/>
        <v>0</v>
      </c>
      <c r="O61" s="13" t="b">
        <f t="shared" si="6"/>
        <v>1</v>
      </c>
      <c r="P61" s="13" t="str">
        <f t="shared" si="19"/>
        <v>C005135-oz</v>
      </c>
      <c r="Q61" s="14" t="str">
        <f t="shared" si="7"/>
        <v>T012987
3</v>
      </c>
      <c r="R61" s="13" t="b">
        <f t="shared" si="8"/>
        <v>0</v>
      </c>
      <c r="S61" s="13" t="str">
        <f t="shared" si="9"/>
        <v>10</v>
      </c>
      <c r="T61" s="13" t="str">
        <f t="shared" si="10"/>
        <v>OZ</v>
      </c>
      <c r="U61" s="13" t="str">
        <f t="shared" si="11"/>
        <v>oz</v>
      </c>
      <c r="V61" s="13">
        <f t="shared" si="12"/>
        <v>2</v>
      </c>
      <c r="W61" s="13" t="str">
        <f t="shared" si="13"/>
        <v>T012987 3</v>
      </c>
      <c r="X61" s="13" t="str">
        <f t="shared" si="14"/>
        <v>S55635</v>
      </c>
      <c r="Y61" s="13" t="str">
        <f t="shared" si="15"/>
        <v>T01</v>
      </c>
      <c r="Z61" s="13" t="str">
        <f t="shared" si="16"/>
        <v>987</v>
      </c>
      <c r="AA61" s="13">
        <f t="shared" si="17"/>
        <v>2</v>
      </c>
      <c r="AB61" s="13">
        <f t="shared" si="18"/>
        <v>2</v>
      </c>
      <c r="AC61" s="13"/>
      <c r="AD61" s="13"/>
      <c r="AE61" s="13"/>
    </row>
    <row r="62" spans="1:31" ht="30" x14ac:dyDescent="0.25">
      <c r="A62" s="9" t="s">
        <v>100</v>
      </c>
      <c r="B62" s="9" t="s">
        <v>365</v>
      </c>
      <c r="C62" s="9" t="s">
        <v>366</v>
      </c>
      <c r="D62" s="9" t="s">
        <v>339</v>
      </c>
      <c r="E62" s="9" t="s">
        <v>367</v>
      </c>
      <c r="F62" s="9">
        <v>9</v>
      </c>
      <c r="G62" s="9" t="s">
        <v>14</v>
      </c>
      <c r="H62" s="9">
        <v>17</v>
      </c>
      <c r="I62" s="13">
        <f t="shared" si="0"/>
        <v>153</v>
      </c>
      <c r="J62" s="13">
        <f t="shared" si="1"/>
        <v>105.5</v>
      </c>
      <c r="K62" s="13">
        <f t="shared" si="2"/>
        <v>103</v>
      </c>
      <c r="L62" s="13">
        <f t="shared" si="3"/>
        <v>2970.5</v>
      </c>
      <c r="M62" s="13">
        <f t="shared" si="4"/>
        <v>153</v>
      </c>
      <c r="N62" s="13" t="b">
        <f t="shared" si="5"/>
        <v>0</v>
      </c>
      <c r="O62" s="13" t="b">
        <f t="shared" si="6"/>
        <v>1</v>
      </c>
      <c r="P62" s="13" t="str">
        <f t="shared" si="19"/>
        <v>C001614-ct</v>
      </c>
      <c r="Q62" s="14" t="str">
        <f t="shared" si="7"/>
        <v>T073649
9</v>
      </c>
      <c r="R62" s="13" t="b">
        <f t="shared" si="8"/>
        <v>0</v>
      </c>
      <c r="S62" s="13" t="str">
        <f t="shared" si="9"/>
        <v>12</v>
      </c>
      <c r="T62" s="13" t="str">
        <f t="shared" si="10"/>
        <v>CT</v>
      </c>
      <c r="U62" s="13" t="str">
        <f t="shared" si="11"/>
        <v>ct</v>
      </c>
      <c r="V62" s="13">
        <f t="shared" si="12"/>
        <v>2</v>
      </c>
      <c r="W62" s="13" t="str">
        <f t="shared" si="13"/>
        <v>T073649 9</v>
      </c>
      <c r="X62" s="13" t="str">
        <f t="shared" si="14"/>
        <v>S55518</v>
      </c>
      <c r="Y62" s="13" t="str">
        <f t="shared" si="15"/>
        <v>T07</v>
      </c>
      <c r="Z62" s="13" t="str">
        <f t="shared" si="16"/>
        <v>649</v>
      </c>
      <c r="AA62" s="13">
        <f t="shared" si="17"/>
        <v>2</v>
      </c>
      <c r="AB62" s="13">
        <f t="shared" si="18"/>
        <v>2</v>
      </c>
      <c r="AC62" s="13"/>
      <c r="AD62" s="13"/>
      <c r="AE62" s="13"/>
    </row>
    <row r="63" spans="1:31" ht="30" x14ac:dyDescent="0.25">
      <c r="A63" s="9" t="s">
        <v>368</v>
      </c>
      <c r="B63" s="9" t="s">
        <v>369</v>
      </c>
      <c r="C63" s="9" t="s">
        <v>370</v>
      </c>
      <c r="D63" s="9" t="s">
        <v>371</v>
      </c>
      <c r="E63" s="9" t="s">
        <v>372</v>
      </c>
      <c r="F63" s="9">
        <v>1</v>
      </c>
      <c r="G63" s="9" t="s">
        <v>14</v>
      </c>
      <c r="H63" s="9">
        <v>24</v>
      </c>
      <c r="I63" s="13">
        <f t="shared" si="0"/>
        <v>24</v>
      </c>
      <c r="J63" s="13">
        <f t="shared" si="1"/>
        <v>453</v>
      </c>
      <c r="K63" s="13">
        <f t="shared" si="2"/>
        <v>451</v>
      </c>
      <c r="L63" s="13">
        <f t="shared" si="3"/>
        <v>2966.5</v>
      </c>
      <c r="M63" s="13">
        <f t="shared" si="4"/>
        <v>153</v>
      </c>
      <c r="N63" s="13" t="b">
        <f t="shared" si="5"/>
        <v>1</v>
      </c>
      <c r="O63" s="13" t="b">
        <f t="shared" si="6"/>
        <v>1</v>
      </c>
      <c r="P63" s="13" t="str">
        <f t="shared" si="19"/>
        <v>C007507-ct</v>
      </c>
      <c r="Q63" s="14" t="str">
        <f t="shared" si="7"/>
        <v>T099848
1</v>
      </c>
      <c r="R63" s="13" t="b">
        <f t="shared" si="8"/>
        <v>0</v>
      </c>
      <c r="S63" s="13" t="str">
        <f t="shared" si="9"/>
        <v>13</v>
      </c>
      <c r="T63" s="13" t="str">
        <f t="shared" si="10"/>
        <v>CT</v>
      </c>
      <c r="U63" s="13" t="str">
        <f t="shared" si="11"/>
        <v>ct</v>
      </c>
      <c r="V63" s="13">
        <f t="shared" si="12"/>
        <v>2</v>
      </c>
      <c r="W63" s="13" t="str">
        <f t="shared" si="13"/>
        <v>T099848 1</v>
      </c>
      <c r="X63" s="13" t="str">
        <f t="shared" si="14"/>
        <v>S55591</v>
      </c>
      <c r="Y63" s="13" t="str">
        <f t="shared" si="15"/>
        <v>T09</v>
      </c>
      <c r="Z63" s="13" t="str">
        <f t="shared" si="16"/>
        <v>848</v>
      </c>
      <c r="AA63" s="13">
        <f t="shared" si="17"/>
        <v>2</v>
      </c>
      <c r="AB63" s="13">
        <f t="shared" si="18"/>
        <v>2</v>
      </c>
      <c r="AC63" s="13"/>
      <c r="AD63" s="13"/>
      <c r="AE63" s="13"/>
    </row>
    <row r="64" spans="1:31" ht="30" x14ac:dyDescent="0.25">
      <c r="A64" s="9" t="s">
        <v>26</v>
      </c>
      <c r="B64" s="9" t="s">
        <v>373</v>
      </c>
      <c r="C64" s="9" t="s">
        <v>374</v>
      </c>
      <c r="D64" s="9" t="s">
        <v>375</v>
      </c>
      <c r="E64" s="9" t="s">
        <v>376</v>
      </c>
      <c r="F64" s="9">
        <v>3</v>
      </c>
      <c r="G64" s="9" t="s">
        <v>68</v>
      </c>
      <c r="H64" s="9">
        <v>17.5</v>
      </c>
      <c r="I64" s="13">
        <f t="shared" si="0"/>
        <v>52.5</v>
      </c>
      <c r="J64" s="13">
        <f t="shared" si="1"/>
        <v>369</v>
      </c>
      <c r="K64" s="13">
        <f t="shared" si="2"/>
        <v>369</v>
      </c>
      <c r="L64" s="13">
        <f t="shared" si="3"/>
        <v>1005</v>
      </c>
      <c r="M64" s="13">
        <f t="shared" si="4"/>
        <v>55</v>
      </c>
      <c r="N64" s="13" t="b">
        <f t="shared" si="5"/>
        <v>0</v>
      </c>
      <c r="O64" s="13" t="b">
        <f t="shared" si="6"/>
        <v>1</v>
      </c>
      <c r="P64" s="13" t="str">
        <f t="shared" si="19"/>
        <v>C005973-bottles</v>
      </c>
      <c r="Q64" s="14" t="str">
        <f t="shared" si="7"/>
        <v>T035211
3</v>
      </c>
      <c r="R64" s="13" t="b">
        <f t="shared" si="8"/>
        <v>0</v>
      </c>
      <c r="S64" s="13" t="str">
        <f t="shared" si="9"/>
        <v>07</v>
      </c>
      <c r="T64" s="13" t="str">
        <f t="shared" si="10"/>
        <v>BOTTLES</v>
      </c>
      <c r="U64" s="13" t="str">
        <f t="shared" si="11"/>
        <v>bottles</v>
      </c>
      <c r="V64" s="13">
        <f t="shared" si="12"/>
        <v>2</v>
      </c>
      <c r="W64" s="13" t="str">
        <f t="shared" si="13"/>
        <v>T035211 3</v>
      </c>
      <c r="X64" s="13" t="str">
        <f t="shared" si="14"/>
        <v>S55143</v>
      </c>
      <c r="Y64" s="13" t="str">
        <f t="shared" si="15"/>
        <v>T03</v>
      </c>
      <c r="Z64" s="13" t="str">
        <f t="shared" si="16"/>
        <v>211</v>
      </c>
      <c r="AA64" s="13">
        <f t="shared" si="17"/>
        <v>2</v>
      </c>
      <c r="AB64" s="13">
        <f t="shared" si="18"/>
        <v>7</v>
      </c>
      <c r="AC64" s="13"/>
      <c r="AD64" s="13"/>
      <c r="AE64" s="13"/>
    </row>
    <row r="65" spans="1:31" ht="30" x14ac:dyDescent="0.25">
      <c r="A65" s="9" t="s">
        <v>348</v>
      </c>
      <c r="B65" s="9" t="s">
        <v>377</v>
      </c>
      <c r="C65" s="9" t="s">
        <v>378</v>
      </c>
      <c r="D65" s="9" t="s">
        <v>379</v>
      </c>
      <c r="E65" s="9" t="s">
        <v>380</v>
      </c>
      <c r="F65" s="9">
        <v>3</v>
      </c>
      <c r="G65" s="9" t="s">
        <v>176</v>
      </c>
      <c r="H65" s="9">
        <v>17</v>
      </c>
      <c r="I65" s="13">
        <f t="shared" si="0"/>
        <v>51</v>
      </c>
      <c r="J65" s="13">
        <f t="shared" si="1"/>
        <v>374</v>
      </c>
      <c r="K65" s="13">
        <f t="shared" si="2"/>
        <v>373</v>
      </c>
      <c r="L65" s="13">
        <f t="shared" si="3"/>
        <v>458</v>
      </c>
      <c r="M65" s="13">
        <f t="shared" si="4"/>
        <v>29</v>
      </c>
      <c r="N65" s="13" t="b">
        <f t="shared" si="5"/>
        <v>0</v>
      </c>
      <c r="O65" s="13" t="b">
        <f t="shared" si="6"/>
        <v>1</v>
      </c>
      <c r="P65" s="13" t="str">
        <f t="shared" si="19"/>
        <v>C009137-oz</v>
      </c>
      <c r="Q65" s="14" t="str">
        <f t="shared" si="7"/>
        <v>T052586
3</v>
      </c>
      <c r="R65" s="13" t="b">
        <f t="shared" si="8"/>
        <v>0</v>
      </c>
      <c r="S65" s="13" t="str">
        <f t="shared" si="9"/>
        <v>10</v>
      </c>
      <c r="T65" s="13" t="str">
        <f t="shared" si="10"/>
        <v>OZ</v>
      </c>
      <c r="U65" s="13" t="str">
        <f t="shared" si="11"/>
        <v>oz</v>
      </c>
      <c r="V65" s="13">
        <f t="shared" si="12"/>
        <v>2</v>
      </c>
      <c r="W65" s="13" t="str">
        <f t="shared" si="13"/>
        <v>T052586 3</v>
      </c>
      <c r="X65" s="13" t="str">
        <f t="shared" si="14"/>
        <v>S55378</v>
      </c>
      <c r="Y65" s="13" t="str">
        <f t="shared" si="15"/>
        <v>T05</v>
      </c>
      <c r="Z65" s="13" t="str">
        <f t="shared" si="16"/>
        <v>586</v>
      </c>
      <c r="AA65" s="13">
        <f t="shared" si="17"/>
        <v>2</v>
      </c>
      <c r="AB65" s="13">
        <f t="shared" si="18"/>
        <v>2</v>
      </c>
      <c r="AC65" s="13"/>
      <c r="AD65" s="13"/>
      <c r="AE65" s="13"/>
    </row>
    <row r="66" spans="1:31" ht="30" x14ac:dyDescent="0.25">
      <c r="A66" s="9" t="s">
        <v>227</v>
      </c>
      <c r="B66" s="9" t="s">
        <v>381</v>
      </c>
      <c r="C66" s="9" t="s">
        <v>382</v>
      </c>
      <c r="D66" s="9" t="s">
        <v>383</v>
      </c>
      <c r="E66" s="9" t="s">
        <v>384</v>
      </c>
      <c r="F66" s="9">
        <v>11</v>
      </c>
      <c r="G66" s="9" t="s">
        <v>68</v>
      </c>
      <c r="H66" s="9">
        <v>20</v>
      </c>
      <c r="I66" s="13">
        <f t="shared" si="0"/>
        <v>220</v>
      </c>
      <c r="J66" s="13">
        <f t="shared" si="1"/>
        <v>35</v>
      </c>
      <c r="K66" s="13">
        <f t="shared" si="2"/>
        <v>34</v>
      </c>
      <c r="L66" s="13">
        <f t="shared" si="3"/>
        <v>987.5</v>
      </c>
      <c r="M66" s="13">
        <f t="shared" si="4"/>
        <v>54</v>
      </c>
      <c r="N66" s="13" t="b">
        <f t="shared" si="5"/>
        <v>0</v>
      </c>
      <c r="O66" s="13" t="b">
        <f t="shared" si="6"/>
        <v>1</v>
      </c>
      <c r="P66" s="13" t="str">
        <f t="shared" si="19"/>
        <v>C001890-bottles</v>
      </c>
      <c r="Q66" s="14" t="str">
        <f t="shared" si="7"/>
        <v>T04692
11</v>
      </c>
      <c r="R66" s="13" t="b">
        <f t="shared" si="8"/>
        <v>0</v>
      </c>
      <c r="S66" s="13" t="str">
        <f t="shared" si="9"/>
        <v>07</v>
      </c>
      <c r="T66" s="13" t="str">
        <f t="shared" si="10"/>
        <v>BOTTLES</v>
      </c>
      <c r="U66" s="13" t="str">
        <f t="shared" si="11"/>
        <v>bottles</v>
      </c>
      <c r="V66" s="13">
        <f t="shared" si="12"/>
        <v>2</v>
      </c>
      <c r="W66" s="13" t="str">
        <f t="shared" si="13"/>
        <v>T04692 11</v>
      </c>
      <c r="X66" s="13" t="str">
        <f t="shared" si="14"/>
        <v>S55257</v>
      </c>
      <c r="Y66" s="13" t="str">
        <f t="shared" si="15"/>
        <v>T04</v>
      </c>
      <c r="Z66" s="13" t="str">
        <f t="shared" si="16"/>
        <v>692</v>
      </c>
      <c r="AA66" s="13">
        <f t="shared" si="17"/>
        <v>2</v>
      </c>
      <c r="AB66" s="13">
        <f t="shared" si="18"/>
        <v>7</v>
      </c>
      <c r="AC66" s="13"/>
      <c r="AD66" s="13"/>
      <c r="AE66" s="13"/>
    </row>
    <row r="67" spans="1:31" ht="30" x14ac:dyDescent="0.25">
      <c r="A67" s="9" t="s">
        <v>26</v>
      </c>
      <c r="B67" s="9" t="s">
        <v>385</v>
      </c>
      <c r="C67" s="9" t="s">
        <v>386</v>
      </c>
      <c r="D67" s="9" t="s">
        <v>387</v>
      </c>
      <c r="E67" s="9" t="s">
        <v>388</v>
      </c>
      <c r="F67" s="9">
        <v>9</v>
      </c>
      <c r="G67" s="9" t="s">
        <v>14</v>
      </c>
      <c r="H67" s="9">
        <v>33</v>
      </c>
      <c r="I67" s="13">
        <f t="shared" si="0"/>
        <v>297</v>
      </c>
      <c r="J67" s="13">
        <f t="shared" si="1"/>
        <v>19</v>
      </c>
      <c r="K67" s="13">
        <f t="shared" si="2"/>
        <v>19</v>
      </c>
      <c r="L67" s="13">
        <f t="shared" si="3"/>
        <v>2954.5</v>
      </c>
      <c r="M67" s="13">
        <f t="shared" si="4"/>
        <v>153</v>
      </c>
      <c r="N67" s="13" t="b">
        <f t="shared" si="5"/>
        <v>1</v>
      </c>
      <c r="O67" s="13" t="b">
        <f t="shared" si="6"/>
        <v>1</v>
      </c>
      <c r="P67" s="13" t="str">
        <f t="shared" si="19"/>
        <v>C005857-ct</v>
      </c>
      <c r="Q67" s="14" t="str">
        <f t="shared" si="7"/>
        <v>T079642
9</v>
      </c>
      <c r="R67" s="13" t="b">
        <f t="shared" si="8"/>
        <v>0</v>
      </c>
      <c r="S67" s="13" t="str">
        <f t="shared" si="9"/>
        <v>26</v>
      </c>
      <c r="T67" s="13" t="str">
        <f t="shared" si="10"/>
        <v>CT</v>
      </c>
      <c r="U67" s="13" t="str">
        <f t="shared" si="11"/>
        <v>ct</v>
      </c>
      <c r="V67" s="13">
        <f t="shared" si="12"/>
        <v>2</v>
      </c>
      <c r="W67" s="13" t="str">
        <f t="shared" si="13"/>
        <v>T079642 9</v>
      </c>
      <c r="X67" s="13" t="str">
        <f t="shared" si="14"/>
        <v>S55558</v>
      </c>
      <c r="Y67" s="13" t="str">
        <f t="shared" si="15"/>
        <v>T07</v>
      </c>
      <c r="Z67" s="13" t="str">
        <f t="shared" si="16"/>
        <v>642</v>
      </c>
      <c r="AA67" s="13">
        <f t="shared" si="17"/>
        <v>2</v>
      </c>
      <c r="AB67" s="13">
        <f t="shared" si="18"/>
        <v>2</v>
      </c>
      <c r="AC67" s="13"/>
      <c r="AD67" s="13"/>
      <c r="AE67" s="13"/>
    </row>
    <row r="68" spans="1:31" ht="30" x14ac:dyDescent="0.25">
      <c r="A68" s="9" t="s">
        <v>196</v>
      </c>
      <c r="B68" s="9" t="s">
        <v>389</v>
      </c>
      <c r="C68" s="9" t="s">
        <v>390</v>
      </c>
      <c r="D68" s="9" t="s">
        <v>165</v>
      </c>
      <c r="E68" s="9" t="s">
        <v>391</v>
      </c>
      <c r="F68" s="9">
        <v>3</v>
      </c>
      <c r="G68" s="9" t="s">
        <v>14</v>
      </c>
      <c r="H68" s="9">
        <v>16</v>
      </c>
      <c r="I68" s="13">
        <f t="shared" si="0"/>
        <v>48</v>
      </c>
      <c r="J68" s="13">
        <f t="shared" si="1"/>
        <v>382.5</v>
      </c>
      <c r="K68" s="13">
        <f t="shared" si="2"/>
        <v>379</v>
      </c>
      <c r="L68" s="13">
        <f t="shared" si="3"/>
        <v>2921.5</v>
      </c>
      <c r="M68" s="13">
        <f t="shared" si="4"/>
        <v>152</v>
      </c>
      <c r="N68" s="13" t="b">
        <f t="shared" si="5"/>
        <v>0</v>
      </c>
      <c r="O68" s="13" t="b">
        <f t="shared" si="6"/>
        <v>1</v>
      </c>
      <c r="P68" s="13" t="str">
        <f t="shared" si="19"/>
        <v>C001213-ct</v>
      </c>
      <c r="Q68" s="14" t="str">
        <f t="shared" si="7"/>
        <v>T088078
3</v>
      </c>
      <c r="R68" s="13" t="b">
        <f t="shared" si="8"/>
        <v>0</v>
      </c>
      <c r="S68" s="13" t="str">
        <f t="shared" si="9"/>
        <v>11</v>
      </c>
      <c r="T68" s="13" t="str">
        <f t="shared" si="10"/>
        <v>CT</v>
      </c>
      <c r="U68" s="13" t="str">
        <f t="shared" si="11"/>
        <v>ct</v>
      </c>
      <c r="V68" s="13">
        <f t="shared" si="12"/>
        <v>2</v>
      </c>
      <c r="W68" s="13" t="str">
        <f t="shared" si="13"/>
        <v>T088078 3</v>
      </c>
      <c r="X68" s="13" t="str">
        <f t="shared" si="14"/>
        <v>S55485</v>
      </c>
      <c r="Y68" s="13" t="str">
        <f t="shared" si="15"/>
        <v>T08</v>
      </c>
      <c r="Z68" s="13" t="str">
        <f t="shared" si="16"/>
        <v>078</v>
      </c>
      <c r="AA68" s="13">
        <f t="shared" si="17"/>
        <v>2</v>
      </c>
      <c r="AB68" s="13">
        <f t="shared" si="18"/>
        <v>2</v>
      </c>
      <c r="AC68" s="13"/>
      <c r="AD68" s="13"/>
      <c r="AE68" s="13"/>
    </row>
    <row r="69" spans="1:31" ht="30" x14ac:dyDescent="0.25">
      <c r="A69" s="9" t="s">
        <v>116</v>
      </c>
      <c r="B69" s="9" t="s">
        <v>392</v>
      </c>
      <c r="C69" s="9" t="s">
        <v>393</v>
      </c>
      <c r="D69" s="9" t="s">
        <v>394</v>
      </c>
      <c r="E69" s="9" t="s">
        <v>395</v>
      </c>
      <c r="F69" s="9">
        <v>7</v>
      </c>
      <c r="G69" s="9" t="s">
        <v>278</v>
      </c>
      <c r="H69" s="9">
        <v>14</v>
      </c>
      <c r="I69" s="13">
        <f t="shared" si="0"/>
        <v>98</v>
      </c>
      <c r="J69" s="13">
        <f t="shared" si="1"/>
        <v>221.5</v>
      </c>
      <c r="K69" s="13">
        <f t="shared" si="2"/>
        <v>221</v>
      </c>
      <c r="L69" s="13">
        <f t="shared" si="3"/>
        <v>231</v>
      </c>
      <c r="M69" s="13">
        <f t="shared" si="4"/>
        <v>17</v>
      </c>
      <c r="N69" s="13" t="b">
        <f t="shared" si="5"/>
        <v>0</v>
      </c>
      <c r="O69" s="13" t="b">
        <f t="shared" si="6"/>
        <v>1</v>
      </c>
      <c r="P69" s="13" t="str">
        <f t="shared" si="19"/>
        <v>C008426-ct.</v>
      </c>
      <c r="Q69" s="14" t="str">
        <f t="shared" si="7"/>
        <v>T075777
7</v>
      </c>
      <c r="R69" s="13" t="b">
        <f t="shared" si="8"/>
        <v>0</v>
      </c>
      <c r="S69" s="13" t="str">
        <f t="shared" si="9"/>
        <v>21</v>
      </c>
      <c r="T69" s="13" t="str">
        <f t="shared" si="10"/>
        <v>CT.</v>
      </c>
      <c r="U69" s="13" t="str">
        <f t="shared" si="11"/>
        <v>ct.</v>
      </c>
      <c r="V69" s="13">
        <f t="shared" si="12"/>
        <v>2</v>
      </c>
      <c r="W69" s="13" t="str">
        <f t="shared" si="13"/>
        <v>T075777 7</v>
      </c>
      <c r="X69" s="13" t="str">
        <f t="shared" si="14"/>
        <v>S55537</v>
      </c>
      <c r="Y69" s="13" t="str">
        <f t="shared" si="15"/>
        <v>T07</v>
      </c>
      <c r="Z69" s="13" t="str">
        <f t="shared" si="16"/>
        <v>777</v>
      </c>
      <c r="AA69" s="13">
        <f t="shared" si="17"/>
        <v>2</v>
      </c>
      <c r="AB69" s="13">
        <f t="shared" si="18"/>
        <v>3</v>
      </c>
      <c r="AC69" s="13"/>
      <c r="AD69" s="13"/>
      <c r="AE69" s="13"/>
    </row>
    <row r="70" spans="1:31" ht="30" x14ac:dyDescent="0.25">
      <c r="A70" s="9" t="s">
        <v>134</v>
      </c>
      <c r="B70" s="9" t="s">
        <v>396</v>
      </c>
      <c r="C70" s="9" t="s">
        <v>397</v>
      </c>
      <c r="D70" s="9" t="s">
        <v>398</v>
      </c>
      <c r="E70" s="9" t="s">
        <v>399</v>
      </c>
      <c r="F70" s="9">
        <v>3</v>
      </c>
      <c r="G70" s="9" t="s">
        <v>36</v>
      </c>
      <c r="H70" s="9">
        <v>6.75</v>
      </c>
      <c r="I70" s="13">
        <f t="shared" ref="I70:I133" si="20">$F70*H70</f>
        <v>20.25</v>
      </c>
      <c r="J70" s="13">
        <f t="shared" ref="J70:J133" si="21">_xlfn.RANK.AVG(I70,$I$5:$I$550000)</f>
        <v>459.5</v>
      </c>
      <c r="K70" s="13">
        <f t="shared" ref="K70:K133" si="22">_xlfn.RANK.EQ(I70,$I$5:$I$550000)</f>
        <v>458</v>
      </c>
      <c r="L70" s="13">
        <f t="shared" ref="L70:L133" si="23">SUMIF(G70:G482,G70,H70:H565)</f>
        <v>1522.5</v>
      </c>
      <c r="M70" s="13">
        <f t="shared" ref="M70:M133" si="24">COUNTIF(G70:G482,G70)</f>
        <v>88</v>
      </c>
      <c r="N70" s="13" t="b">
        <f t="shared" ref="N70:N133" si="25">AND(H70&gt;20,H70&lt;70)</f>
        <v>0</v>
      </c>
      <c r="O70" s="13" t="b">
        <f t="shared" ref="O70:O133" si="26">OR(H70&gt;10,H70&lt;60)</f>
        <v>1</v>
      </c>
      <c r="P70" s="13" t="str">
        <f t="shared" ref="P70:P133" si="27">_xlfn.CONCAT(B70,"-",G70)</f>
        <v>C005265-cans</v>
      </c>
      <c r="Q70" s="14" t="str">
        <f t="shared" ref="Q70:Q133" si="28">_xlfn.CONCAT(C70,CHAR(10),F70)</f>
        <v>T084200
3</v>
      </c>
      <c r="R70" s="13" t="b">
        <f t="shared" ref="R70:R133" si="29">EXACT(D70,E70)</f>
        <v>0</v>
      </c>
      <c r="S70" s="13" t="str">
        <f t="shared" ref="S70:S133" si="30">MID(D70,4,2)</f>
        <v>01</v>
      </c>
      <c r="T70" s="13" t="str">
        <f t="shared" ref="T70:T133" si="31">UPPER(G70)</f>
        <v>CANS</v>
      </c>
      <c r="U70" s="13" t="str">
        <f t="shared" ref="U70:U133" si="32">LOWER(G70)</f>
        <v>cans</v>
      </c>
      <c r="V70" s="13">
        <f t="shared" ref="V70:V133" si="33">SEARCH("0",E70)</f>
        <v>2</v>
      </c>
      <c r="W70" s="13" t="str">
        <f t="shared" ref="W70:W133" si="34">_xlfn.TEXTJOIN(" ",TRUE,C70,F70)</f>
        <v>T084200 3</v>
      </c>
      <c r="X70" s="13" t="str">
        <f t="shared" ref="X70:X133" si="35">SUBSTITUTE(E70,"0","5")</f>
        <v>S5545</v>
      </c>
      <c r="Y70" s="13" t="str">
        <f t="shared" ref="Y70:Y133" si="36">LEFT(C70,3)</f>
        <v>T08</v>
      </c>
      <c r="Z70" s="13" t="str">
        <f t="shared" ref="Z70:Z133" si="37">RIGHT(C70,3)</f>
        <v>200</v>
      </c>
      <c r="AA70" s="13">
        <f t="shared" ref="AA70:AA133" si="38">FIND("0",A70)</f>
        <v>2</v>
      </c>
      <c r="AB70" s="13">
        <f t="shared" ref="AB70:AB133" si="39">LEN(G70)</f>
        <v>4</v>
      </c>
      <c r="AC70" s="13"/>
      <c r="AD70" s="13"/>
      <c r="AE70" s="13"/>
    </row>
    <row r="71" spans="1:31" ht="30" x14ac:dyDescent="0.25">
      <c r="A71" s="9" t="s">
        <v>110</v>
      </c>
      <c r="B71" s="9" t="s">
        <v>400</v>
      </c>
      <c r="C71" s="9" t="s">
        <v>401</v>
      </c>
      <c r="D71" s="9" t="s">
        <v>402</v>
      </c>
      <c r="E71" s="9" t="s">
        <v>403</v>
      </c>
      <c r="F71" s="9">
        <v>8</v>
      </c>
      <c r="G71" s="9" t="s">
        <v>176</v>
      </c>
      <c r="H71" s="9">
        <v>15</v>
      </c>
      <c r="I71" s="13">
        <f t="shared" si="20"/>
        <v>120</v>
      </c>
      <c r="J71" s="13">
        <f t="shared" si="21"/>
        <v>169.5</v>
      </c>
      <c r="K71" s="13">
        <f t="shared" si="22"/>
        <v>162</v>
      </c>
      <c r="L71" s="13">
        <f t="shared" si="23"/>
        <v>441</v>
      </c>
      <c r="M71" s="13">
        <f t="shared" si="24"/>
        <v>28</v>
      </c>
      <c r="N71" s="13" t="b">
        <f t="shared" si="25"/>
        <v>0</v>
      </c>
      <c r="O71" s="13" t="b">
        <f t="shared" si="26"/>
        <v>1</v>
      </c>
      <c r="P71" s="13" t="str">
        <f t="shared" si="27"/>
        <v>C007155-oz</v>
      </c>
      <c r="Q71" s="14" t="str">
        <f t="shared" si="28"/>
        <v>T015488
8</v>
      </c>
      <c r="R71" s="13" t="b">
        <f t="shared" si="29"/>
        <v>0</v>
      </c>
      <c r="S71" s="13" t="str">
        <f t="shared" si="30"/>
        <v>24</v>
      </c>
      <c r="T71" s="13" t="str">
        <f t="shared" si="31"/>
        <v>OZ</v>
      </c>
      <c r="U71" s="13" t="str">
        <f t="shared" si="32"/>
        <v>oz</v>
      </c>
      <c r="V71" s="13">
        <f t="shared" si="33"/>
        <v>2</v>
      </c>
      <c r="W71" s="13" t="str">
        <f t="shared" si="34"/>
        <v>T015488 8</v>
      </c>
      <c r="X71" s="13" t="str">
        <f t="shared" si="35"/>
        <v>S55372</v>
      </c>
      <c r="Y71" s="13" t="str">
        <f t="shared" si="36"/>
        <v>T01</v>
      </c>
      <c r="Z71" s="13" t="str">
        <f t="shared" si="37"/>
        <v>488</v>
      </c>
      <c r="AA71" s="13">
        <f t="shared" si="38"/>
        <v>2</v>
      </c>
      <c r="AB71" s="13">
        <f t="shared" si="39"/>
        <v>2</v>
      </c>
      <c r="AC71" s="13"/>
      <c r="AD71" s="13"/>
      <c r="AE71" s="13"/>
    </row>
    <row r="72" spans="1:31" ht="30" x14ac:dyDescent="0.25">
      <c r="A72" s="9" t="s">
        <v>177</v>
      </c>
      <c r="B72" s="9" t="s">
        <v>404</v>
      </c>
      <c r="C72" s="9" t="s">
        <v>405</v>
      </c>
      <c r="D72" s="9" t="s">
        <v>406</v>
      </c>
      <c r="E72" s="9" t="s">
        <v>407</v>
      </c>
      <c r="F72" s="9">
        <v>2</v>
      </c>
      <c r="G72" s="9" t="s">
        <v>36</v>
      </c>
      <c r="H72" s="9">
        <v>16.25</v>
      </c>
      <c r="I72" s="13">
        <f t="shared" si="20"/>
        <v>32.5</v>
      </c>
      <c r="J72" s="13">
        <f t="shared" si="21"/>
        <v>430.5</v>
      </c>
      <c r="K72" s="13">
        <f t="shared" si="22"/>
        <v>429</v>
      </c>
      <c r="L72" s="13">
        <f t="shared" si="23"/>
        <v>1515.75</v>
      </c>
      <c r="M72" s="13">
        <f t="shared" si="24"/>
        <v>87</v>
      </c>
      <c r="N72" s="13" t="b">
        <f t="shared" si="25"/>
        <v>0</v>
      </c>
      <c r="O72" s="13" t="b">
        <f t="shared" si="26"/>
        <v>1</v>
      </c>
      <c r="P72" s="13" t="str">
        <f t="shared" si="27"/>
        <v>C008945-cans</v>
      </c>
      <c r="Q72" s="14" t="str">
        <f t="shared" si="28"/>
        <v>T091863
2</v>
      </c>
      <c r="R72" s="13" t="b">
        <f t="shared" si="29"/>
        <v>0</v>
      </c>
      <c r="S72" s="13" t="str">
        <f t="shared" si="30"/>
        <v>00</v>
      </c>
      <c r="T72" s="13" t="str">
        <f t="shared" si="31"/>
        <v>CANS</v>
      </c>
      <c r="U72" s="13" t="str">
        <f t="shared" si="32"/>
        <v>cans</v>
      </c>
      <c r="V72" s="13">
        <f t="shared" si="33"/>
        <v>2</v>
      </c>
      <c r="W72" s="13" t="str">
        <f t="shared" si="34"/>
        <v>T091863 2</v>
      </c>
      <c r="X72" s="13" t="str">
        <f t="shared" si="35"/>
        <v>S55715</v>
      </c>
      <c r="Y72" s="13" t="str">
        <f t="shared" si="36"/>
        <v>T09</v>
      </c>
      <c r="Z72" s="13" t="str">
        <f t="shared" si="37"/>
        <v>863</v>
      </c>
      <c r="AA72" s="13">
        <f t="shared" si="38"/>
        <v>2</v>
      </c>
      <c r="AB72" s="13">
        <f t="shared" si="39"/>
        <v>4</v>
      </c>
      <c r="AC72" s="13"/>
      <c r="AD72" s="13"/>
      <c r="AE72" s="13"/>
    </row>
    <row r="73" spans="1:31" ht="30" x14ac:dyDescent="0.25">
      <c r="A73" s="9" t="s">
        <v>155</v>
      </c>
      <c r="B73" s="9" t="s">
        <v>408</v>
      </c>
      <c r="C73" s="9" t="s">
        <v>409</v>
      </c>
      <c r="D73" s="9" t="s">
        <v>410</v>
      </c>
      <c r="E73" s="9" t="s">
        <v>120</v>
      </c>
      <c r="F73" s="9">
        <v>8</v>
      </c>
      <c r="G73" s="9" t="s">
        <v>411</v>
      </c>
      <c r="H73" s="9">
        <v>20</v>
      </c>
      <c r="I73" s="13">
        <f t="shared" si="20"/>
        <v>160</v>
      </c>
      <c r="J73" s="13">
        <f t="shared" si="21"/>
        <v>90.5</v>
      </c>
      <c r="K73" s="13">
        <f t="shared" si="22"/>
        <v>84</v>
      </c>
      <c r="L73" s="13">
        <f t="shared" si="23"/>
        <v>240</v>
      </c>
      <c r="M73" s="13">
        <f t="shared" si="24"/>
        <v>12</v>
      </c>
      <c r="N73" s="13" t="b">
        <f t="shared" si="25"/>
        <v>0</v>
      </c>
      <c r="O73" s="13" t="b">
        <f t="shared" si="26"/>
        <v>1</v>
      </c>
      <c r="P73" s="13" t="str">
        <f t="shared" si="27"/>
        <v>C006321-pack</v>
      </c>
      <c r="Q73" s="14" t="str">
        <f t="shared" si="28"/>
        <v>T075495
8</v>
      </c>
      <c r="R73" s="13" t="b">
        <f t="shared" si="29"/>
        <v>0</v>
      </c>
      <c r="S73" s="13" t="str">
        <f t="shared" si="30"/>
        <v>25</v>
      </c>
      <c r="T73" s="13" t="str">
        <f t="shared" si="31"/>
        <v>PACK</v>
      </c>
      <c r="U73" s="13" t="str">
        <f t="shared" si="32"/>
        <v>pack</v>
      </c>
      <c r="V73" s="13">
        <f t="shared" si="33"/>
        <v>2</v>
      </c>
      <c r="W73" s="13" t="str">
        <f t="shared" si="34"/>
        <v>T075495 8</v>
      </c>
      <c r="X73" s="13" t="str">
        <f t="shared" si="35"/>
        <v>S55455</v>
      </c>
      <c r="Y73" s="13" t="str">
        <f t="shared" si="36"/>
        <v>T07</v>
      </c>
      <c r="Z73" s="13" t="str">
        <f t="shared" si="37"/>
        <v>495</v>
      </c>
      <c r="AA73" s="13">
        <f t="shared" si="38"/>
        <v>2</v>
      </c>
      <c r="AB73" s="13">
        <f t="shared" si="39"/>
        <v>4</v>
      </c>
      <c r="AC73" s="13"/>
      <c r="AD73" s="13"/>
      <c r="AE73" s="13"/>
    </row>
    <row r="74" spans="1:31" ht="30" x14ac:dyDescent="0.25">
      <c r="A74" s="9" t="s">
        <v>227</v>
      </c>
      <c r="B74" s="9" t="s">
        <v>412</v>
      </c>
      <c r="C74" s="9" t="s">
        <v>413</v>
      </c>
      <c r="D74" s="9" t="s">
        <v>414</v>
      </c>
      <c r="E74" s="9" t="s">
        <v>415</v>
      </c>
      <c r="F74" s="9">
        <v>11</v>
      </c>
      <c r="G74" s="9" t="s">
        <v>416</v>
      </c>
      <c r="H74" s="9">
        <v>18</v>
      </c>
      <c r="I74" s="13">
        <f t="shared" si="20"/>
        <v>198</v>
      </c>
      <c r="J74" s="13">
        <f t="shared" si="21"/>
        <v>51</v>
      </c>
      <c r="K74" s="13">
        <f t="shared" si="22"/>
        <v>51</v>
      </c>
      <c r="L74" s="13">
        <f t="shared" si="23"/>
        <v>246.5</v>
      </c>
      <c r="M74" s="13">
        <f t="shared" si="24"/>
        <v>16</v>
      </c>
      <c r="N74" s="13" t="b">
        <f t="shared" si="25"/>
        <v>0</v>
      </c>
      <c r="O74" s="13" t="b">
        <f t="shared" si="26"/>
        <v>1</v>
      </c>
      <c r="P74" s="13" t="str">
        <f t="shared" si="27"/>
        <v>C000850-pk</v>
      </c>
      <c r="Q74" s="14" t="str">
        <f t="shared" si="28"/>
        <v>T023269
11</v>
      </c>
      <c r="R74" s="13" t="b">
        <f t="shared" si="29"/>
        <v>0</v>
      </c>
      <c r="S74" s="13" t="str">
        <f t="shared" si="30"/>
        <v>12</v>
      </c>
      <c r="T74" s="13" t="str">
        <f t="shared" si="31"/>
        <v>PK</v>
      </c>
      <c r="U74" s="13" t="str">
        <f t="shared" si="32"/>
        <v>pk</v>
      </c>
      <c r="V74" s="13">
        <f t="shared" si="33"/>
        <v>2</v>
      </c>
      <c r="W74" s="13" t="str">
        <f t="shared" si="34"/>
        <v>T023269 11</v>
      </c>
      <c r="X74" s="13" t="str">
        <f t="shared" si="35"/>
        <v>S55355</v>
      </c>
      <c r="Y74" s="13" t="str">
        <f t="shared" si="36"/>
        <v>T02</v>
      </c>
      <c r="Z74" s="13" t="str">
        <f t="shared" si="37"/>
        <v>269</v>
      </c>
      <c r="AA74" s="13">
        <f t="shared" si="38"/>
        <v>2</v>
      </c>
      <c r="AB74" s="13">
        <f t="shared" si="39"/>
        <v>2</v>
      </c>
      <c r="AC74" s="13"/>
      <c r="AD74" s="13"/>
      <c r="AE74" s="13"/>
    </row>
    <row r="75" spans="1:31" ht="30" x14ac:dyDescent="0.25">
      <c r="A75" s="9" t="s">
        <v>63</v>
      </c>
      <c r="B75" s="9" t="s">
        <v>417</v>
      </c>
      <c r="C75" s="9" t="s">
        <v>418</v>
      </c>
      <c r="D75" s="9" t="s">
        <v>419</v>
      </c>
      <c r="E75" s="9" t="s">
        <v>420</v>
      </c>
      <c r="F75" s="9">
        <v>4</v>
      </c>
      <c r="G75" s="9" t="s">
        <v>68</v>
      </c>
      <c r="H75" s="9">
        <v>24</v>
      </c>
      <c r="I75" s="13">
        <f t="shared" si="20"/>
        <v>96</v>
      </c>
      <c r="J75" s="13">
        <f t="shared" si="21"/>
        <v>231.5</v>
      </c>
      <c r="K75" s="13">
        <f t="shared" si="22"/>
        <v>228</v>
      </c>
      <c r="L75" s="13">
        <f t="shared" si="23"/>
        <v>996.5</v>
      </c>
      <c r="M75" s="13">
        <f t="shared" si="24"/>
        <v>55</v>
      </c>
      <c r="N75" s="13" t="b">
        <f t="shared" si="25"/>
        <v>1</v>
      </c>
      <c r="O75" s="13" t="b">
        <f t="shared" si="26"/>
        <v>1</v>
      </c>
      <c r="P75" s="13" t="str">
        <f t="shared" si="27"/>
        <v>C006253-bottles</v>
      </c>
      <c r="Q75" s="14" t="str">
        <f t="shared" si="28"/>
        <v>T038332
4</v>
      </c>
      <c r="R75" s="13" t="b">
        <f t="shared" si="29"/>
        <v>0</v>
      </c>
      <c r="S75" s="13" t="str">
        <f t="shared" si="30"/>
        <v>05</v>
      </c>
      <c r="T75" s="13" t="str">
        <f t="shared" si="31"/>
        <v>BOTTLES</v>
      </c>
      <c r="U75" s="13" t="str">
        <f t="shared" si="32"/>
        <v>bottles</v>
      </c>
      <c r="V75" s="13">
        <f t="shared" si="33"/>
        <v>2</v>
      </c>
      <c r="W75" s="13" t="str">
        <f t="shared" si="34"/>
        <v>T038332 4</v>
      </c>
      <c r="X75" s="13" t="str">
        <f t="shared" si="35"/>
        <v>S55256</v>
      </c>
      <c r="Y75" s="13" t="str">
        <f t="shared" si="36"/>
        <v>T03</v>
      </c>
      <c r="Z75" s="13" t="str">
        <f t="shared" si="37"/>
        <v>332</v>
      </c>
      <c r="AA75" s="13">
        <f t="shared" si="38"/>
        <v>2</v>
      </c>
      <c r="AB75" s="13">
        <f t="shared" si="39"/>
        <v>7</v>
      </c>
      <c r="AC75" s="13"/>
      <c r="AD75" s="13"/>
      <c r="AE75" s="13"/>
    </row>
    <row r="76" spans="1:31" ht="30" x14ac:dyDescent="0.25">
      <c r="A76" s="9" t="s">
        <v>130</v>
      </c>
      <c r="B76" s="9" t="s">
        <v>421</v>
      </c>
      <c r="C76" s="9" t="s">
        <v>422</v>
      </c>
      <c r="D76" s="9" t="s">
        <v>423</v>
      </c>
      <c r="E76" s="9" t="s">
        <v>424</v>
      </c>
      <c r="F76" s="9">
        <v>7</v>
      </c>
      <c r="G76" s="9" t="s">
        <v>416</v>
      </c>
      <c r="H76" s="9">
        <v>15</v>
      </c>
      <c r="I76" s="13">
        <f t="shared" si="20"/>
        <v>105</v>
      </c>
      <c r="J76" s="13">
        <f t="shared" si="21"/>
        <v>202.5</v>
      </c>
      <c r="K76" s="13">
        <f t="shared" si="22"/>
        <v>199</v>
      </c>
      <c r="L76" s="13">
        <f t="shared" si="23"/>
        <v>228.5</v>
      </c>
      <c r="M76" s="13">
        <f t="shared" si="24"/>
        <v>15</v>
      </c>
      <c r="N76" s="13" t="b">
        <f t="shared" si="25"/>
        <v>0</v>
      </c>
      <c r="O76" s="13" t="b">
        <f t="shared" si="26"/>
        <v>1</v>
      </c>
      <c r="P76" s="13" t="str">
        <f t="shared" si="27"/>
        <v>C001743-pk</v>
      </c>
      <c r="Q76" s="14" t="str">
        <f t="shared" si="28"/>
        <v>T080396
7</v>
      </c>
      <c r="R76" s="13" t="b">
        <f t="shared" si="29"/>
        <v>0</v>
      </c>
      <c r="S76" s="13" t="str">
        <f t="shared" si="30"/>
        <v>23</v>
      </c>
      <c r="T76" s="13" t="str">
        <f t="shared" si="31"/>
        <v>PK</v>
      </c>
      <c r="U76" s="13" t="str">
        <f t="shared" si="32"/>
        <v>pk</v>
      </c>
      <c r="V76" s="13">
        <f t="shared" si="33"/>
        <v>2</v>
      </c>
      <c r="W76" s="13" t="str">
        <f t="shared" si="34"/>
        <v>T080396 7</v>
      </c>
      <c r="X76" s="13" t="str">
        <f t="shared" si="35"/>
        <v>S55665</v>
      </c>
      <c r="Y76" s="13" t="str">
        <f t="shared" si="36"/>
        <v>T08</v>
      </c>
      <c r="Z76" s="13" t="str">
        <f t="shared" si="37"/>
        <v>396</v>
      </c>
      <c r="AA76" s="13">
        <f t="shared" si="38"/>
        <v>2</v>
      </c>
      <c r="AB76" s="13">
        <f t="shared" si="39"/>
        <v>2</v>
      </c>
      <c r="AC76" s="13"/>
      <c r="AD76" s="13"/>
      <c r="AE76" s="13"/>
    </row>
    <row r="77" spans="1:31" ht="30" x14ac:dyDescent="0.25">
      <c r="A77" s="9" t="s">
        <v>134</v>
      </c>
      <c r="B77" s="9" t="s">
        <v>425</v>
      </c>
      <c r="C77" s="9" t="s">
        <v>426</v>
      </c>
      <c r="D77" s="9" t="s">
        <v>190</v>
      </c>
      <c r="E77" s="9" t="s">
        <v>427</v>
      </c>
      <c r="F77" s="9">
        <v>11</v>
      </c>
      <c r="G77" s="9" t="s">
        <v>14</v>
      </c>
      <c r="H77" s="9">
        <v>6</v>
      </c>
      <c r="I77" s="13">
        <f t="shared" si="20"/>
        <v>66</v>
      </c>
      <c r="J77" s="13">
        <f t="shared" si="21"/>
        <v>317</v>
      </c>
      <c r="K77" s="13">
        <f t="shared" si="22"/>
        <v>315</v>
      </c>
      <c r="L77" s="13">
        <f t="shared" si="23"/>
        <v>2957.5</v>
      </c>
      <c r="M77" s="13">
        <f t="shared" si="24"/>
        <v>154</v>
      </c>
      <c r="N77" s="13" t="b">
        <f t="shared" si="25"/>
        <v>0</v>
      </c>
      <c r="O77" s="13" t="b">
        <f t="shared" si="26"/>
        <v>1</v>
      </c>
      <c r="P77" s="13" t="str">
        <f t="shared" si="27"/>
        <v>C004020-ct</v>
      </c>
      <c r="Q77" s="14" t="str">
        <f t="shared" si="28"/>
        <v>T038853
11</v>
      </c>
      <c r="R77" s="13" t="b">
        <f t="shared" si="29"/>
        <v>0</v>
      </c>
      <c r="S77" s="13" t="str">
        <f t="shared" si="30"/>
        <v>21</v>
      </c>
      <c r="T77" s="13" t="str">
        <f t="shared" si="31"/>
        <v>CT</v>
      </c>
      <c r="U77" s="13" t="str">
        <f t="shared" si="32"/>
        <v>ct</v>
      </c>
      <c r="V77" s="13">
        <f t="shared" si="33"/>
        <v>2</v>
      </c>
      <c r="W77" s="13" t="str">
        <f t="shared" si="34"/>
        <v>T038853 11</v>
      </c>
      <c r="X77" s="13" t="str">
        <f t="shared" si="35"/>
        <v>S55255</v>
      </c>
      <c r="Y77" s="13" t="str">
        <f t="shared" si="36"/>
        <v>T03</v>
      </c>
      <c r="Z77" s="13" t="str">
        <f t="shared" si="37"/>
        <v>853</v>
      </c>
      <c r="AA77" s="13">
        <f t="shared" si="38"/>
        <v>2</v>
      </c>
      <c r="AB77" s="13">
        <f t="shared" si="39"/>
        <v>2</v>
      </c>
      <c r="AC77" s="13"/>
      <c r="AD77" s="13"/>
      <c r="AE77" s="13"/>
    </row>
    <row r="78" spans="1:31" ht="30" x14ac:dyDescent="0.25">
      <c r="A78" s="9" t="s">
        <v>31</v>
      </c>
      <c r="B78" s="9" t="s">
        <v>428</v>
      </c>
      <c r="C78" s="9" t="s">
        <v>429</v>
      </c>
      <c r="D78" s="9" t="s">
        <v>430</v>
      </c>
      <c r="E78" s="9" t="s">
        <v>431</v>
      </c>
      <c r="F78" s="9">
        <v>10</v>
      </c>
      <c r="G78" s="9" t="s">
        <v>68</v>
      </c>
      <c r="H78" s="9">
        <v>22</v>
      </c>
      <c r="I78" s="13">
        <f t="shared" si="20"/>
        <v>220</v>
      </c>
      <c r="J78" s="13">
        <f t="shared" si="21"/>
        <v>35</v>
      </c>
      <c r="K78" s="13">
        <f t="shared" si="22"/>
        <v>34</v>
      </c>
      <c r="L78" s="13">
        <f t="shared" si="23"/>
        <v>992.5</v>
      </c>
      <c r="M78" s="13">
        <f t="shared" si="24"/>
        <v>55</v>
      </c>
      <c r="N78" s="13" t="b">
        <f t="shared" si="25"/>
        <v>1</v>
      </c>
      <c r="O78" s="13" t="b">
        <f t="shared" si="26"/>
        <v>1</v>
      </c>
      <c r="P78" s="13" t="str">
        <f t="shared" si="27"/>
        <v>C006064-bottles</v>
      </c>
      <c r="Q78" s="14" t="str">
        <f t="shared" si="28"/>
        <v>T086284
10</v>
      </c>
      <c r="R78" s="13" t="b">
        <f t="shared" si="29"/>
        <v>0</v>
      </c>
      <c r="S78" s="13" t="str">
        <f t="shared" si="30"/>
        <v>08</v>
      </c>
      <c r="T78" s="13" t="str">
        <f t="shared" si="31"/>
        <v>BOTTLES</v>
      </c>
      <c r="U78" s="13" t="str">
        <f t="shared" si="32"/>
        <v>bottles</v>
      </c>
      <c r="V78" s="13">
        <f t="shared" si="33"/>
        <v>2</v>
      </c>
      <c r="W78" s="13" t="str">
        <f t="shared" si="34"/>
        <v>T086284 10</v>
      </c>
      <c r="X78" s="13" t="str">
        <f t="shared" si="35"/>
        <v>S55675</v>
      </c>
      <c r="Y78" s="13" t="str">
        <f t="shared" si="36"/>
        <v>T08</v>
      </c>
      <c r="Z78" s="13" t="str">
        <f t="shared" si="37"/>
        <v>284</v>
      </c>
      <c r="AA78" s="13">
        <f t="shared" si="38"/>
        <v>2</v>
      </c>
      <c r="AB78" s="13">
        <f t="shared" si="39"/>
        <v>7</v>
      </c>
      <c r="AC78" s="13"/>
      <c r="AD78" s="13"/>
      <c r="AE78" s="13"/>
    </row>
    <row r="79" spans="1:31" ht="30" x14ac:dyDescent="0.25">
      <c r="A79" s="9" t="s">
        <v>9</v>
      </c>
      <c r="B79" s="9" t="s">
        <v>432</v>
      </c>
      <c r="C79" s="9" t="s">
        <v>433</v>
      </c>
      <c r="D79" s="9" t="s">
        <v>169</v>
      </c>
      <c r="E79" s="9" t="s">
        <v>434</v>
      </c>
      <c r="F79" s="9">
        <v>10</v>
      </c>
      <c r="G79" s="9" t="s">
        <v>68</v>
      </c>
      <c r="H79" s="9">
        <v>20</v>
      </c>
      <c r="I79" s="13">
        <f t="shared" si="20"/>
        <v>200</v>
      </c>
      <c r="J79" s="13">
        <f t="shared" si="21"/>
        <v>48</v>
      </c>
      <c r="K79" s="13">
        <f t="shared" si="22"/>
        <v>46</v>
      </c>
      <c r="L79" s="13">
        <f t="shared" si="23"/>
        <v>970.5</v>
      </c>
      <c r="M79" s="13">
        <f t="shared" si="24"/>
        <v>54</v>
      </c>
      <c r="N79" s="13" t="b">
        <f t="shared" si="25"/>
        <v>0</v>
      </c>
      <c r="O79" s="13" t="b">
        <f t="shared" si="26"/>
        <v>1</v>
      </c>
      <c r="P79" s="13" t="str">
        <f t="shared" si="27"/>
        <v>C007452-bottles</v>
      </c>
      <c r="Q79" s="14" t="str">
        <f t="shared" si="28"/>
        <v>T04952
10</v>
      </c>
      <c r="R79" s="13" t="b">
        <f t="shared" si="29"/>
        <v>0</v>
      </c>
      <c r="S79" s="13" t="str">
        <f t="shared" si="30"/>
        <v>06</v>
      </c>
      <c r="T79" s="13" t="str">
        <f t="shared" si="31"/>
        <v>BOTTLES</v>
      </c>
      <c r="U79" s="13" t="str">
        <f t="shared" si="32"/>
        <v>bottles</v>
      </c>
      <c r="V79" s="13">
        <f t="shared" si="33"/>
        <v>2</v>
      </c>
      <c r="W79" s="13" t="str">
        <f t="shared" si="34"/>
        <v>T04952 10</v>
      </c>
      <c r="X79" s="13" t="str">
        <f t="shared" si="35"/>
        <v>S55382</v>
      </c>
      <c r="Y79" s="13" t="str">
        <f t="shared" si="36"/>
        <v>T04</v>
      </c>
      <c r="Z79" s="13" t="str">
        <f t="shared" si="37"/>
        <v>952</v>
      </c>
      <c r="AA79" s="13">
        <f t="shared" si="38"/>
        <v>2</v>
      </c>
      <c r="AB79" s="13">
        <f t="shared" si="39"/>
        <v>7</v>
      </c>
      <c r="AC79" s="13"/>
      <c r="AD79" s="13"/>
      <c r="AE79" s="13"/>
    </row>
    <row r="80" spans="1:31" ht="30" x14ac:dyDescent="0.25">
      <c r="A80" s="9" t="s">
        <v>116</v>
      </c>
      <c r="B80" s="9" t="s">
        <v>435</v>
      </c>
      <c r="C80" s="9" t="s">
        <v>436</v>
      </c>
      <c r="D80" s="9" t="s">
        <v>437</v>
      </c>
      <c r="E80" s="9" t="s">
        <v>438</v>
      </c>
      <c r="F80" s="9">
        <v>4</v>
      </c>
      <c r="G80" s="9" t="s">
        <v>14</v>
      </c>
      <c r="H80" s="9">
        <v>14</v>
      </c>
      <c r="I80" s="13">
        <f t="shared" si="20"/>
        <v>56</v>
      </c>
      <c r="J80" s="13">
        <f t="shared" si="21"/>
        <v>360.5</v>
      </c>
      <c r="K80" s="13">
        <f t="shared" si="22"/>
        <v>357</v>
      </c>
      <c r="L80" s="13">
        <f t="shared" si="23"/>
        <v>2951.5</v>
      </c>
      <c r="M80" s="13">
        <f t="shared" si="24"/>
        <v>153</v>
      </c>
      <c r="N80" s="13" t="b">
        <f t="shared" si="25"/>
        <v>0</v>
      </c>
      <c r="O80" s="13" t="b">
        <f t="shared" si="26"/>
        <v>1</v>
      </c>
      <c r="P80" s="13" t="str">
        <f t="shared" si="27"/>
        <v>C001606-ct</v>
      </c>
      <c r="Q80" s="14" t="str">
        <f t="shared" si="28"/>
        <v>T086625
4</v>
      </c>
      <c r="R80" s="13" t="b">
        <f t="shared" si="29"/>
        <v>0</v>
      </c>
      <c r="S80" s="13" t="str">
        <f t="shared" si="30"/>
        <v>26</v>
      </c>
      <c r="T80" s="13" t="str">
        <f t="shared" si="31"/>
        <v>CT</v>
      </c>
      <c r="U80" s="13" t="str">
        <f t="shared" si="32"/>
        <v>ct</v>
      </c>
      <c r="V80" s="13">
        <f t="shared" si="33"/>
        <v>2</v>
      </c>
      <c r="W80" s="13" t="str">
        <f t="shared" si="34"/>
        <v>T086625 4</v>
      </c>
      <c r="X80" s="13" t="str">
        <f t="shared" si="35"/>
        <v>S55651</v>
      </c>
      <c r="Y80" s="13" t="str">
        <f t="shared" si="36"/>
        <v>T08</v>
      </c>
      <c r="Z80" s="13" t="str">
        <f t="shared" si="37"/>
        <v>625</v>
      </c>
      <c r="AA80" s="13">
        <f t="shared" si="38"/>
        <v>2</v>
      </c>
      <c r="AB80" s="13">
        <f t="shared" si="39"/>
        <v>2</v>
      </c>
      <c r="AC80" s="13"/>
      <c r="AD80" s="13"/>
      <c r="AE80" s="13"/>
    </row>
    <row r="81" spans="1:31" ht="30" x14ac:dyDescent="0.25">
      <c r="A81" s="9" t="s">
        <v>74</v>
      </c>
      <c r="B81" s="9" t="s">
        <v>439</v>
      </c>
      <c r="C81" s="9" t="s">
        <v>440</v>
      </c>
      <c r="D81" s="9" t="s">
        <v>149</v>
      </c>
      <c r="E81" s="9" t="s">
        <v>441</v>
      </c>
      <c r="F81" s="9">
        <v>4</v>
      </c>
      <c r="G81" s="9" t="s">
        <v>68</v>
      </c>
      <c r="H81" s="9">
        <v>17</v>
      </c>
      <c r="I81" s="13">
        <f t="shared" si="20"/>
        <v>68</v>
      </c>
      <c r="J81" s="13">
        <f t="shared" si="21"/>
        <v>306</v>
      </c>
      <c r="K81" s="13">
        <f t="shared" si="22"/>
        <v>304</v>
      </c>
      <c r="L81" s="13">
        <f t="shared" si="23"/>
        <v>950.5</v>
      </c>
      <c r="M81" s="13">
        <f t="shared" si="24"/>
        <v>53</v>
      </c>
      <c r="N81" s="13" t="b">
        <f t="shared" si="25"/>
        <v>0</v>
      </c>
      <c r="O81" s="13" t="b">
        <f t="shared" si="26"/>
        <v>1</v>
      </c>
      <c r="P81" s="13" t="str">
        <f t="shared" si="27"/>
        <v>C005146-bottles</v>
      </c>
      <c r="Q81" s="14" t="str">
        <f t="shared" si="28"/>
        <v>T047358
4</v>
      </c>
      <c r="R81" s="13" t="b">
        <f t="shared" si="29"/>
        <v>0</v>
      </c>
      <c r="S81" s="13" t="str">
        <f t="shared" si="30"/>
        <v>07</v>
      </c>
      <c r="T81" s="13" t="str">
        <f t="shared" si="31"/>
        <v>BOTTLES</v>
      </c>
      <c r="U81" s="13" t="str">
        <f t="shared" si="32"/>
        <v>bottles</v>
      </c>
      <c r="V81" s="13">
        <f t="shared" si="33"/>
        <v>2</v>
      </c>
      <c r="W81" s="13" t="str">
        <f t="shared" si="34"/>
        <v>T047358 4</v>
      </c>
      <c r="X81" s="13" t="str">
        <f t="shared" si="35"/>
        <v>S5557</v>
      </c>
      <c r="Y81" s="13" t="str">
        <f t="shared" si="36"/>
        <v>T04</v>
      </c>
      <c r="Z81" s="13" t="str">
        <f t="shared" si="37"/>
        <v>358</v>
      </c>
      <c r="AA81" s="13">
        <f t="shared" si="38"/>
        <v>2</v>
      </c>
      <c r="AB81" s="13">
        <f t="shared" si="39"/>
        <v>7</v>
      </c>
      <c r="AC81" s="13"/>
      <c r="AD81" s="13"/>
      <c r="AE81" s="13"/>
    </row>
    <row r="82" spans="1:31" ht="30" x14ac:dyDescent="0.25">
      <c r="A82" s="9" t="s">
        <v>79</v>
      </c>
      <c r="B82" s="9" t="s">
        <v>442</v>
      </c>
      <c r="C82" s="9" t="s">
        <v>443</v>
      </c>
      <c r="D82" s="9" t="s">
        <v>123</v>
      </c>
      <c r="E82" s="9" t="s">
        <v>444</v>
      </c>
      <c r="F82" s="9">
        <v>11</v>
      </c>
      <c r="G82" s="9" t="s">
        <v>14</v>
      </c>
      <c r="H82" s="9">
        <v>15</v>
      </c>
      <c r="I82" s="13">
        <f t="shared" si="20"/>
        <v>165</v>
      </c>
      <c r="J82" s="13">
        <f t="shared" si="21"/>
        <v>79.5</v>
      </c>
      <c r="K82" s="13">
        <f t="shared" si="22"/>
        <v>77</v>
      </c>
      <c r="L82" s="13">
        <f t="shared" si="23"/>
        <v>2937.5</v>
      </c>
      <c r="M82" s="13">
        <f t="shared" si="24"/>
        <v>152</v>
      </c>
      <c r="N82" s="13" t="b">
        <f t="shared" si="25"/>
        <v>0</v>
      </c>
      <c r="O82" s="13" t="b">
        <f t="shared" si="26"/>
        <v>1</v>
      </c>
      <c r="P82" s="13" t="str">
        <f t="shared" si="27"/>
        <v>C004369-ct</v>
      </c>
      <c r="Q82" s="14" t="str">
        <f t="shared" si="28"/>
        <v>T046539
11</v>
      </c>
      <c r="R82" s="13" t="b">
        <f t="shared" si="29"/>
        <v>0</v>
      </c>
      <c r="S82" s="13" t="str">
        <f t="shared" si="30"/>
        <v>12</v>
      </c>
      <c r="T82" s="13" t="str">
        <f t="shared" si="31"/>
        <v>CT</v>
      </c>
      <c r="U82" s="13" t="str">
        <f t="shared" si="32"/>
        <v>ct</v>
      </c>
      <c r="V82" s="13">
        <f t="shared" si="33"/>
        <v>2</v>
      </c>
      <c r="W82" s="13" t="str">
        <f t="shared" si="34"/>
        <v>T046539 11</v>
      </c>
      <c r="X82" s="13" t="str">
        <f t="shared" si="35"/>
        <v>S55685</v>
      </c>
      <c r="Y82" s="13" t="str">
        <f t="shared" si="36"/>
        <v>T04</v>
      </c>
      <c r="Z82" s="13" t="str">
        <f t="shared" si="37"/>
        <v>539</v>
      </c>
      <c r="AA82" s="13">
        <f t="shared" si="38"/>
        <v>2</v>
      </c>
      <c r="AB82" s="13">
        <f t="shared" si="39"/>
        <v>2</v>
      </c>
      <c r="AC82" s="13"/>
      <c r="AD82" s="13"/>
      <c r="AE82" s="13"/>
    </row>
    <row r="83" spans="1:31" ht="30" x14ac:dyDescent="0.25">
      <c r="A83" s="9" t="s">
        <v>209</v>
      </c>
      <c r="B83" s="9" t="s">
        <v>445</v>
      </c>
      <c r="C83" s="9" t="s">
        <v>446</v>
      </c>
      <c r="D83" s="9" t="s">
        <v>406</v>
      </c>
      <c r="E83" s="9" t="s">
        <v>447</v>
      </c>
      <c r="F83" s="9">
        <v>3</v>
      </c>
      <c r="G83" s="9" t="s">
        <v>36</v>
      </c>
      <c r="H83" s="9">
        <v>16.25</v>
      </c>
      <c r="I83" s="13">
        <f t="shared" si="20"/>
        <v>48.75</v>
      </c>
      <c r="J83" s="13">
        <f t="shared" si="21"/>
        <v>377.5</v>
      </c>
      <c r="K83" s="13">
        <f t="shared" si="22"/>
        <v>377</v>
      </c>
      <c r="L83" s="13">
        <f t="shared" si="23"/>
        <v>1585.25</v>
      </c>
      <c r="M83" s="13">
        <f t="shared" si="24"/>
        <v>90</v>
      </c>
      <c r="N83" s="13" t="b">
        <f t="shared" si="25"/>
        <v>0</v>
      </c>
      <c r="O83" s="13" t="b">
        <f t="shared" si="26"/>
        <v>1</v>
      </c>
      <c r="P83" s="13" t="str">
        <f t="shared" si="27"/>
        <v>C000367-cans</v>
      </c>
      <c r="Q83" s="14" t="str">
        <f t="shared" si="28"/>
        <v>T038514
3</v>
      </c>
      <c r="R83" s="13" t="b">
        <f t="shared" si="29"/>
        <v>0</v>
      </c>
      <c r="S83" s="13" t="str">
        <f t="shared" si="30"/>
        <v>00</v>
      </c>
      <c r="T83" s="13" t="str">
        <f t="shared" si="31"/>
        <v>CANS</v>
      </c>
      <c r="U83" s="13" t="str">
        <f t="shared" si="32"/>
        <v>cans</v>
      </c>
      <c r="V83" s="13">
        <f t="shared" si="33"/>
        <v>2</v>
      </c>
      <c r="W83" s="13" t="str">
        <f t="shared" si="34"/>
        <v>T038514 3</v>
      </c>
      <c r="X83" s="13" t="str">
        <f t="shared" si="35"/>
        <v>S55454</v>
      </c>
      <c r="Y83" s="13" t="str">
        <f t="shared" si="36"/>
        <v>T03</v>
      </c>
      <c r="Z83" s="13" t="str">
        <f t="shared" si="37"/>
        <v>514</v>
      </c>
      <c r="AA83" s="13">
        <f t="shared" si="38"/>
        <v>2</v>
      </c>
      <c r="AB83" s="13">
        <f t="shared" si="39"/>
        <v>4</v>
      </c>
      <c r="AC83" s="13"/>
      <c r="AD83" s="13"/>
      <c r="AE83" s="13"/>
    </row>
    <row r="84" spans="1:31" ht="30" x14ac:dyDescent="0.25">
      <c r="A84" s="9" t="s">
        <v>15</v>
      </c>
      <c r="B84" s="9" t="s">
        <v>448</v>
      </c>
      <c r="C84" s="9" t="s">
        <v>449</v>
      </c>
      <c r="D84" s="9" t="s">
        <v>450</v>
      </c>
      <c r="E84" s="9" t="s">
        <v>451</v>
      </c>
      <c r="F84" s="9">
        <v>8</v>
      </c>
      <c r="G84" s="9" t="s">
        <v>115</v>
      </c>
      <c r="H84" s="9">
        <v>17</v>
      </c>
      <c r="I84" s="13">
        <f t="shared" si="20"/>
        <v>136</v>
      </c>
      <c r="J84" s="13">
        <f t="shared" si="21"/>
        <v>130.5</v>
      </c>
      <c r="K84" s="13">
        <f t="shared" si="22"/>
        <v>129</v>
      </c>
      <c r="L84" s="13">
        <f t="shared" si="23"/>
        <v>452</v>
      </c>
      <c r="M84" s="13">
        <f t="shared" si="24"/>
        <v>27</v>
      </c>
      <c r="N84" s="13" t="b">
        <f t="shared" si="25"/>
        <v>0</v>
      </c>
      <c r="O84" s="13" t="b">
        <f t="shared" si="26"/>
        <v>1</v>
      </c>
      <c r="P84" s="13" t="str">
        <f t="shared" si="27"/>
        <v>C000687-bags</v>
      </c>
      <c r="Q84" s="14" t="str">
        <f t="shared" si="28"/>
        <v>T072412
8</v>
      </c>
      <c r="R84" s="13" t="b">
        <f t="shared" si="29"/>
        <v>0</v>
      </c>
      <c r="S84" s="13" t="str">
        <f t="shared" si="30"/>
        <v>15</v>
      </c>
      <c r="T84" s="13" t="str">
        <f t="shared" si="31"/>
        <v>BAGS</v>
      </c>
      <c r="U84" s="13" t="str">
        <f t="shared" si="32"/>
        <v>bags</v>
      </c>
      <c r="V84" s="13">
        <f t="shared" si="33"/>
        <v>2</v>
      </c>
      <c r="W84" s="13" t="str">
        <f t="shared" si="34"/>
        <v>T072412 8</v>
      </c>
      <c r="X84" s="13" t="str">
        <f t="shared" si="35"/>
        <v>S55555</v>
      </c>
      <c r="Y84" s="13" t="str">
        <f t="shared" si="36"/>
        <v>T07</v>
      </c>
      <c r="Z84" s="13" t="str">
        <f t="shared" si="37"/>
        <v>412</v>
      </c>
      <c r="AA84" s="13">
        <f t="shared" si="38"/>
        <v>2</v>
      </c>
      <c r="AB84" s="13">
        <f t="shared" si="39"/>
        <v>4</v>
      </c>
      <c r="AC84" s="13"/>
      <c r="AD84" s="13"/>
      <c r="AE84" s="13"/>
    </row>
    <row r="85" spans="1:31" ht="30" x14ac:dyDescent="0.25">
      <c r="A85" s="9" t="s">
        <v>21</v>
      </c>
      <c r="B85" s="9" t="s">
        <v>452</v>
      </c>
      <c r="C85" s="9" t="s">
        <v>453</v>
      </c>
      <c r="D85" s="9" t="s">
        <v>454</v>
      </c>
      <c r="E85" s="9" t="s">
        <v>455</v>
      </c>
      <c r="F85" s="9">
        <v>7</v>
      </c>
      <c r="G85" s="9" t="s">
        <v>176</v>
      </c>
      <c r="H85" s="9">
        <v>13</v>
      </c>
      <c r="I85" s="13">
        <f t="shared" si="20"/>
        <v>91</v>
      </c>
      <c r="J85" s="13">
        <f t="shared" si="21"/>
        <v>238</v>
      </c>
      <c r="K85" s="13">
        <f t="shared" si="22"/>
        <v>238</v>
      </c>
      <c r="L85" s="13">
        <f t="shared" si="23"/>
        <v>426</v>
      </c>
      <c r="M85" s="13">
        <f t="shared" si="24"/>
        <v>27</v>
      </c>
      <c r="N85" s="13" t="b">
        <f t="shared" si="25"/>
        <v>0</v>
      </c>
      <c r="O85" s="13" t="b">
        <f t="shared" si="26"/>
        <v>1</v>
      </c>
      <c r="P85" s="13" t="str">
        <f t="shared" si="27"/>
        <v>C007347-oz</v>
      </c>
      <c r="Q85" s="14" t="str">
        <f t="shared" si="28"/>
        <v>T07448
7</v>
      </c>
      <c r="R85" s="13" t="b">
        <f t="shared" si="29"/>
        <v>0</v>
      </c>
      <c r="S85" s="13" t="str">
        <f t="shared" si="30"/>
        <v>25</v>
      </c>
      <c r="T85" s="13" t="str">
        <f t="shared" si="31"/>
        <v>OZ</v>
      </c>
      <c r="U85" s="13" t="str">
        <f t="shared" si="32"/>
        <v>oz</v>
      </c>
      <c r="V85" s="13">
        <f t="shared" si="33"/>
        <v>2</v>
      </c>
      <c r="W85" s="13" t="str">
        <f t="shared" si="34"/>
        <v>T07448 7</v>
      </c>
      <c r="X85" s="13" t="str">
        <f t="shared" si="35"/>
        <v>S55652</v>
      </c>
      <c r="Y85" s="13" t="str">
        <f t="shared" si="36"/>
        <v>T07</v>
      </c>
      <c r="Z85" s="13" t="str">
        <f t="shared" si="37"/>
        <v>448</v>
      </c>
      <c r="AA85" s="13">
        <f t="shared" si="38"/>
        <v>2</v>
      </c>
      <c r="AB85" s="13">
        <f t="shared" si="39"/>
        <v>2</v>
      </c>
      <c r="AC85" s="13"/>
      <c r="AD85" s="13"/>
      <c r="AE85" s="13"/>
    </row>
    <row r="86" spans="1:31" ht="30" x14ac:dyDescent="0.25">
      <c r="A86" s="9" t="s">
        <v>21</v>
      </c>
      <c r="B86" s="9" t="s">
        <v>456</v>
      </c>
      <c r="C86" s="9" t="s">
        <v>457</v>
      </c>
      <c r="D86" s="9" t="s">
        <v>458</v>
      </c>
      <c r="E86" s="9" t="s">
        <v>459</v>
      </c>
      <c r="F86" s="9">
        <v>1</v>
      </c>
      <c r="G86" s="9" t="s">
        <v>278</v>
      </c>
      <c r="H86" s="9">
        <v>13</v>
      </c>
      <c r="I86" s="13">
        <f t="shared" si="20"/>
        <v>13</v>
      </c>
      <c r="J86" s="13">
        <f t="shared" si="21"/>
        <v>486</v>
      </c>
      <c r="K86" s="13">
        <f t="shared" si="22"/>
        <v>485</v>
      </c>
      <c r="L86" s="13">
        <f t="shared" si="23"/>
        <v>230</v>
      </c>
      <c r="M86" s="13">
        <f t="shared" si="24"/>
        <v>17</v>
      </c>
      <c r="N86" s="13" t="b">
        <f t="shared" si="25"/>
        <v>0</v>
      </c>
      <c r="O86" s="13" t="b">
        <f t="shared" si="26"/>
        <v>1</v>
      </c>
      <c r="P86" s="13" t="str">
        <f t="shared" si="27"/>
        <v>C004023-ct.</v>
      </c>
      <c r="Q86" s="14" t="str">
        <f t="shared" si="28"/>
        <v>T093578
1</v>
      </c>
      <c r="R86" s="13" t="b">
        <f t="shared" si="29"/>
        <v>0</v>
      </c>
      <c r="S86" s="13" t="str">
        <f t="shared" si="30"/>
        <v>18</v>
      </c>
      <c r="T86" s="13" t="str">
        <f t="shared" si="31"/>
        <v>CT.</v>
      </c>
      <c r="U86" s="13" t="str">
        <f t="shared" si="32"/>
        <v>ct.</v>
      </c>
      <c r="V86" s="13">
        <f t="shared" si="33"/>
        <v>2</v>
      </c>
      <c r="W86" s="13" t="str">
        <f t="shared" si="34"/>
        <v>T093578 1</v>
      </c>
      <c r="X86" s="13" t="str">
        <f t="shared" si="35"/>
        <v>S55359</v>
      </c>
      <c r="Y86" s="13" t="str">
        <f t="shared" si="36"/>
        <v>T09</v>
      </c>
      <c r="Z86" s="13" t="str">
        <f t="shared" si="37"/>
        <v>578</v>
      </c>
      <c r="AA86" s="13">
        <f t="shared" si="38"/>
        <v>2</v>
      </c>
      <c r="AB86" s="13">
        <f t="shared" si="39"/>
        <v>3</v>
      </c>
      <c r="AC86" s="13"/>
      <c r="AD86" s="13"/>
      <c r="AE86" s="13"/>
    </row>
    <row r="87" spans="1:31" ht="30" x14ac:dyDescent="0.25">
      <c r="A87" s="9" t="s">
        <v>9</v>
      </c>
      <c r="B87" s="9" t="s">
        <v>460</v>
      </c>
      <c r="C87" s="9" t="s">
        <v>461</v>
      </c>
      <c r="D87" s="9" t="s">
        <v>462</v>
      </c>
      <c r="E87" s="9" t="s">
        <v>463</v>
      </c>
      <c r="F87" s="9">
        <v>8</v>
      </c>
      <c r="G87" s="9" t="s">
        <v>36</v>
      </c>
      <c r="H87" s="9">
        <v>40</v>
      </c>
      <c r="I87" s="13">
        <f t="shared" si="20"/>
        <v>320</v>
      </c>
      <c r="J87" s="13">
        <f t="shared" si="21"/>
        <v>16</v>
      </c>
      <c r="K87" s="13">
        <f t="shared" si="22"/>
        <v>15</v>
      </c>
      <c r="L87" s="13">
        <f t="shared" si="23"/>
        <v>1584.5</v>
      </c>
      <c r="M87" s="13">
        <f t="shared" si="24"/>
        <v>90</v>
      </c>
      <c r="N87" s="13" t="b">
        <f t="shared" si="25"/>
        <v>1</v>
      </c>
      <c r="O87" s="13" t="b">
        <f t="shared" si="26"/>
        <v>1</v>
      </c>
      <c r="P87" s="13" t="str">
        <f t="shared" si="27"/>
        <v>C008650-cans</v>
      </c>
      <c r="Q87" s="14" t="str">
        <f t="shared" si="28"/>
        <v>T031242
8</v>
      </c>
      <c r="R87" s="13" t="b">
        <f t="shared" si="29"/>
        <v>0</v>
      </c>
      <c r="S87" s="13" t="str">
        <f t="shared" si="30"/>
        <v>06</v>
      </c>
      <c r="T87" s="13" t="str">
        <f t="shared" si="31"/>
        <v>CANS</v>
      </c>
      <c r="U87" s="13" t="str">
        <f t="shared" si="32"/>
        <v>cans</v>
      </c>
      <c r="V87" s="13">
        <f t="shared" si="33"/>
        <v>2</v>
      </c>
      <c r="W87" s="13" t="str">
        <f t="shared" si="34"/>
        <v>T031242 8</v>
      </c>
      <c r="X87" s="13" t="str">
        <f t="shared" si="35"/>
        <v>S55234</v>
      </c>
      <c r="Y87" s="13" t="str">
        <f t="shared" si="36"/>
        <v>T03</v>
      </c>
      <c r="Z87" s="13" t="str">
        <f t="shared" si="37"/>
        <v>242</v>
      </c>
      <c r="AA87" s="13">
        <f t="shared" si="38"/>
        <v>2</v>
      </c>
      <c r="AB87" s="13">
        <f t="shared" si="39"/>
        <v>4</v>
      </c>
      <c r="AC87" s="13"/>
      <c r="AD87" s="13"/>
      <c r="AE87" s="13"/>
    </row>
    <row r="88" spans="1:31" ht="30" x14ac:dyDescent="0.25">
      <c r="A88" s="9" t="s">
        <v>368</v>
      </c>
      <c r="B88" s="9" t="s">
        <v>464</v>
      </c>
      <c r="C88" s="9" t="s">
        <v>465</v>
      </c>
      <c r="D88" s="9" t="s">
        <v>466</v>
      </c>
      <c r="E88" s="9" t="s">
        <v>467</v>
      </c>
      <c r="F88" s="9">
        <v>4</v>
      </c>
      <c r="G88" s="9" t="s">
        <v>416</v>
      </c>
      <c r="H88" s="9">
        <v>14</v>
      </c>
      <c r="I88" s="13">
        <f t="shared" si="20"/>
        <v>56</v>
      </c>
      <c r="J88" s="13">
        <f t="shared" si="21"/>
        <v>360.5</v>
      </c>
      <c r="K88" s="13">
        <f t="shared" si="22"/>
        <v>357</v>
      </c>
      <c r="L88" s="13">
        <f t="shared" si="23"/>
        <v>213.5</v>
      </c>
      <c r="M88" s="13">
        <f t="shared" si="24"/>
        <v>14</v>
      </c>
      <c r="N88" s="13" t="b">
        <f t="shared" si="25"/>
        <v>0</v>
      </c>
      <c r="O88" s="13" t="b">
        <f t="shared" si="26"/>
        <v>1</v>
      </c>
      <c r="P88" s="13" t="str">
        <f t="shared" si="27"/>
        <v>C007983-pk</v>
      </c>
      <c r="Q88" s="14" t="str">
        <f t="shared" si="28"/>
        <v>T064100
4</v>
      </c>
      <c r="R88" s="13" t="b">
        <f t="shared" si="29"/>
        <v>0</v>
      </c>
      <c r="S88" s="13" t="str">
        <f t="shared" si="30"/>
        <v>22</v>
      </c>
      <c r="T88" s="13" t="str">
        <f t="shared" si="31"/>
        <v>PK</v>
      </c>
      <c r="U88" s="13" t="str">
        <f t="shared" si="32"/>
        <v>pk</v>
      </c>
      <c r="V88" s="13">
        <f t="shared" si="33"/>
        <v>2</v>
      </c>
      <c r="W88" s="13" t="str">
        <f t="shared" si="34"/>
        <v>T064100 4</v>
      </c>
      <c r="X88" s="13" t="str">
        <f t="shared" si="35"/>
        <v>S55581</v>
      </c>
      <c r="Y88" s="13" t="str">
        <f t="shared" si="36"/>
        <v>T06</v>
      </c>
      <c r="Z88" s="13" t="str">
        <f t="shared" si="37"/>
        <v>100</v>
      </c>
      <c r="AA88" s="13">
        <f t="shared" si="38"/>
        <v>2</v>
      </c>
      <c r="AB88" s="13">
        <f t="shared" si="39"/>
        <v>2</v>
      </c>
      <c r="AC88" s="13"/>
      <c r="AD88" s="13"/>
      <c r="AE88" s="13"/>
    </row>
    <row r="89" spans="1:31" ht="30" x14ac:dyDescent="0.25">
      <c r="A89" s="9" t="s">
        <v>468</v>
      </c>
      <c r="B89" s="9" t="s">
        <v>469</v>
      </c>
      <c r="C89" s="9" t="s">
        <v>470</v>
      </c>
      <c r="D89" s="9" t="s">
        <v>216</v>
      </c>
      <c r="E89" s="9" t="s">
        <v>471</v>
      </c>
      <c r="F89" s="9">
        <v>6</v>
      </c>
      <c r="G89" s="9" t="s">
        <v>36</v>
      </c>
      <c r="H89" s="9">
        <v>16</v>
      </c>
      <c r="I89" s="13">
        <f t="shared" si="20"/>
        <v>96</v>
      </c>
      <c r="J89" s="13">
        <f t="shared" si="21"/>
        <v>231.5</v>
      </c>
      <c r="K89" s="13">
        <f t="shared" si="22"/>
        <v>228</v>
      </c>
      <c r="L89" s="13">
        <f t="shared" si="23"/>
        <v>1544.5</v>
      </c>
      <c r="M89" s="13">
        <f t="shared" si="24"/>
        <v>89</v>
      </c>
      <c r="N89" s="13" t="b">
        <f t="shared" si="25"/>
        <v>0</v>
      </c>
      <c r="O89" s="13" t="b">
        <f t="shared" si="26"/>
        <v>1</v>
      </c>
      <c r="P89" s="13" t="str">
        <f t="shared" si="27"/>
        <v>C009083-cans</v>
      </c>
      <c r="Q89" s="14" t="str">
        <f t="shared" si="28"/>
        <v>T065828
6</v>
      </c>
      <c r="R89" s="13" t="b">
        <f t="shared" si="29"/>
        <v>0</v>
      </c>
      <c r="S89" s="13" t="str">
        <f t="shared" si="30"/>
        <v>03</v>
      </c>
      <c r="T89" s="13" t="str">
        <f t="shared" si="31"/>
        <v>CANS</v>
      </c>
      <c r="U89" s="13" t="str">
        <f t="shared" si="32"/>
        <v>cans</v>
      </c>
      <c r="V89" s="13">
        <f t="shared" si="33"/>
        <v>2</v>
      </c>
      <c r="W89" s="13" t="str">
        <f t="shared" si="34"/>
        <v>T065828 6</v>
      </c>
      <c r="X89" s="13" t="str">
        <f t="shared" si="35"/>
        <v>S55113</v>
      </c>
      <c r="Y89" s="13" t="str">
        <f t="shared" si="36"/>
        <v>T06</v>
      </c>
      <c r="Z89" s="13" t="str">
        <f t="shared" si="37"/>
        <v>828</v>
      </c>
      <c r="AA89" s="13">
        <f t="shared" si="38"/>
        <v>2</v>
      </c>
      <c r="AB89" s="13">
        <f t="shared" si="39"/>
        <v>4</v>
      </c>
      <c r="AC89" s="13"/>
      <c r="AD89" s="13"/>
      <c r="AE89" s="13"/>
    </row>
    <row r="90" spans="1:31" ht="30" x14ac:dyDescent="0.25">
      <c r="A90" s="9" t="s">
        <v>233</v>
      </c>
      <c r="B90" s="9" t="s">
        <v>472</v>
      </c>
      <c r="C90" s="9" t="s">
        <v>473</v>
      </c>
      <c r="D90" s="9" t="s">
        <v>474</v>
      </c>
      <c r="E90" s="9" t="s">
        <v>475</v>
      </c>
      <c r="F90" s="9">
        <v>8</v>
      </c>
      <c r="G90" s="9" t="s">
        <v>176</v>
      </c>
      <c r="H90" s="9">
        <v>20</v>
      </c>
      <c r="I90" s="13">
        <f t="shared" si="20"/>
        <v>160</v>
      </c>
      <c r="J90" s="13">
        <f t="shared" si="21"/>
        <v>90.5</v>
      </c>
      <c r="K90" s="13">
        <f t="shared" si="22"/>
        <v>84</v>
      </c>
      <c r="L90" s="13">
        <f t="shared" si="23"/>
        <v>413</v>
      </c>
      <c r="M90" s="13">
        <f t="shared" si="24"/>
        <v>26</v>
      </c>
      <c r="N90" s="13" t="b">
        <f t="shared" si="25"/>
        <v>0</v>
      </c>
      <c r="O90" s="13" t="b">
        <f t="shared" si="26"/>
        <v>1</v>
      </c>
      <c r="P90" s="13" t="str">
        <f t="shared" si="27"/>
        <v>C002504-oz</v>
      </c>
      <c r="Q90" s="14" t="str">
        <f t="shared" si="28"/>
        <v>T084697
8</v>
      </c>
      <c r="R90" s="13" t="b">
        <f t="shared" si="29"/>
        <v>0</v>
      </c>
      <c r="S90" s="13" t="str">
        <f t="shared" si="30"/>
        <v>10</v>
      </c>
      <c r="T90" s="13" t="str">
        <f t="shared" si="31"/>
        <v>OZ</v>
      </c>
      <c r="U90" s="13" t="str">
        <f t="shared" si="32"/>
        <v>oz</v>
      </c>
      <c r="V90" s="13">
        <f t="shared" si="33"/>
        <v>2</v>
      </c>
      <c r="W90" s="13" t="str">
        <f t="shared" si="34"/>
        <v>T084697 8</v>
      </c>
      <c r="X90" s="13" t="str">
        <f t="shared" si="35"/>
        <v>S5554</v>
      </c>
      <c r="Y90" s="13" t="str">
        <f t="shared" si="36"/>
        <v>T08</v>
      </c>
      <c r="Z90" s="13" t="str">
        <f t="shared" si="37"/>
        <v>697</v>
      </c>
      <c r="AA90" s="13">
        <f t="shared" si="38"/>
        <v>2</v>
      </c>
      <c r="AB90" s="13">
        <f t="shared" si="39"/>
        <v>2</v>
      </c>
      <c r="AC90" s="13"/>
      <c r="AD90" s="13"/>
      <c r="AE90" s="13"/>
    </row>
    <row r="91" spans="1:31" ht="30" x14ac:dyDescent="0.25">
      <c r="A91" s="9" t="s">
        <v>15</v>
      </c>
      <c r="B91" s="9" t="s">
        <v>476</v>
      </c>
      <c r="C91" s="9" t="s">
        <v>477</v>
      </c>
      <c r="D91" s="9" t="s">
        <v>478</v>
      </c>
      <c r="E91" s="9" t="s">
        <v>479</v>
      </c>
      <c r="F91" s="9">
        <v>2</v>
      </c>
      <c r="G91" s="9" t="s">
        <v>14</v>
      </c>
      <c r="H91" s="9">
        <v>13</v>
      </c>
      <c r="I91" s="13">
        <f t="shared" si="20"/>
        <v>26</v>
      </c>
      <c r="J91" s="13">
        <f t="shared" si="21"/>
        <v>448.5</v>
      </c>
      <c r="K91" s="13">
        <f t="shared" si="22"/>
        <v>447</v>
      </c>
      <c r="L91" s="13">
        <f t="shared" si="23"/>
        <v>2947.5</v>
      </c>
      <c r="M91" s="13">
        <f t="shared" si="24"/>
        <v>153</v>
      </c>
      <c r="N91" s="13" t="b">
        <f t="shared" si="25"/>
        <v>0</v>
      </c>
      <c r="O91" s="13" t="b">
        <f t="shared" si="26"/>
        <v>1</v>
      </c>
      <c r="P91" s="13" t="str">
        <f t="shared" si="27"/>
        <v>C006203-ct</v>
      </c>
      <c r="Q91" s="14" t="str">
        <f t="shared" si="28"/>
        <v>T056597
2</v>
      </c>
      <c r="R91" s="13" t="b">
        <f t="shared" si="29"/>
        <v>0</v>
      </c>
      <c r="S91" s="13" t="str">
        <f t="shared" si="30"/>
        <v>22</v>
      </c>
      <c r="T91" s="13" t="str">
        <f t="shared" si="31"/>
        <v>CT</v>
      </c>
      <c r="U91" s="13" t="str">
        <f t="shared" si="32"/>
        <v>ct</v>
      </c>
      <c r="V91" s="13">
        <f t="shared" si="33"/>
        <v>2</v>
      </c>
      <c r="W91" s="13" t="str">
        <f t="shared" si="34"/>
        <v>T056597 2</v>
      </c>
      <c r="X91" s="13" t="str">
        <f t="shared" si="35"/>
        <v>S55636</v>
      </c>
      <c r="Y91" s="13" t="str">
        <f t="shared" si="36"/>
        <v>T05</v>
      </c>
      <c r="Z91" s="13" t="str">
        <f t="shared" si="37"/>
        <v>597</v>
      </c>
      <c r="AA91" s="13">
        <f t="shared" si="38"/>
        <v>2</v>
      </c>
      <c r="AB91" s="13">
        <f t="shared" si="39"/>
        <v>2</v>
      </c>
      <c r="AC91" s="13"/>
      <c r="AD91" s="13"/>
      <c r="AE91" s="13"/>
    </row>
    <row r="92" spans="1:31" ht="30" x14ac:dyDescent="0.25">
      <c r="A92" s="9" t="s">
        <v>177</v>
      </c>
      <c r="B92" s="9" t="s">
        <v>480</v>
      </c>
      <c r="C92" s="9" t="s">
        <v>481</v>
      </c>
      <c r="D92" s="9" t="s">
        <v>458</v>
      </c>
      <c r="E92" s="9" t="s">
        <v>482</v>
      </c>
      <c r="F92" s="9">
        <v>5</v>
      </c>
      <c r="G92" s="9" t="s">
        <v>278</v>
      </c>
      <c r="H92" s="9">
        <v>13</v>
      </c>
      <c r="I92" s="13">
        <f t="shared" si="20"/>
        <v>65</v>
      </c>
      <c r="J92" s="13">
        <f t="shared" si="21"/>
        <v>321.5</v>
      </c>
      <c r="K92" s="13">
        <f t="shared" si="22"/>
        <v>320</v>
      </c>
      <c r="L92" s="13">
        <f t="shared" si="23"/>
        <v>217</v>
      </c>
      <c r="M92" s="13">
        <f t="shared" si="24"/>
        <v>16</v>
      </c>
      <c r="N92" s="13" t="b">
        <f t="shared" si="25"/>
        <v>0</v>
      </c>
      <c r="O92" s="13" t="b">
        <f t="shared" si="26"/>
        <v>1</v>
      </c>
      <c r="P92" s="13" t="str">
        <f t="shared" si="27"/>
        <v>C001921-ct.</v>
      </c>
      <c r="Q92" s="14" t="str">
        <f t="shared" si="28"/>
        <v>T058671
5</v>
      </c>
      <c r="R92" s="13" t="b">
        <f t="shared" si="29"/>
        <v>0</v>
      </c>
      <c r="S92" s="13" t="str">
        <f t="shared" si="30"/>
        <v>18</v>
      </c>
      <c r="T92" s="13" t="str">
        <f t="shared" si="31"/>
        <v>CT.</v>
      </c>
      <c r="U92" s="13" t="str">
        <f t="shared" si="32"/>
        <v>ct.</v>
      </c>
      <c r="V92" s="13">
        <f t="shared" si="33"/>
        <v>2</v>
      </c>
      <c r="W92" s="13" t="str">
        <f t="shared" si="34"/>
        <v>T058671 5</v>
      </c>
      <c r="X92" s="13" t="str">
        <f t="shared" si="35"/>
        <v>S55435</v>
      </c>
      <c r="Y92" s="13" t="str">
        <f t="shared" si="36"/>
        <v>T05</v>
      </c>
      <c r="Z92" s="13" t="str">
        <f t="shared" si="37"/>
        <v>671</v>
      </c>
      <c r="AA92" s="13">
        <f t="shared" si="38"/>
        <v>2</v>
      </c>
      <c r="AB92" s="13">
        <f t="shared" si="39"/>
        <v>3</v>
      </c>
      <c r="AC92" s="13"/>
      <c r="AD92" s="13"/>
      <c r="AE92" s="13"/>
    </row>
    <row r="93" spans="1:31" ht="30" x14ac:dyDescent="0.25">
      <c r="A93" s="9" t="s">
        <v>218</v>
      </c>
      <c r="B93" s="9" t="s">
        <v>483</v>
      </c>
      <c r="C93" s="9" t="s">
        <v>484</v>
      </c>
      <c r="D93" s="9" t="s">
        <v>485</v>
      </c>
      <c r="E93" s="9" t="s">
        <v>486</v>
      </c>
      <c r="F93" s="9">
        <v>7</v>
      </c>
      <c r="G93" s="9" t="s">
        <v>14</v>
      </c>
      <c r="H93" s="9">
        <v>32</v>
      </c>
      <c r="I93" s="13">
        <f t="shared" si="20"/>
        <v>224</v>
      </c>
      <c r="J93" s="13">
        <f t="shared" si="21"/>
        <v>33</v>
      </c>
      <c r="K93" s="13">
        <f t="shared" si="22"/>
        <v>33</v>
      </c>
      <c r="L93" s="13">
        <f t="shared" si="23"/>
        <v>2934.5</v>
      </c>
      <c r="M93" s="13">
        <f t="shared" si="24"/>
        <v>152</v>
      </c>
      <c r="N93" s="13" t="b">
        <f t="shared" si="25"/>
        <v>1</v>
      </c>
      <c r="O93" s="13" t="b">
        <f t="shared" si="26"/>
        <v>1</v>
      </c>
      <c r="P93" s="13" t="str">
        <f t="shared" si="27"/>
        <v>C007064-ct</v>
      </c>
      <c r="Q93" s="14" t="str">
        <f t="shared" si="28"/>
        <v>T035360
7</v>
      </c>
      <c r="R93" s="13" t="b">
        <f t="shared" si="29"/>
        <v>0</v>
      </c>
      <c r="S93" s="13" t="str">
        <f t="shared" si="30"/>
        <v>13</v>
      </c>
      <c r="T93" s="13" t="str">
        <f t="shared" si="31"/>
        <v>CT</v>
      </c>
      <c r="U93" s="13" t="str">
        <f t="shared" si="32"/>
        <v>ct</v>
      </c>
      <c r="V93" s="13">
        <f t="shared" si="33"/>
        <v>2</v>
      </c>
      <c r="W93" s="13" t="str">
        <f t="shared" si="34"/>
        <v>T035360 7</v>
      </c>
      <c r="X93" s="13" t="str">
        <f t="shared" si="35"/>
        <v>S55267</v>
      </c>
      <c r="Y93" s="13" t="str">
        <f t="shared" si="36"/>
        <v>T03</v>
      </c>
      <c r="Z93" s="13" t="str">
        <f t="shared" si="37"/>
        <v>360</v>
      </c>
      <c r="AA93" s="13">
        <f t="shared" si="38"/>
        <v>2</v>
      </c>
      <c r="AB93" s="13">
        <f t="shared" si="39"/>
        <v>2</v>
      </c>
      <c r="AC93" s="13"/>
      <c r="AD93" s="13"/>
      <c r="AE93" s="13"/>
    </row>
    <row r="94" spans="1:31" ht="30" x14ac:dyDescent="0.25">
      <c r="A94" s="9" t="s">
        <v>348</v>
      </c>
      <c r="B94" s="9" t="s">
        <v>487</v>
      </c>
      <c r="C94" s="9" t="s">
        <v>488</v>
      </c>
      <c r="D94" s="9" t="s">
        <v>82</v>
      </c>
      <c r="E94" s="9" t="s">
        <v>489</v>
      </c>
      <c r="F94" s="9">
        <v>10</v>
      </c>
      <c r="G94" s="9" t="s">
        <v>36</v>
      </c>
      <c r="H94" s="9">
        <v>6.75</v>
      </c>
      <c r="I94" s="13">
        <f t="shared" si="20"/>
        <v>67.5</v>
      </c>
      <c r="J94" s="13">
        <f t="shared" si="21"/>
        <v>311.5</v>
      </c>
      <c r="K94" s="13">
        <f t="shared" si="22"/>
        <v>309</v>
      </c>
      <c r="L94" s="13">
        <f t="shared" si="23"/>
        <v>1528.5</v>
      </c>
      <c r="M94" s="13">
        <f t="shared" si="24"/>
        <v>88</v>
      </c>
      <c r="N94" s="13" t="b">
        <f t="shared" si="25"/>
        <v>0</v>
      </c>
      <c r="O94" s="13" t="b">
        <f t="shared" si="26"/>
        <v>1</v>
      </c>
      <c r="P94" s="13" t="str">
        <f t="shared" si="27"/>
        <v>C001108-cans</v>
      </c>
      <c r="Q94" s="14" t="str">
        <f t="shared" si="28"/>
        <v>T012049
10</v>
      </c>
      <c r="R94" s="13" t="b">
        <f t="shared" si="29"/>
        <v>0</v>
      </c>
      <c r="S94" s="13" t="str">
        <f t="shared" si="30"/>
        <v>01</v>
      </c>
      <c r="T94" s="13" t="str">
        <f t="shared" si="31"/>
        <v>CANS</v>
      </c>
      <c r="U94" s="13" t="str">
        <f t="shared" si="32"/>
        <v>cans</v>
      </c>
      <c r="V94" s="13">
        <f t="shared" si="33"/>
        <v>2</v>
      </c>
      <c r="W94" s="13" t="str">
        <f t="shared" si="34"/>
        <v>T012049 10</v>
      </c>
      <c r="X94" s="13" t="str">
        <f t="shared" si="35"/>
        <v>S55245</v>
      </c>
      <c r="Y94" s="13" t="str">
        <f t="shared" si="36"/>
        <v>T01</v>
      </c>
      <c r="Z94" s="13" t="str">
        <f t="shared" si="37"/>
        <v>049</v>
      </c>
      <c r="AA94" s="13">
        <f t="shared" si="38"/>
        <v>2</v>
      </c>
      <c r="AB94" s="13">
        <f t="shared" si="39"/>
        <v>4</v>
      </c>
      <c r="AC94" s="13"/>
      <c r="AD94" s="13"/>
      <c r="AE94" s="13"/>
    </row>
    <row r="95" spans="1:31" ht="30" x14ac:dyDescent="0.25">
      <c r="A95" s="9" t="s">
        <v>125</v>
      </c>
      <c r="B95" s="9" t="s">
        <v>490</v>
      </c>
      <c r="C95" s="9" t="s">
        <v>491</v>
      </c>
      <c r="D95" s="9" t="s">
        <v>492</v>
      </c>
      <c r="E95" s="9" t="s">
        <v>142</v>
      </c>
      <c r="F95" s="9">
        <v>1</v>
      </c>
      <c r="G95" s="9" t="s">
        <v>36</v>
      </c>
      <c r="H95" s="9">
        <v>8</v>
      </c>
      <c r="I95" s="13">
        <f t="shared" si="20"/>
        <v>8</v>
      </c>
      <c r="J95" s="13">
        <f t="shared" si="21"/>
        <v>493</v>
      </c>
      <c r="K95" s="13">
        <f t="shared" si="22"/>
        <v>493</v>
      </c>
      <c r="L95" s="13">
        <f t="shared" si="23"/>
        <v>1521.75</v>
      </c>
      <c r="M95" s="13">
        <f t="shared" si="24"/>
        <v>87</v>
      </c>
      <c r="N95" s="13" t="b">
        <f t="shared" si="25"/>
        <v>0</v>
      </c>
      <c r="O95" s="13" t="b">
        <f t="shared" si="26"/>
        <v>1</v>
      </c>
      <c r="P95" s="13" t="str">
        <f t="shared" si="27"/>
        <v>C006657-cans</v>
      </c>
      <c r="Q95" s="14" t="str">
        <f t="shared" si="28"/>
        <v>T058776
1</v>
      </c>
      <c r="R95" s="13" t="b">
        <f t="shared" si="29"/>
        <v>0</v>
      </c>
      <c r="S95" s="13" t="str">
        <f t="shared" si="30"/>
        <v>04</v>
      </c>
      <c r="T95" s="13" t="str">
        <f t="shared" si="31"/>
        <v>CANS</v>
      </c>
      <c r="U95" s="13" t="str">
        <f t="shared" si="32"/>
        <v>cans</v>
      </c>
      <c r="V95" s="13">
        <f t="shared" si="33"/>
        <v>2</v>
      </c>
      <c r="W95" s="13" t="str">
        <f t="shared" si="34"/>
        <v>T058776 1</v>
      </c>
      <c r="X95" s="13" t="str">
        <f t="shared" si="35"/>
        <v>S55628</v>
      </c>
      <c r="Y95" s="13" t="str">
        <f t="shared" si="36"/>
        <v>T05</v>
      </c>
      <c r="Z95" s="13" t="str">
        <f t="shared" si="37"/>
        <v>776</v>
      </c>
      <c r="AA95" s="13">
        <f t="shared" si="38"/>
        <v>2</v>
      </c>
      <c r="AB95" s="13">
        <f t="shared" si="39"/>
        <v>4</v>
      </c>
      <c r="AC95" s="13"/>
      <c r="AD95" s="13"/>
      <c r="AE95" s="13"/>
    </row>
    <row r="96" spans="1:31" ht="30" x14ac:dyDescent="0.25">
      <c r="A96" s="9" t="s">
        <v>79</v>
      </c>
      <c r="B96" s="9" t="s">
        <v>493</v>
      </c>
      <c r="C96" s="9" t="s">
        <v>494</v>
      </c>
      <c r="D96" s="9" t="s">
        <v>261</v>
      </c>
      <c r="E96" s="9" t="s">
        <v>495</v>
      </c>
      <c r="F96" s="9">
        <v>6</v>
      </c>
      <c r="G96" s="9" t="s">
        <v>36</v>
      </c>
      <c r="H96" s="9">
        <v>6.75</v>
      </c>
      <c r="I96" s="13">
        <f t="shared" si="20"/>
        <v>40.5</v>
      </c>
      <c r="J96" s="13">
        <f t="shared" si="21"/>
        <v>409.5</v>
      </c>
      <c r="K96" s="13">
        <f t="shared" si="22"/>
        <v>409</v>
      </c>
      <c r="L96" s="13">
        <f t="shared" si="23"/>
        <v>1513.75</v>
      </c>
      <c r="M96" s="13">
        <f t="shared" si="24"/>
        <v>86</v>
      </c>
      <c r="N96" s="13" t="b">
        <f t="shared" si="25"/>
        <v>0</v>
      </c>
      <c r="O96" s="13" t="b">
        <f t="shared" si="26"/>
        <v>1</v>
      </c>
      <c r="P96" s="13" t="str">
        <f t="shared" si="27"/>
        <v>C006206-cans</v>
      </c>
      <c r="Q96" s="14" t="str">
        <f t="shared" si="28"/>
        <v>T087559
6</v>
      </c>
      <c r="R96" s="13" t="b">
        <f t="shared" si="29"/>
        <v>0</v>
      </c>
      <c r="S96" s="13" t="str">
        <f t="shared" si="30"/>
        <v>00</v>
      </c>
      <c r="T96" s="13" t="str">
        <f t="shared" si="31"/>
        <v>CANS</v>
      </c>
      <c r="U96" s="13" t="str">
        <f t="shared" si="32"/>
        <v>cans</v>
      </c>
      <c r="V96" s="13">
        <f t="shared" si="33"/>
        <v>2</v>
      </c>
      <c r="W96" s="13" t="str">
        <f t="shared" si="34"/>
        <v>T087559 6</v>
      </c>
      <c r="X96" s="13" t="str">
        <f t="shared" si="35"/>
        <v>S55312</v>
      </c>
      <c r="Y96" s="13" t="str">
        <f t="shared" si="36"/>
        <v>T08</v>
      </c>
      <c r="Z96" s="13" t="str">
        <f t="shared" si="37"/>
        <v>559</v>
      </c>
      <c r="AA96" s="13">
        <f t="shared" si="38"/>
        <v>2</v>
      </c>
      <c r="AB96" s="13">
        <f t="shared" si="39"/>
        <v>4</v>
      </c>
      <c r="AC96" s="13"/>
      <c r="AD96" s="13"/>
      <c r="AE96" s="13"/>
    </row>
    <row r="97" spans="1:31" ht="30" x14ac:dyDescent="0.25">
      <c r="A97" s="9" t="s">
        <v>283</v>
      </c>
      <c r="B97" s="9" t="s">
        <v>496</v>
      </c>
      <c r="C97" s="9" t="s">
        <v>497</v>
      </c>
      <c r="D97" s="9" t="s">
        <v>498</v>
      </c>
      <c r="E97" s="9" t="s">
        <v>431</v>
      </c>
      <c r="F97" s="9">
        <v>5</v>
      </c>
      <c r="G97" s="9" t="s">
        <v>14</v>
      </c>
      <c r="H97" s="9">
        <v>21</v>
      </c>
      <c r="I97" s="13">
        <f t="shared" si="20"/>
        <v>105</v>
      </c>
      <c r="J97" s="13">
        <f t="shared" si="21"/>
        <v>202.5</v>
      </c>
      <c r="K97" s="13">
        <f t="shared" si="22"/>
        <v>199</v>
      </c>
      <c r="L97" s="13">
        <f t="shared" si="23"/>
        <v>2902.5</v>
      </c>
      <c r="M97" s="13">
        <f t="shared" si="24"/>
        <v>151</v>
      </c>
      <c r="N97" s="13" t="b">
        <f t="shared" si="25"/>
        <v>1</v>
      </c>
      <c r="O97" s="13" t="b">
        <f t="shared" si="26"/>
        <v>1</v>
      </c>
      <c r="P97" s="13" t="str">
        <f t="shared" si="27"/>
        <v>C008525-ct</v>
      </c>
      <c r="Q97" s="14" t="str">
        <f t="shared" si="28"/>
        <v>T054312
5</v>
      </c>
      <c r="R97" s="13" t="b">
        <f t="shared" si="29"/>
        <v>0</v>
      </c>
      <c r="S97" s="13" t="str">
        <f t="shared" si="30"/>
        <v>14</v>
      </c>
      <c r="T97" s="13" t="str">
        <f t="shared" si="31"/>
        <v>CT</v>
      </c>
      <c r="U97" s="13" t="str">
        <f t="shared" si="32"/>
        <v>ct</v>
      </c>
      <c r="V97" s="13">
        <f t="shared" si="33"/>
        <v>2</v>
      </c>
      <c r="W97" s="13" t="str">
        <f t="shared" si="34"/>
        <v>T054312 5</v>
      </c>
      <c r="X97" s="13" t="str">
        <f t="shared" si="35"/>
        <v>S55675</v>
      </c>
      <c r="Y97" s="13" t="str">
        <f t="shared" si="36"/>
        <v>T05</v>
      </c>
      <c r="Z97" s="13" t="str">
        <f t="shared" si="37"/>
        <v>312</v>
      </c>
      <c r="AA97" s="13">
        <f t="shared" si="38"/>
        <v>2</v>
      </c>
      <c r="AB97" s="13">
        <f t="shared" si="39"/>
        <v>2</v>
      </c>
      <c r="AC97" s="13"/>
      <c r="AD97" s="13"/>
      <c r="AE97" s="13"/>
    </row>
    <row r="98" spans="1:31" ht="30" x14ac:dyDescent="0.25">
      <c r="A98" s="9" t="s">
        <v>130</v>
      </c>
      <c r="B98" s="9" t="s">
        <v>499</v>
      </c>
      <c r="C98" s="9" t="s">
        <v>500</v>
      </c>
      <c r="D98" s="9" t="s">
        <v>303</v>
      </c>
      <c r="E98" s="9" t="s">
        <v>501</v>
      </c>
      <c r="F98" s="9">
        <v>6</v>
      </c>
      <c r="G98" s="9" t="s">
        <v>14</v>
      </c>
      <c r="H98" s="9">
        <v>12</v>
      </c>
      <c r="I98" s="13">
        <f t="shared" si="20"/>
        <v>72</v>
      </c>
      <c r="J98" s="13">
        <f t="shared" si="21"/>
        <v>295.5</v>
      </c>
      <c r="K98" s="13">
        <f t="shared" si="22"/>
        <v>292</v>
      </c>
      <c r="L98" s="13">
        <f t="shared" si="23"/>
        <v>2881.5</v>
      </c>
      <c r="M98" s="13">
        <f t="shared" si="24"/>
        <v>150</v>
      </c>
      <c r="N98" s="13" t="b">
        <f t="shared" si="25"/>
        <v>0</v>
      </c>
      <c r="O98" s="13" t="b">
        <f t="shared" si="26"/>
        <v>1</v>
      </c>
      <c r="P98" s="13" t="str">
        <f t="shared" si="27"/>
        <v>C005322-ct</v>
      </c>
      <c r="Q98" s="14" t="str">
        <f t="shared" si="28"/>
        <v>T090099
6</v>
      </c>
      <c r="R98" s="13" t="b">
        <f t="shared" si="29"/>
        <v>0</v>
      </c>
      <c r="S98" s="13" t="str">
        <f t="shared" si="30"/>
        <v>21</v>
      </c>
      <c r="T98" s="13" t="str">
        <f t="shared" si="31"/>
        <v>CT</v>
      </c>
      <c r="U98" s="13" t="str">
        <f t="shared" si="32"/>
        <v>ct</v>
      </c>
      <c r="V98" s="13">
        <f t="shared" si="33"/>
        <v>2</v>
      </c>
      <c r="W98" s="13" t="str">
        <f t="shared" si="34"/>
        <v>T090099 6</v>
      </c>
      <c r="X98" s="13" t="str">
        <f t="shared" si="35"/>
        <v>S55381</v>
      </c>
      <c r="Y98" s="13" t="str">
        <f t="shared" si="36"/>
        <v>T09</v>
      </c>
      <c r="Z98" s="13" t="str">
        <f t="shared" si="37"/>
        <v>099</v>
      </c>
      <c r="AA98" s="13">
        <f t="shared" si="38"/>
        <v>2</v>
      </c>
      <c r="AB98" s="13">
        <f t="shared" si="39"/>
        <v>2</v>
      </c>
      <c r="AC98" s="13"/>
      <c r="AD98" s="13"/>
      <c r="AE98" s="13"/>
    </row>
    <row r="99" spans="1:31" ht="30" x14ac:dyDescent="0.25">
      <c r="A99" s="9" t="s">
        <v>196</v>
      </c>
      <c r="B99" s="9" t="s">
        <v>502</v>
      </c>
      <c r="C99" s="9" t="s">
        <v>503</v>
      </c>
      <c r="D99" s="9" t="s">
        <v>504</v>
      </c>
      <c r="E99" s="9" t="s">
        <v>505</v>
      </c>
      <c r="F99" s="9">
        <v>1</v>
      </c>
      <c r="G99" s="9" t="s">
        <v>176</v>
      </c>
      <c r="H99" s="9">
        <v>16</v>
      </c>
      <c r="I99" s="13">
        <f t="shared" si="20"/>
        <v>16</v>
      </c>
      <c r="J99" s="13">
        <f t="shared" si="21"/>
        <v>471</v>
      </c>
      <c r="K99" s="13">
        <f t="shared" si="22"/>
        <v>470</v>
      </c>
      <c r="L99" s="13">
        <f t="shared" si="23"/>
        <v>393</v>
      </c>
      <c r="M99" s="13">
        <f t="shared" si="24"/>
        <v>25</v>
      </c>
      <c r="N99" s="13" t="b">
        <f t="shared" si="25"/>
        <v>0</v>
      </c>
      <c r="O99" s="13" t="b">
        <f t="shared" si="26"/>
        <v>1</v>
      </c>
      <c r="P99" s="13" t="str">
        <f t="shared" si="27"/>
        <v>C009017-oz</v>
      </c>
      <c r="Q99" s="14" t="str">
        <f t="shared" si="28"/>
        <v>T035589
1</v>
      </c>
      <c r="R99" s="13" t="b">
        <f t="shared" si="29"/>
        <v>0</v>
      </c>
      <c r="S99" s="13" t="str">
        <f t="shared" si="30"/>
        <v>24</v>
      </c>
      <c r="T99" s="13" t="str">
        <f t="shared" si="31"/>
        <v>OZ</v>
      </c>
      <c r="U99" s="13" t="str">
        <f t="shared" si="32"/>
        <v>oz</v>
      </c>
      <c r="V99" s="13">
        <f t="shared" si="33"/>
        <v>2</v>
      </c>
      <c r="W99" s="13" t="str">
        <f t="shared" si="34"/>
        <v>T035589 1</v>
      </c>
      <c r="X99" s="13" t="str">
        <f t="shared" si="35"/>
        <v>S55698</v>
      </c>
      <c r="Y99" s="13" t="str">
        <f t="shared" si="36"/>
        <v>T03</v>
      </c>
      <c r="Z99" s="13" t="str">
        <f t="shared" si="37"/>
        <v>589</v>
      </c>
      <c r="AA99" s="13">
        <f t="shared" si="38"/>
        <v>2</v>
      </c>
      <c r="AB99" s="13">
        <f t="shared" si="39"/>
        <v>2</v>
      </c>
      <c r="AC99" s="13"/>
      <c r="AD99" s="13"/>
      <c r="AE99" s="13"/>
    </row>
    <row r="100" spans="1:31" ht="30" x14ac:dyDescent="0.25">
      <c r="A100" s="9" t="s">
        <v>283</v>
      </c>
      <c r="B100" s="9" t="s">
        <v>506</v>
      </c>
      <c r="C100" s="9" t="s">
        <v>507</v>
      </c>
      <c r="D100" s="9" t="s">
        <v>508</v>
      </c>
      <c r="E100" s="9" t="s">
        <v>509</v>
      </c>
      <c r="F100" s="9">
        <v>2</v>
      </c>
      <c r="G100" s="9" t="s">
        <v>68</v>
      </c>
      <c r="H100" s="9">
        <v>17.5</v>
      </c>
      <c r="I100" s="13">
        <f t="shared" si="20"/>
        <v>35</v>
      </c>
      <c r="J100" s="13">
        <f t="shared" si="21"/>
        <v>420.5</v>
      </c>
      <c r="K100" s="13">
        <f t="shared" si="22"/>
        <v>420</v>
      </c>
      <c r="L100" s="13">
        <f t="shared" si="23"/>
        <v>966.5</v>
      </c>
      <c r="M100" s="13">
        <f t="shared" si="24"/>
        <v>54</v>
      </c>
      <c r="N100" s="13" t="b">
        <f t="shared" si="25"/>
        <v>0</v>
      </c>
      <c r="O100" s="13" t="b">
        <f t="shared" si="26"/>
        <v>1</v>
      </c>
      <c r="P100" s="13" t="str">
        <f t="shared" si="27"/>
        <v>C003121-bottles</v>
      </c>
      <c r="Q100" s="14" t="str">
        <f t="shared" si="28"/>
        <v>T038507
2</v>
      </c>
      <c r="R100" s="13" t="b">
        <f t="shared" si="29"/>
        <v>0</v>
      </c>
      <c r="S100" s="13" t="str">
        <f t="shared" si="30"/>
        <v>06</v>
      </c>
      <c r="T100" s="13" t="str">
        <f t="shared" si="31"/>
        <v>BOTTLES</v>
      </c>
      <c r="U100" s="13" t="str">
        <f t="shared" si="32"/>
        <v>bottles</v>
      </c>
      <c r="V100" s="13">
        <f t="shared" si="33"/>
        <v>2</v>
      </c>
      <c r="W100" s="13" t="str">
        <f t="shared" si="34"/>
        <v>T038507 2</v>
      </c>
      <c r="X100" s="13" t="str">
        <f t="shared" si="35"/>
        <v>S55345</v>
      </c>
      <c r="Y100" s="13" t="str">
        <f t="shared" si="36"/>
        <v>T03</v>
      </c>
      <c r="Z100" s="13" t="str">
        <f t="shared" si="37"/>
        <v>507</v>
      </c>
      <c r="AA100" s="13">
        <f t="shared" si="38"/>
        <v>2</v>
      </c>
      <c r="AB100" s="13">
        <f t="shared" si="39"/>
        <v>7</v>
      </c>
      <c r="AC100" s="13"/>
      <c r="AD100" s="13"/>
      <c r="AE100" s="13"/>
    </row>
    <row r="101" spans="1:31" ht="30" x14ac:dyDescent="0.25">
      <c r="A101" s="9" t="s">
        <v>91</v>
      </c>
      <c r="B101" s="9" t="s">
        <v>510</v>
      </c>
      <c r="C101" s="9" t="s">
        <v>511</v>
      </c>
      <c r="D101" s="9" t="s">
        <v>512</v>
      </c>
      <c r="E101" s="9" t="s">
        <v>513</v>
      </c>
      <c r="F101" s="9">
        <v>11</v>
      </c>
      <c r="G101" s="9" t="s">
        <v>14</v>
      </c>
      <c r="H101" s="9">
        <v>16.5</v>
      </c>
      <c r="I101" s="13">
        <f t="shared" si="20"/>
        <v>181.5</v>
      </c>
      <c r="J101" s="13">
        <f t="shared" si="21"/>
        <v>59</v>
      </c>
      <c r="K101" s="13">
        <f t="shared" si="22"/>
        <v>59</v>
      </c>
      <c r="L101" s="13">
        <f t="shared" si="23"/>
        <v>2869.5</v>
      </c>
      <c r="M101" s="13">
        <f t="shared" si="24"/>
        <v>149</v>
      </c>
      <c r="N101" s="13" t="b">
        <f t="shared" si="25"/>
        <v>0</v>
      </c>
      <c r="O101" s="13" t="b">
        <f t="shared" si="26"/>
        <v>1</v>
      </c>
      <c r="P101" s="13" t="str">
        <f t="shared" si="27"/>
        <v>C004972-ct</v>
      </c>
      <c r="Q101" s="14" t="str">
        <f t="shared" si="28"/>
        <v>T045622
11</v>
      </c>
      <c r="R101" s="13" t="b">
        <f t="shared" si="29"/>
        <v>0</v>
      </c>
      <c r="S101" s="13" t="str">
        <f t="shared" si="30"/>
        <v>21</v>
      </c>
      <c r="T101" s="13" t="str">
        <f t="shared" si="31"/>
        <v>CT</v>
      </c>
      <c r="U101" s="13" t="str">
        <f t="shared" si="32"/>
        <v>ct</v>
      </c>
      <c r="V101" s="13">
        <f t="shared" si="33"/>
        <v>2</v>
      </c>
      <c r="W101" s="13" t="str">
        <f t="shared" si="34"/>
        <v>T045622 11</v>
      </c>
      <c r="X101" s="13" t="str">
        <f t="shared" si="35"/>
        <v>S55264</v>
      </c>
      <c r="Y101" s="13" t="str">
        <f t="shared" si="36"/>
        <v>T04</v>
      </c>
      <c r="Z101" s="13" t="str">
        <f t="shared" si="37"/>
        <v>622</v>
      </c>
      <c r="AA101" s="13">
        <f t="shared" si="38"/>
        <v>2</v>
      </c>
      <c r="AB101" s="13">
        <f t="shared" si="39"/>
        <v>2</v>
      </c>
      <c r="AC101" s="13"/>
      <c r="AD101" s="13"/>
      <c r="AE101" s="13"/>
    </row>
    <row r="102" spans="1:31" ht="30" x14ac:dyDescent="0.25">
      <c r="A102" s="9" t="s">
        <v>125</v>
      </c>
      <c r="B102" s="9" t="s">
        <v>514</v>
      </c>
      <c r="C102" s="9" t="s">
        <v>515</v>
      </c>
      <c r="D102" s="9" t="s">
        <v>450</v>
      </c>
      <c r="E102" s="9" t="s">
        <v>516</v>
      </c>
      <c r="F102" s="9">
        <v>8</v>
      </c>
      <c r="G102" s="9" t="s">
        <v>115</v>
      </c>
      <c r="H102" s="9">
        <v>17</v>
      </c>
      <c r="I102" s="13">
        <f t="shared" si="20"/>
        <v>136</v>
      </c>
      <c r="J102" s="13">
        <f t="shared" si="21"/>
        <v>130.5</v>
      </c>
      <c r="K102" s="13">
        <f t="shared" si="22"/>
        <v>129</v>
      </c>
      <c r="L102" s="13">
        <f t="shared" si="23"/>
        <v>435</v>
      </c>
      <c r="M102" s="13">
        <f t="shared" si="24"/>
        <v>26</v>
      </c>
      <c r="N102" s="13" t="b">
        <f t="shared" si="25"/>
        <v>0</v>
      </c>
      <c r="O102" s="13" t="b">
        <f t="shared" si="26"/>
        <v>1</v>
      </c>
      <c r="P102" s="13" t="str">
        <f t="shared" si="27"/>
        <v>C007493-bags</v>
      </c>
      <c r="Q102" s="14" t="str">
        <f t="shared" si="28"/>
        <v>T028965
8</v>
      </c>
      <c r="R102" s="13" t="b">
        <f t="shared" si="29"/>
        <v>0</v>
      </c>
      <c r="S102" s="13" t="str">
        <f t="shared" si="30"/>
        <v>15</v>
      </c>
      <c r="T102" s="13" t="str">
        <f t="shared" si="31"/>
        <v>BAGS</v>
      </c>
      <c r="U102" s="13" t="str">
        <f t="shared" si="32"/>
        <v>bags</v>
      </c>
      <c r="V102" s="13">
        <f t="shared" si="33"/>
        <v>2</v>
      </c>
      <c r="W102" s="13" t="str">
        <f t="shared" si="34"/>
        <v>T028965 8</v>
      </c>
      <c r="X102" s="13" t="str">
        <f t="shared" si="35"/>
        <v>S55123</v>
      </c>
      <c r="Y102" s="13" t="str">
        <f t="shared" si="36"/>
        <v>T02</v>
      </c>
      <c r="Z102" s="13" t="str">
        <f t="shared" si="37"/>
        <v>965</v>
      </c>
      <c r="AA102" s="13">
        <f t="shared" si="38"/>
        <v>2</v>
      </c>
      <c r="AB102" s="13">
        <f t="shared" si="39"/>
        <v>4</v>
      </c>
      <c r="AC102" s="13"/>
      <c r="AD102" s="13"/>
      <c r="AE102" s="13"/>
    </row>
    <row r="103" spans="1:31" ht="30" x14ac:dyDescent="0.25">
      <c r="A103" s="9" t="s">
        <v>130</v>
      </c>
      <c r="B103" s="9" t="s">
        <v>517</v>
      </c>
      <c r="C103" s="9" t="s">
        <v>518</v>
      </c>
      <c r="D103" s="9" t="s">
        <v>519</v>
      </c>
      <c r="E103" s="9" t="s">
        <v>520</v>
      </c>
      <c r="F103" s="9">
        <v>10</v>
      </c>
      <c r="G103" s="9" t="s">
        <v>176</v>
      </c>
      <c r="H103" s="9">
        <v>10</v>
      </c>
      <c r="I103" s="13">
        <f t="shared" si="20"/>
        <v>100</v>
      </c>
      <c r="J103" s="13">
        <f t="shared" si="21"/>
        <v>214.5</v>
      </c>
      <c r="K103" s="13">
        <f t="shared" si="22"/>
        <v>212</v>
      </c>
      <c r="L103" s="13">
        <f t="shared" si="23"/>
        <v>377</v>
      </c>
      <c r="M103" s="13">
        <f t="shared" si="24"/>
        <v>24</v>
      </c>
      <c r="N103" s="13" t="b">
        <f t="shared" si="25"/>
        <v>0</v>
      </c>
      <c r="O103" s="13" t="b">
        <f t="shared" si="26"/>
        <v>1</v>
      </c>
      <c r="P103" s="13" t="str">
        <f t="shared" si="27"/>
        <v>C007851-oz</v>
      </c>
      <c r="Q103" s="14" t="str">
        <f t="shared" si="28"/>
        <v>T018452
10</v>
      </c>
      <c r="R103" s="13" t="b">
        <f t="shared" si="29"/>
        <v>0</v>
      </c>
      <c r="S103" s="13" t="str">
        <f t="shared" si="30"/>
        <v>09</v>
      </c>
      <c r="T103" s="13" t="str">
        <f t="shared" si="31"/>
        <v>OZ</v>
      </c>
      <c r="U103" s="13" t="str">
        <f t="shared" si="32"/>
        <v>oz</v>
      </c>
      <c r="V103" s="13">
        <f t="shared" si="33"/>
        <v>2</v>
      </c>
      <c r="W103" s="13" t="str">
        <f t="shared" si="34"/>
        <v>T018452 10</v>
      </c>
      <c r="X103" s="13" t="str">
        <f t="shared" si="35"/>
        <v>S55664</v>
      </c>
      <c r="Y103" s="13" t="str">
        <f t="shared" si="36"/>
        <v>T01</v>
      </c>
      <c r="Z103" s="13" t="str">
        <f t="shared" si="37"/>
        <v>452</v>
      </c>
      <c r="AA103" s="13">
        <f t="shared" si="38"/>
        <v>2</v>
      </c>
      <c r="AB103" s="13">
        <f t="shared" si="39"/>
        <v>2</v>
      </c>
      <c r="AC103" s="13"/>
      <c r="AD103" s="13"/>
      <c r="AE103" s="13"/>
    </row>
    <row r="104" spans="1:31" ht="30" x14ac:dyDescent="0.25">
      <c r="A104" s="9" t="s">
        <v>105</v>
      </c>
      <c r="B104" s="9" t="s">
        <v>521</v>
      </c>
      <c r="C104" s="9" t="s">
        <v>522</v>
      </c>
      <c r="D104" s="9" t="s">
        <v>158</v>
      </c>
      <c r="E104" s="9" t="s">
        <v>523</v>
      </c>
      <c r="F104" s="9">
        <v>4</v>
      </c>
      <c r="G104" s="9" t="s">
        <v>68</v>
      </c>
      <c r="H104" s="9">
        <v>17</v>
      </c>
      <c r="I104" s="13">
        <f t="shared" si="20"/>
        <v>68</v>
      </c>
      <c r="J104" s="13">
        <f t="shared" si="21"/>
        <v>306</v>
      </c>
      <c r="K104" s="13">
        <f t="shared" si="22"/>
        <v>304</v>
      </c>
      <c r="L104" s="13">
        <f t="shared" si="23"/>
        <v>949</v>
      </c>
      <c r="M104" s="13">
        <f t="shared" si="24"/>
        <v>53</v>
      </c>
      <c r="N104" s="13" t="b">
        <f t="shared" si="25"/>
        <v>0</v>
      </c>
      <c r="O104" s="13" t="b">
        <f t="shared" si="26"/>
        <v>1</v>
      </c>
      <c r="P104" s="13" t="str">
        <f t="shared" si="27"/>
        <v>C004867-bottles</v>
      </c>
      <c r="Q104" s="14" t="str">
        <f t="shared" si="28"/>
        <v>T063981
4</v>
      </c>
      <c r="R104" s="13" t="b">
        <f t="shared" si="29"/>
        <v>0</v>
      </c>
      <c r="S104" s="13" t="str">
        <f t="shared" si="30"/>
        <v>07</v>
      </c>
      <c r="T104" s="13" t="str">
        <f t="shared" si="31"/>
        <v>BOTTLES</v>
      </c>
      <c r="U104" s="13" t="str">
        <f t="shared" si="32"/>
        <v>bottles</v>
      </c>
      <c r="V104" s="13">
        <f t="shared" si="33"/>
        <v>2</v>
      </c>
      <c r="W104" s="13" t="str">
        <f t="shared" si="34"/>
        <v>T063981 4</v>
      </c>
      <c r="X104" s="13" t="str">
        <f t="shared" si="35"/>
        <v>S55271</v>
      </c>
      <c r="Y104" s="13" t="str">
        <f t="shared" si="36"/>
        <v>T06</v>
      </c>
      <c r="Z104" s="13" t="str">
        <f t="shared" si="37"/>
        <v>981</v>
      </c>
      <c r="AA104" s="13">
        <f t="shared" si="38"/>
        <v>2</v>
      </c>
      <c r="AB104" s="13">
        <f t="shared" si="39"/>
        <v>7</v>
      </c>
      <c r="AC104" s="13"/>
      <c r="AD104" s="13"/>
      <c r="AE104" s="13"/>
    </row>
    <row r="105" spans="1:31" ht="30" x14ac:dyDescent="0.25">
      <c r="A105" s="9" t="s">
        <v>26</v>
      </c>
      <c r="B105" s="9" t="s">
        <v>524</v>
      </c>
      <c r="C105" s="9" t="s">
        <v>525</v>
      </c>
      <c r="D105" s="9" t="s">
        <v>526</v>
      </c>
      <c r="E105" s="9" t="s">
        <v>527</v>
      </c>
      <c r="F105" s="9">
        <v>4</v>
      </c>
      <c r="G105" s="9" t="s">
        <v>14</v>
      </c>
      <c r="H105" s="9">
        <v>20</v>
      </c>
      <c r="I105" s="13">
        <f t="shared" si="20"/>
        <v>80</v>
      </c>
      <c r="J105" s="13">
        <f t="shared" si="21"/>
        <v>275</v>
      </c>
      <c r="K105" s="13">
        <f t="shared" si="22"/>
        <v>272</v>
      </c>
      <c r="L105" s="13">
        <f t="shared" si="23"/>
        <v>2853</v>
      </c>
      <c r="M105" s="13">
        <f t="shared" si="24"/>
        <v>148</v>
      </c>
      <c r="N105" s="13" t="b">
        <f t="shared" si="25"/>
        <v>0</v>
      </c>
      <c r="O105" s="13" t="b">
        <f t="shared" si="26"/>
        <v>1</v>
      </c>
      <c r="P105" s="13" t="str">
        <f t="shared" si="27"/>
        <v>C000893-ct</v>
      </c>
      <c r="Q105" s="14" t="str">
        <f t="shared" si="28"/>
        <v>T036720
4</v>
      </c>
      <c r="R105" s="13" t="b">
        <f t="shared" si="29"/>
        <v>0</v>
      </c>
      <c r="S105" s="13" t="str">
        <f t="shared" si="30"/>
        <v>14</v>
      </c>
      <c r="T105" s="13" t="str">
        <f t="shared" si="31"/>
        <v>CT</v>
      </c>
      <c r="U105" s="13" t="str">
        <f t="shared" si="32"/>
        <v>ct</v>
      </c>
      <c r="V105" s="13">
        <f t="shared" si="33"/>
        <v>2</v>
      </c>
      <c r="W105" s="13" t="str">
        <f t="shared" si="34"/>
        <v>T036720 4</v>
      </c>
      <c r="X105" s="13" t="str">
        <f t="shared" si="35"/>
        <v>S55147</v>
      </c>
      <c r="Y105" s="13" t="str">
        <f t="shared" si="36"/>
        <v>T03</v>
      </c>
      <c r="Z105" s="13" t="str">
        <f t="shared" si="37"/>
        <v>720</v>
      </c>
      <c r="AA105" s="13">
        <f t="shared" si="38"/>
        <v>2</v>
      </c>
      <c r="AB105" s="13">
        <f t="shared" si="39"/>
        <v>2</v>
      </c>
      <c r="AC105" s="13"/>
      <c r="AD105" s="13"/>
      <c r="AE105" s="13"/>
    </row>
    <row r="106" spans="1:31" ht="30" x14ac:dyDescent="0.25">
      <c r="A106" s="9" t="s">
        <v>528</v>
      </c>
      <c r="B106" s="9" t="s">
        <v>529</v>
      </c>
      <c r="C106" s="9" t="s">
        <v>530</v>
      </c>
      <c r="D106" s="9" t="s">
        <v>207</v>
      </c>
      <c r="E106" s="9" t="s">
        <v>531</v>
      </c>
      <c r="F106" s="9">
        <v>1</v>
      </c>
      <c r="G106" s="9" t="s">
        <v>68</v>
      </c>
      <c r="H106" s="9">
        <v>20</v>
      </c>
      <c r="I106" s="13">
        <f t="shared" si="20"/>
        <v>20</v>
      </c>
      <c r="J106" s="13">
        <f t="shared" si="21"/>
        <v>464</v>
      </c>
      <c r="K106" s="13">
        <f t="shared" si="22"/>
        <v>462</v>
      </c>
      <c r="L106" s="13">
        <f t="shared" si="23"/>
        <v>932</v>
      </c>
      <c r="M106" s="13">
        <f t="shared" si="24"/>
        <v>52</v>
      </c>
      <c r="N106" s="13" t="b">
        <f t="shared" si="25"/>
        <v>0</v>
      </c>
      <c r="O106" s="13" t="b">
        <f t="shared" si="26"/>
        <v>1</v>
      </c>
      <c r="P106" s="13" t="str">
        <f t="shared" si="27"/>
        <v>C002529-bottles</v>
      </c>
      <c r="Q106" s="14" t="str">
        <f t="shared" si="28"/>
        <v>T06611
1</v>
      </c>
      <c r="R106" s="13" t="b">
        <f t="shared" si="29"/>
        <v>0</v>
      </c>
      <c r="S106" s="13" t="str">
        <f t="shared" si="30"/>
        <v>06</v>
      </c>
      <c r="T106" s="13" t="str">
        <f t="shared" si="31"/>
        <v>BOTTLES</v>
      </c>
      <c r="U106" s="13" t="str">
        <f t="shared" si="32"/>
        <v>bottles</v>
      </c>
      <c r="V106" s="13">
        <f t="shared" si="33"/>
        <v>2</v>
      </c>
      <c r="W106" s="13" t="str">
        <f t="shared" si="34"/>
        <v>T06611 1</v>
      </c>
      <c r="X106" s="13" t="str">
        <f t="shared" si="35"/>
        <v>S5549</v>
      </c>
      <c r="Y106" s="13" t="str">
        <f t="shared" si="36"/>
        <v>T06</v>
      </c>
      <c r="Z106" s="13" t="str">
        <f t="shared" si="37"/>
        <v>611</v>
      </c>
      <c r="AA106" s="13">
        <f t="shared" si="38"/>
        <v>2</v>
      </c>
      <c r="AB106" s="13">
        <f t="shared" si="39"/>
        <v>7</v>
      </c>
      <c r="AC106" s="13"/>
      <c r="AD106" s="13"/>
      <c r="AE106" s="13"/>
    </row>
    <row r="107" spans="1:31" ht="30" x14ac:dyDescent="0.25">
      <c r="A107" s="9" t="s">
        <v>532</v>
      </c>
      <c r="B107" s="9" t="s">
        <v>533</v>
      </c>
      <c r="C107" s="9" t="s">
        <v>534</v>
      </c>
      <c r="D107" s="9" t="s">
        <v>535</v>
      </c>
      <c r="E107" s="9" t="s">
        <v>536</v>
      </c>
      <c r="F107" s="9">
        <v>8</v>
      </c>
      <c r="G107" s="9" t="s">
        <v>14</v>
      </c>
      <c r="H107" s="9">
        <v>13</v>
      </c>
      <c r="I107" s="13">
        <f t="shared" si="20"/>
        <v>104</v>
      </c>
      <c r="J107" s="13">
        <f t="shared" si="21"/>
        <v>207.5</v>
      </c>
      <c r="K107" s="13">
        <f t="shared" si="22"/>
        <v>207</v>
      </c>
      <c r="L107" s="13">
        <f t="shared" si="23"/>
        <v>2833</v>
      </c>
      <c r="M107" s="13">
        <f t="shared" si="24"/>
        <v>147</v>
      </c>
      <c r="N107" s="13" t="b">
        <f t="shared" si="25"/>
        <v>0</v>
      </c>
      <c r="O107" s="13" t="b">
        <f t="shared" si="26"/>
        <v>1</v>
      </c>
      <c r="P107" s="13" t="str">
        <f t="shared" si="27"/>
        <v>C008597-ct</v>
      </c>
      <c r="Q107" s="14" t="str">
        <f t="shared" si="28"/>
        <v>T04776
8</v>
      </c>
      <c r="R107" s="13" t="b">
        <f t="shared" si="29"/>
        <v>0</v>
      </c>
      <c r="S107" s="13" t="str">
        <f t="shared" si="30"/>
        <v>18</v>
      </c>
      <c r="T107" s="13" t="str">
        <f t="shared" si="31"/>
        <v>CT</v>
      </c>
      <c r="U107" s="13" t="str">
        <f t="shared" si="32"/>
        <v>ct</v>
      </c>
      <c r="V107" s="13">
        <f t="shared" si="33"/>
        <v>2</v>
      </c>
      <c r="W107" s="13" t="str">
        <f t="shared" si="34"/>
        <v>T04776 8</v>
      </c>
      <c r="X107" s="13" t="str">
        <f t="shared" si="35"/>
        <v>S55282</v>
      </c>
      <c r="Y107" s="13" t="str">
        <f t="shared" si="36"/>
        <v>T04</v>
      </c>
      <c r="Z107" s="13" t="str">
        <f t="shared" si="37"/>
        <v>776</v>
      </c>
      <c r="AA107" s="13">
        <f t="shared" si="38"/>
        <v>2</v>
      </c>
      <c r="AB107" s="13">
        <f t="shared" si="39"/>
        <v>2</v>
      </c>
      <c r="AC107" s="13"/>
      <c r="AD107" s="13"/>
      <c r="AE107" s="13"/>
    </row>
    <row r="108" spans="1:31" ht="30" x14ac:dyDescent="0.25">
      <c r="A108" s="9" t="s">
        <v>9</v>
      </c>
      <c r="B108" s="9" t="s">
        <v>537</v>
      </c>
      <c r="C108" s="9" t="s">
        <v>538</v>
      </c>
      <c r="D108" s="9" t="s">
        <v>539</v>
      </c>
      <c r="E108" s="9" t="s">
        <v>540</v>
      </c>
      <c r="F108" s="9">
        <v>7</v>
      </c>
      <c r="G108" s="9" t="s">
        <v>68</v>
      </c>
      <c r="H108" s="9">
        <v>22</v>
      </c>
      <c r="I108" s="13">
        <f t="shared" si="20"/>
        <v>154</v>
      </c>
      <c r="J108" s="13">
        <f t="shared" si="21"/>
        <v>100.5</v>
      </c>
      <c r="K108" s="13">
        <f t="shared" si="22"/>
        <v>99</v>
      </c>
      <c r="L108" s="13">
        <f t="shared" si="23"/>
        <v>912</v>
      </c>
      <c r="M108" s="13">
        <f t="shared" si="24"/>
        <v>51</v>
      </c>
      <c r="N108" s="13" t="b">
        <f t="shared" si="25"/>
        <v>1</v>
      </c>
      <c r="O108" s="13" t="b">
        <f t="shared" si="26"/>
        <v>1</v>
      </c>
      <c r="P108" s="13" t="str">
        <f t="shared" si="27"/>
        <v>C004165-bottles</v>
      </c>
      <c r="Q108" s="14" t="str">
        <f t="shared" si="28"/>
        <v>T018323
7</v>
      </c>
      <c r="R108" s="13" t="b">
        <f t="shared" si="29"/>
        <v>0</v>
      </c>
      <c r="S108" s="13" t="str">
        <f t="shared" si="30"/>
        <v>06</v>
      </c>
      <c r="T108" s="13" t="str">
        <f t="shared" si="31"/>
        <v>BOTTLES</v>
      </c>
      <c r="U108" s="13" t="str">
        <f t="shared" si="32"/>
        <v>bottles</v>
      </c>
      <c r="V108" s="13">
        <f t="shared" si="33"/>
        <v>2</v>
      </c>
      <c r="W108" s="13" t="str">
        <f t="shared" si="34"/>
        <v>T018323 7</v>
      </c>
      <c r="X108" s="13" t="str">
        <f t="shared" si="35"/>
        <v>S55566</v>
      </c>
      <c r="Y108" s="13" t="str">
        <f t="shared" si="36"/>
        <v>T01</v>
      </c>
      <c r="Z108" s="13" t="str">
        <f t="shared" si="37"/>
        <v>323</v>
      </c>
      <c r="AA108" s="13">
        <f t="shared" si="38"/>
        <v>2</v>
      </c>
      <c r="AB108" s="13">
        <f t="shared" si="39"/>
        <v>7</v>
      </c>
      <c r="AC108" s="13"/>
      <c r="AD108" s="13"/>
      <c r="AE108" s="13"/>
    </row>
    <row r="109" spans="1:31" ht="30" x14ac:dyDescent="0.25">
      <c r="A109" s="9" t="s">
        <v>91</v>
      </c>
      <c r="B109" s="9" t="s">
        <v>541</v>
      </c>
      <c r="C109" s="9" t="s">
        <v>542</v>
      </c>
      <c r="D109" s="9" t="s">
        <v>257</v>
      </c>
      <c r="E109" s="9" t="s">
        <v>543</v>
      </c>
      <c r="F109" s="9">
        <v>9</v>
      </c>
      <c r="G109" s="9" t="s">
        <v>14</v>
      </c>
      <c r="H109" s="9">
        <v>24</v>
      </c>
      <c r="I109" s="13">
        <f t="shared" si="20"/>
        <v>216</v>
      </c>
      <c r="J109" s="13">
        <f t="shared" si="21"/>
        <v>38</v>
      </c>
      <c r="K109" s="13">
        <f t="shared" si="22"/>
        <v>37</v>
      </c>
      <c r="L109" s="13">
        <f t="shared" si="23"/>
        <v>2820</v>
      </c>
      <c r="M109" s="13">
        <f t="shared" si="24"/>
        <v>146</v>
      </c>
      <c r="N109" s="13" t="b">
        <f t="shared" si="25"/>
        <v>1</v>
      </c>
      <c r="O109" s="13" t="b">
        <f t="shared" si="26"/>
        <v>1</v>
      </c>
      <c r="P109" s="13" t="str">
        <f t="shared" si="27"/>
        <v>C007895-ct</v>
      </c>
      <c r="Q109" s="14" t="str">
        <f t="shared" si="28"/>
        <v>T041053
9</v>
      </c>
      <c r="R109" s="13" t="b">
        <f t="shared" si="29"/>
        <v>0</v>
      </c>
      <c r="S109" s="13" t="str">
        <f t="shared" si="30"/>
        <v>19</v>
      </c>
      <c r="T109" s="13" t="str">
        <f t="shared" si="31"/>
        <v>CT</v>
      </c>
      <c r="U109" s="13" t="str">
        <f t="shared" si="32"/>
        <v>ct</v>
      </c>
      <c r="V109" s="13">
        <f t="shared" si="33"/>
        <v>2</v>
      </c>
      <c r="W109" s="13" t="str">
        <f t="shared" si="34"/>
        <v>T041053 9</v>
      </c>
      <c r="X109" s="13" t="str">
        <f t="shared" si="35"/>
        <v>S55157</v>
      </c>
      <c r="Y109" s="13" t="str">
        <f t="shared" si="36"/>
        <v>T04</v>
      </c>
      <c r="Z109" s="13" t="str">
        <f t="shared" si="37"/>
        <v>053</v>
      </c>
      <c r="AA109" s="13">
        <f t="shared" si="38"/>
        <v>2</v>
      </c>
      <c r="AB109" s="13">
        <f t="shared" si="39"/>
        <v>2</v>
      </c>
      <c r="AC109" s="13"/>
      <c r="AD109" s="13"/>
      <c r="AE109" s="13"/>
    </row>
    <row r="110" spans="1:31" ht="30" x14ac:dyDescent="0.25">
      <c r="A110" s="9" t="s">
        <v>348</v>
      </c>
      <c r="B110" s="9" t="s">
        <v>544</v>
      </c>
      <c r="C110" s="9" t="s">
        <v>545</v>
      </c>
      <c r="D110" s="9" t="s">
        <v>546</v>
      </c>
      <c r="E110" s="9" t="s">
        <v>547</v>
      </c>
      <c r="F110" s="9">
        <v>8</v>
      </c>
      <c r="G110" s="9" t="s">
        <v>68</v>
      </c>
      <c r="H110" s="9">
        <v>10</v>
      </c>
      <c r="I110" s="13">
        <f t="shared" si="20"/>
        <v>80</v>
      </c>
      <c r="J110" s="13">
        <f t="shared" si="21"/>
        <v>275</v>
      </c>
      <c r="K110" s="13">
        <f t="shared" si="22"/>
        <v>272</v>
      </c>
      <c r="L110" s="13">
        <f t="shared" si="23"/>
        <v>890</v>
      </c>
      <c r="M110" s="13">
        <f t="shared" si="24"/>
        <v>50</v>
      </c>
      <c r="N110" s="13" t="b">
        <f t="shared" si="25"/>
        <v>0</v>
      </c>
      <c r="O110" s="13" t="b">
        <f t="shared" si="26"/>
        <v>1</v>
      </c>
      <c r="P110" s="13" t="str">
        <f t="shared" si="27"/>
        <v>C006255-bottles</v>
      </c>
      <c r="Q110" s="14" t="str">
        <f t="shared" si="28"/>
        <v>T053308
8</v>
      </c>
      <c r="R110" s="13" t="b">
        <f t="shared" si="29"/>
        <v>0</v>
      </c>
      <c r="S110" s="13" t="str">
        <f t="shared" si="30"/>
        <v>09</v>
      </c>
      <c r="T110" s="13" t="str">
        <f t="shared" si="31"/>
        <v>BOTTLES</v>
      </c>
      <c r="U110" s="13" t="str">
        <f t="shared" si="32"/>
        <v>bottles</v>
      </c>
      <c r="V110" s="13">
        <f t="shared" si="33"/>
        <v>2</v>
      </c>
      <c r="W110" s="13" t="str">
        <f t="shared" si="34"/>
        <v>T053308 8</v>
      </c>
      <c r="X110" s="13" t="str">
        <f t="shared" si="35"/>
        <v>S55289</v>
      </c>
      <c r="Y110" s="13" t="str">
        <f t="shared" si="36"/>
        <v>T05</v>
      </c>
      <c r="Z110" s="13" t="str">
        <f t="shared" si="37"/>
        <v>308</v>
      </c>
      <c r="AA110" s="13">
        <f t="shared" si="38"/>
        <v>2</v>
      </c>
      <c r="AB110" s="13">
        <f t="shared" si="39"/>
        <v>7</v>
      </c>
      <c r="AC110" s="13"/>
      <c r="AD110" s="13"/>
      <c r="AE110" s="13"/>
    </row>
    <row r="111" spans="1:31" ht="30" x14ac:dyDescent="0.25">
      <c r="A111" s="9" t="s">
        <v>9</v>
      </c>
      <c r="B111" s="9" t="s">
        <v>548</v>
      </c>
      <c r="C111" s="9" t="s">
        <v>549</v>
      </c>
      <c r="D111" s="9" t="s">
        <v>550</v>
      </c>
      <c r="E111" s="9" t="s">
        <v>551</v>
      </c>
      <c r="F111" s="9">
        <v>1</v>
      </c>
      <c r="G111" s="9" t="s">
        <v>14</v>
      </c>
      <c r="H111" s="9">
        <v>13.5</v>
      </c>
      <c r="I111" s="13">
        <f t="shared" si="20"/>
        <v>13.5</v>
      </c>
      <c r="J111" s="13">
        <f t="shared" si="21"/>
        <v>483.5</v>
      </c>
      <c r="K111" s="13">
        <f t="shared" si="22"/>
        <v>483</v>
      </c>
      <c r="L111" s="13">
        <f t="shared" si="23"/>
        <v>2796</v>
      </c>
      <c r="M111" s="13">
        <f t="shared" si="24"/>
        <v>145</v>
      </c>
      <c r="N111" s="13" t="b">
        <f t="shared" si="25"/>
        <v>0</v>
      </c>
      <c r="O111" s="13" t="b">
        <f t="shared" si="26"/>
        <v>1</v>
      </c>
      <c r="P111" s="13" t="str">
        <f t="shared" si="27"/>
        <v>C000553-ct</v>
      </c>
      <c r="Q111" s="14" t="str">
        <f t="shared" si="28"/>
        <v>T078183
1</v>
      </c>
      <c r="R111" s="13" t="b">
        <f t="shared" si="29"/>
        <v>0</v>
      </c>
      <c r="S111" s="13" t="str">
        <f t="shared" si="30"/>
        <v>22</v>
      </c>
      <c r="T111" s="13" t="str">
        <f t="shared" si="31"/>
        <v>CT</v>
      </c>
      <c r="U111" s="13" t="str">
        <f t="shared" si="32"/>
        <v>ct</v>
      </c>
      <c r="V111" s="13">
        <f t="shared" si="33"/>
        <v>2</v>
      </c>
      <c r="W111" s="13" t="str">
        <f t="shared" si="34"/>
        <v>T078183 1</v>
      </c>
      <c r="X111" s="13" t="str">
        <f t="shared" si="35"/>
        <v>S55551</v>
      </c>
      <c r="Y111" s="13" t="str">
        <f t="shared" si="36"/>
        <v>T07</v>
      </c>
      <c r="Z111" s="13" t="str">
        <f t="shared" si="37"/>
        <v>183</v>
      </c>
      <c r="AA111" s="13">
        <f t="shared" si="38"/>
        <v>2</v>
      </c>
      <c r="AB111" s="13">
        <f t="shared" si="39"/>
        <v>2</v>
      </c>
      <c r="AC111" s="13"/>
      <c r="AD111" s="13"/>
      <c r="AE111" s="13"/>
    </row>
    <row r="112" spans="1:31" ht="30" x14ac:dyDescent="0.25">
      <c r="A112" s="9" t="s">
        <v>100</v>
      </c>
      <c r="B112" s="9" t="s">
        <v>552</v>
      </c>
      <c r="C112" s="9" t="s">
        <v>553</v>
      </c>
      <c r="D112" s="9" t="s">
        <v>512</v>
      </c>
      <c r="E112" s="9" t="s">
        <v>554</v>
      </c>
      <c r="F112" s="9">
        <v>3</v>
      </c>
      <c r="G112" s="9" t="s">
        <v>14</v>
      </c>
      <c r="H112" s="9">
        <v>16.5</v>
      </c>
      <c r="I112" s="13">
        <f t="shared" si="20"/>
        <v>49.5</v>
      </c>
      <c r="J112" s="13">
        <f t="shared" si="21"/>
        <v>376</v>
      </c>
      <c r="K112" s="13">
        <f t="shared" si="22"/>
        <v>376</v>
      </c>
      <c r="L112" s="13">
        <f t="shared" si="23"/>
        <v>2782.5</v>
      </c>
      <c r="M112" s="13">
        <f t="shared" si="24"/>
        <v>144</v>
      </c>
      <c r="N112" s="13" t="b">
        <f t="shared" si="25"/>
        <v>0</v>
      </c>
      <c r="O112" s="13" t="b">
        <f t="shared" si="26"/>
        <v>1</v>
      </c>
      <c r="P112" s="13" t="str">
        <f t="shared" si="27"/>
        <v>C008077-ct</v>
      </c>
      <c r="Q112" s="14" t="str">
        <f t="shared" si="28"/>
        <v>T023535
3</v>
      </c>
      <c r="R112" s="13" t="b">
        <f t="shared" si="29"/>
        <v>0</v>
      </c>
      <c r="S112" s="13" t="str">
        <f t="shared" si="30"/>
        <v>21</v>
      </c>
      <c r="T112" s="13" t="str">
        <f t="shared" si="31"/>
        <v>CT</v>
      </c>
      <c r="U112" s="13" t="str">
        <f t="shared" si="32"/>
        <v>ct</v>
      </c>
      <c r="V112" s="13">
        <f t="shared" si="33"/>
        <v>2</v>
      </c>
      <c r="W112" s="13" t="str">
        <f t="shared" si="34"/>
        <v>T023535 3</v>
      </c>
      <c r="X112" s="13" t="str">
        <f t="shared" si="35"/>
        <v>S55495</v>
      </c>
      <c r="Y112" s="13" t="str">
        <f t="shared" si="36"/>
        <v>T02</v>
      </c>
      <c r="Z112" s="13" t="str">
        <f t="shared" si="37"/>
        <v>535</v>
      </c>
      <c r="AA112" s="13">
        <f t="shared" si="38"/>
        <v>2</v>
      </c>
      <c r="AB112" s="13">
        <f t="shared" si="39"/>
        <v>2</v>
      </c>
      <c r="AC112" s="13"/>
      <c r="AD112" s="13"/>
      <c r="AE112" s="13"/>
    </row>
    <row r="113" spans="1:31" ht="30" x14ac:dyDescent="0.25">
      <c r="A113" s="9" t="s">
        <v>26</v>
      </c>
      <c r="B113" s="9" t="s">
        <v>555</v>
      </c>
      <c r="C113" s="9" t="s">
        <v>556</v>
      </c>
      <c r="D113" s="9" t="s">
        <v>557</v>
      </c>
      <c r="E113" s="9" t="s">
        <v>558</v>
      </c>
      <c r="F113" s="9">
        <v>3</v>
      </c>
      <c r="G113" s="9" t="s">
        <v>36</v>
      </c>
      <c r="H113" s="9">
        <v>8</v>
      </c>
      <c r="I113" s="13">
        <f t="shared" si="20"/>
        <v>24</v>
      </c>
      <c r="J113" s="13">
        <f t="shared" si="21"/>
        <v>453</v>
      </c>
      <c r="K113" s="13">
        <f t="shared" si="22"/>
        <v>451</v>
      </c>
      <c r="L113" s="13">
        <f t="shared" si="23"/>
        <v>1507</v>
      </c>
      <c r="M113" s="13">
        <f t="shared" si="24"/>
        <v>85</v>
      </c>
      <c r="N113" s="13" t="b">
        <f t="shared" si="25"/>
        <v>0</v>
      </c>
      <c r="O113" s="13" t="b">
        <f t="shared" si="26"/>
        <v>1</v>
      </c>
      <c r="P113" s="13" t="str">
        <f t="shared" si="27"/>
        <v>C005936-cans</v>
      </c>
      <c r="Q113" s="14" t="str">
        <f t="shared" si="28"/>
        <v>T057062
3</v>
      </c>
      <c r="R113" s="13" t="b">
        <f t="shared" si="29"/>
        <v>0</v>
      </c>
      <c r="S113" s="13" t="str">
        <f t="shared" si="30"/>
        <v>04</v>
      </c>
      <c r="T113" s="13" t="str">
        <f t="shared" si="31"/>
        <v>CANS</v>
      </c>
      <c r="U113" s="13" t="str">
        <f t="shared" si="32"/>
        <v>cans</v>
      </c>
      <c r="V113" s="13">
        <f t="shared" si="33"/>
        <v>2</v>
      </c>
      <c r="W113" s="13" t="str">
        <f t="shared" si="34"/>
        <v>T057062 3</v>
      </c>
      <c r="X113" s="13" t="str">
        <f t="shared" si="35"/>
        <v>S55429</v>
      </c>
      <c r="Y113" s="13" t="str">
        <f t="shared" si="36"/>
        <v>T05</v>
      </c>
      <c r="Z113" s="13" t="str">
        <f t="shared" si="37"/>
        <v>062</v>
      </c>
      <c r="AA113" s="13">
        <f t="shared" si="38"/>
        <v>2</v>
      </c>
      <c r="AB113" s="13">
        <f t="shared" si="39"/>
        <v>4</v>
      </c>
      <c r="AC113" s="13"/>
      <c r="AD113" s="13"/>
      <c r="AE113" s="13"/>
    </row>
    <row r="114" spans="1:31" ht="30" x14ac:dyDescent="0.25">
      <c r="A114" s="9" t="s">
        <v>532</v>
      </c>
      <c r="B114" s="9" t="s">
        <v>559</v>
      </c>
      <c r="C114" s="9" t="s">
        <v>560</v>
      </c>
      <c r="D114" s="9" t="s">
        <v>561</v>
      </c>
      <c r="E114" s="9" t="s">
        <v>562</v>
      </c>
      <c r="F114" s="9">
        <v>5</v>
      </c>
      <c r="G114" s="9" t="s">
        <v>68</v>
      </c>
      <c r="H114" s="9">
        <v>14</v>
      </c>
      <c r="I114" s="13">
        <f t="shared" si="20"/>
        <v>70</v>
      </c>
      <c r="J114" s="13">
        <f t="shared" si="21"/>
        <v>301.5</v>
      </c>
      <c r="K114" s="13">
        <f t="shared" si="22"/>
        <v>300</v>
      </c>
      <c r="L114" s="13">
        <f t="shared" si="23"/>
        <v>880</v>
      </c>
      <c r="M114" s="13">
        <f t="shared" si="24"/>
        <v>49</v>
      </c>
      <c r="N114" s="13" t="b">
        <f t="shared" si="25"/>
        <v>0</v>
      </c>
      <c r="O114" s="13" t="b">
        <f t="shared" si="26"/>
        <v>1</v>
      </c>
      <c r="P114" s="13" t="str">
        <f t="shared" si="27"/>
        <v>C000180-bottles</v>
      </c>
      <c r="Q114" s="14" t="str">
        <f t="shared" si="28"/>
        <v>T033556
5</v>
      </c>
      <c r="R114" s="13" t="b">
        <f t="shared" si="29"/>
        <v>0</v>
      </c>
      <c r="S114" s="13" t="str">
        <f t="shared" si="30"/>
        <v>08</v>
      </c>
      <c r="T114" s="13" t="str">
        <f t="shared" si="31"/>
        <v>BOTTLES</v>
      </c>
      <c r="U114" s="13" t="str">
        <f t="shared" si="32"/>
        <v>bottles</v>
      </c>
      <c r="V114" s="13">
        <f t="shared" si="33"/>
        <v>2</v>
      </c>
      <c r="W114" s="13" t="str">
        <f t="shared" si="34"/>
        <v>T033556 5</v>
      </c>
      <c r="X114" s="13" t="str">
        <f t="shared" si="35"/>
        <v>S55159</v>
      </c>
      <c r="Y114" s="13" t="str">
        <f t="shared" si="36"/>
        <v>T03</v>
      </c>
      <c r="Z114" s="13" t="str">
        <f t="shared" si="37"/>
        <v>556</v>
      </c>
      <c r="AA114" s="13">
        <f t="shared" si="38"/>
        <v>2</v>
      </c>
      <c r="AB114" s="13">
        <f t="shared" si="39"/>
        <v>7</v>
      </c>
      <c r="AC114" s="13"/>
      <c r="AD114" s="13"/>
      <c r="AE114" s="13"/>
    </row>
    <row r="115" spans="1:31" ht="30" x14ac:dyDescent="0.25">
      <c r="A115" s="9" t="s">
        <v>528</v>
      </c>
      <c r="B115" s="9" t="s">
        <v>563</v>
      </c>
      <c r="C115" s="9" t="s">
        <v>564</v>
      </c>
      <c r="D115" s="9" t="s">
        <v>565</v>
      </c>
      <c r="E115" s="9" t="s">
        <v>566</v>
      </c>
      <c r="F115" s="9">
        <v>10</v>
      </c>
      <c r="G115" s="9" t="s">
        <v>411</v>
      </c>
      <c r="H115" s="9">
        <v>19.5</v>
      </c>
      <c r="I115" s="13">
        <f t="shared" si="20"/>
        <v>195</v>
      </c>
      <c r="J115" s="13">
        <f t="shared" si="21"/>
        <v>53.5</v>
      </c>
      <c r="K115" s="13">
        <f t="shared" si="22"/>
        <v>53</v>
      </c>
      <c r="L115" s="13">
        <f t="shared" si="23"/>
        <v>220</v>
      </c>
      <c r="M115" s="13">
        <f t="shared" si="24"/>
        <v>11</v>
      </c>
      <c r="N115" s="13" t="b">
        <f t="shared" si="25"/>
        <v>0</v>
      </c>
      <c r="O115" s="13" t="b">
        <f t="shared" si="26"/>
        <v>1</v>
      </c>
      <c r="P115" s="13" t="str">
        <f t="shared" si="27"/>
        <v>C001090-pack</v>
      </c>
      <c r="Q115" s="14" t="str">
        <f t="shared" si="28"/>
        <v>T059539
10</v>
      </c>
      <c r="R115" s="13" t="b">
        <f t="shared" si="29"/>
        <v>0</v>
      </c>
      <c r="S115" s="13" t="str">
        <f t="shared" si="30"/>
        <v>25</v>
      </c>
      <c r="T115" s="13" t="str">
        <f t="shared" si="31"/>
        <v>PACK</v>
      </c>
      <c r="U115" s="13" t="str">
        <f t="shared" si="32"/>
        <v>pack</v>
      </c>
      <c r="V115" s="13">
        <f t="shared" si="33"/>
        <v>2</v>
      </c>
      <c r="W115" s="13" t="str">
        <f t="shared" si="34"/>
        <v>T059539 10</v>
      </c>
      <c r="X115" s="13" t="str">
        <f t="shared" si="35"/>
        <v>S55133</v>
      </c>
      <c r="Y115" s="13" t="str">
        <f t="shared" si="36"/>
        <v>T05</v>
      </c>
      <c r="Z115" s="13" t="str">
        <f t="shared" si="37"/>
        <v>539</v>
      </c>
      <c r="AA115" s="13">
        <f t="shared" si="38"/>
        <v>2</v>
      </c>
      <c r="AB115" s="13">
        <f t="shared" si="39"/>
        <v>4</v>
      </c>
      <c r="AC115" s="13"/>
      <c r="AD115" s="13"/>
      <c r="AE115" s="13"/>
    </row>
    <row r="116" spans="1:31" ht="30" x14ac:dyDescent="0.25">
      <c r="A116" s="9" t="s">
        <v>146</v>
      </c>
      <c r="B116" s="9" t="s">
        <v>567</v>
      </c>
      <c r="C116" s="9" t="s">
        <v>568</v>
      </c>
      <c r="D116" s="9" t="s">
        <v>252</v>
      </c>
      <c r="E116" s="9" t="s">
        <v>569</v>
      </c>
      <c r="F116" s="9">
        <v>11</v>
      </c>
      <c r="G116" s="9" t="s">
        <v>254</v>
      </c>
      <c r="H116" s="9">
        <v>12</v>
      </c>
      <c r="I116" s="13">
        <f t="shared" si="20"/>
        <v>132</v>
      </c>
      <c r="J116" s="13">
        <f t="shared" si="21"/>
        <v>139.5</v>
      </c>
      <c r="K116" s="13">
        <f t="shared" si="22"/>
        <v>137</v>
      </c>
      <c r="L116" s="13">
        <f t="shared" si="23"/>
        <v>36</v>
      </c>
      <c r="M116" s="13">
        <f t="shared" si="24"/>
        <v>3</v>
      </c>
      <c r="N116" s="13" t="b">
        <f t="shared" si="25"/>
        <v>0</v>
      </c>
      <c r="O116" s="13" t="b">
        <f t="shared" si="26"/>
        <v>1</v>
      </c>
      <c r="P116" s="13" t="str">
        <f t="shared" si="27"/>
        <v>C006813-tins</v>
      </c>
      <c r="Q116" s="14" t="str">
        <f t="shared" si="28"/>
        <v>T067589
11</v>
      </c>
      <c r="R116" s="13" t="b">
        <f t="shared" si="29"/>
        <v>0</v>
      </c>
      <c r="S116" s="13" t="str">
        <f t="shared" si="30"/>
        <v>23</v>
      </c>
      <c r="T116" s="13" t="str">
        <f t="shared" si="31"/>
        <v>TINS</v>
      </c>
      <c r="U116" s="13" t="str">
        <f t="shared" si="32"/>
        <v>tins</v>
      </c>
      <c r="V116" s="13">
        <f t="shared" si="33"/>
        <v>2</v>
      </c>
      <c r="W116" s="13" t="str">
        <f t="shared" si="34"/>
        <v>T067589 11</v>
      </c>
      <c r="X116" s="13" t="str">
        <f t="shared" si="35"/>
        <v>S55755</v>
      </c>
      <c r="Y116" s="13" t="str">
        <f t="shared" si="36"/>
        <v>T06</v>
      </c>
      <c r="Z116" s="13" t="str">
        <f t="shared" si="37"/>
        <v>589</v>
      </c>
      <c r="AA116" s="13">
        <f t="shared" si="38"/>
        <v>2</v>
      </c>
      <c r="AB116" s="13">
        <f t="shared" si="39"/>
        <v>4</v>
      </c>
      <c r="AC116" s="13"/>
      <c r="AD116" s="13"/>
      <c r="AE116" s="13"/>
    </row>
    <row r="117" spans="1:31" ht="30" x14ac:dyDescent="0.25">
      <c r="A117" s="9" t="s">
        <v>91</v>
      </c>
      <c r="B117" s="9" t="s">
        <v>570</v>
      </c>
      <c r="C117" s="9" t="s">
        <v>571</v>
      </c>
      <c r="D117" s="9" t="s">
        <v>572</v>
      </c>
      <c r="E117" s="9" t="s">
        <v>573</v>
      </c>
      <c r="F117" s="9">
        <v>3</v>
      </c>
      <c r="G117" s="9" t="s">
        <v>68</v>
      </c>
      <c r="H117" s="9">
        <v>18</v>
      </c>
      <c r="I117" s="13">
        <f t="shared" si="20"/>
        <v>54</v>
      </c>
      <c r="J117" s="13">
        <f t="shared" si="21"/>
        <v>366.5</v>
      </c>
      <c r="K117" s="13">
        <f t="shared" si="22"/>
        <v>365</v>
      </c>
      <c r="L117" s="13">
        <f t="shared" si="23"/>
        <v>866</v>
      </c>
      <c r="M117" s="13">
        <f t="shared" si="24"/>
        <v>48</v>
      </c>
      <c r="N117" s="13" t="b">
        <f t="shared" si="25"/>
        <v>0</v>
      </c>
      <c r="O117" s="13" t="b">
        <f t="shared" si="26"/>
        <v>1</v>
      </c>
      <c r="P117" s="13" t="str">
        <f t="shared" si="27"/>
        <v>C007874-bottles</v>
      </c>
      <c r="Q117" s="14" t="str">
        <f t="shared" si="28"/>
        <v>T096180
3</v>
      </c>
      <c r="R117" s="13" t="b">
        <f t="shared" si="29"/>
        <v>0</v>
      </c>
      <c r="S117" s="13" t="str">
        <f t="shared" si="30"/>
        <v>08</v>
      </c>
      <c r="T117" s="13" t="str">
        <f t="shared" si="31"/>
        <v>BOTTLES</v>
      </c>
      <c r="U117" s="13" t="str">
        <f t="shared" si="32"/>
        <v>bottles</v>
      </c>
      <c r="V117" s="13">
        <f t="shared" si="33"/>
        <v>2</v>
      </c>
      <c r="W117" s="13" t="str">
        <f t="shared" si="34"/>
        <v>T096180 3</v>
      </c>
      <c r="X117" s="13" t="str">
        <f t="shared" si="35"/>
        <v>S55753</v>
      </c>
      <c r="Y117" s="13" t="str">
        <f t="shared" si="36"/>
        <v>T09</v>
      </c>
      <c r="Z117" s="13" t="str">
        <f t="shared" si="37"/>
        <v>180</v>
      </c>
      <c r="AA117" s="13">
        <f t="shared" si="38"/>
        <v>2</v>
      </c>
      <c r="AB117" s="13">
        <f t="shared" si="39"/>
        <v>7</v>
      </c>
      <c r="AC117" s="13"/>
      <c r="AD117" s="13"/>
      <c r="AE117" s="13"/>
    </row>
    <row r="118" spans="1:31" ht="30" x14ac:dyDescent="0.25">
      <c r="A118" s="9" t="s">
        <v>116</v>
      </c>
      <c r="B118" s="9" t="s">
        <v>574</v>
      </c>
      <c r="C118" s="9" t="s">
        <v>575</v>
      </c>
      <c r="D118" s="9" t="s">
        <v>576</v>
      </c>
      <c r="E118" s="9" t="s">
        <v>577</v>
      </c>
      <c r="F118" s="9">
        <v>11</v>
      </c>
      <c r="G118" s="9" t="s">
        <v>68</v>
      </c>
      <c r="H118" s="9">
        <v>20</v>
      </c>
      <c r="I118" s="13">
        <f t="shared" si="20"/>
        <v>220</v>
      </c>
      <c r="J118" s="13">
        <f t="shared" si="21"/>
        <v>35</v>
      </c>
      <c r="K118" s="13">
        <f t="shared" si="22"/>
        <v>34</v>
      </c>
      <c r="L118" s="13">
        <f t="shared" si="23"/>
        <v>848</v>
      </c>
      <c r="M118" s="13">
        <f t="shared" si="24"/>
        <v>47</v>
      </c>
      <c r="N118" s="13" t="b">
        <f t="shared" si="25"/>
        <v>0</v>
      </c>
      <c r="O118" s="13" t="b">
        <f t="shared" si="26"/>
        <v>1</v>
      </c>
      <c r="P118" s="13" t="str">
        <f t="shared" si="27"/>
        <v>C007479-bottles</v>
      </c>
      <c r="Q118" s="14" t="str">
        <f t="shared" si="28"/>
        <v>T054398
11</v>
      </c>
      <c r="R118" s="13" t="b">
        <f t="shared" si="29"/>
        <v>0</v>
      </c>
      <c r="S118" s="13" t="str">
        <f t="shared" si="30"/>
        <v>09</v>
      </c>
      <c r="T118" s="13" t="str">
        <f t="shared" si="31"/>
        <v>BOTTLES</v>
      </c>
      <c r="U118" s="13" t="str">
        <f t="shared" si="32"/>
        <v>bottles</v>
      </c>
      <c r="V118" s="13">
        <f t="shared" si="33"/>
        <v>2</v>
      </c>
      <c r="W118" s="13" t="str">
        <f t="shared" si="34"/>
        <v>T054398 11</v>
      </c>
      <c r="X118" s="13" t="str">
        <f t="shared" si="35"/>
        <v>S55535</v>
      </c>
      <c r="Y118" s="13" t="str">
        <f t="shared" si="36"/>
        <v>T05</v>
      </c>
      <c r="Z118" s="13" t="str">
        <f t="shared" si="37"/>
        <v>398</v>
      </c>
      <c r="AA118" s="13">
        <f t="shared" si="38"/>
        <v>2</v>
      </c>
      <c r="AB118" s="13">
        <f t="shared" si="39"/>
        <v>7</v>
      </c>
      <c r="AC118" s="13"/>
      <c r="AD118" s="13"/>
      <c r="AE118" s="13"/>
    </row>
    <row r="119" spans="1:31" ht="30" x14ac:dyDescent="0.25">
      <c r="A119" s="9" t="s">
        <v>177</v>
      </c>
      <c r="B119" s="9" t="s">
        <v>578</v>
      </c>
      <c r="C119" s="9" t="s">
        <v>579</v>
      </c>
      <c r="D119" s="9" t="s">
        <v>526</v>
      </c>
      <c r="E119" s="9" t="s">
        <v>580</v>
      </c>
      <c r="F119" s="9">
        <v>7</v>
      </c>
      <c r="G119" s="9" t="s">
        <v>14</v>
      </c>
      <c r="H119" s="9">
        <v>20</v>
      </c>
      <c r="I119" s="13">
        <f t="shared" si="20"/>
        <v>140</v>
      </c>
      <c r="J119" s="13">
        <f t="shared" si="21"/>
        <v>125</v>
      </c>
      <c r="K119" s="13">
        <f t="shared" si="22"/>
        <v>124</v>
      </c>
      <c r="L119" s="13">
        <f t="shared" si="23"/>
        <v>2766</v>
      </c>
      <c r="M119" s="13">
        <f t="shared" si="24"/>
        <v>143</v>
      </c>
      <c r="N119" s="13" t="b">
        <f t="shared" si="25"/>
        <v>0</v>
      </c>
      <c r="O119" s="13" t="b">
        <f t="shared" si="26"/>
        <v>1</v>
      </c>
      <c r="P119" s="13" t="str">
        <f t="shared" si="27"/>
        <v>C005106-ct</v>
      </c>
      <c r="Q119" s="14" t="str">
        <f t="shared" si="28"/>
        <v>T046729
7</v>
      </c>
      <c r="R119" s="13" t="b">
        <f t="shared" si="29"/>
        <v>0</v>
      </c>
      <c r="S119" s="13" t="str">
        <f t="shared" si="30"/>
        <v>14</v>
      </c>
      <c r="T119" s="13" t="str">
        <f t="shared" si="31"/>
        <v>CT</v>
      </c>
      <c r="U119" s="13" t="str">
        <f t="shared" si="32"/>
        <v>ct</v>
      </c>
      <c r="V119" s="13">
        <f t="shared" si="33"/>
        <v>2</v>
      </c>
      <c r="W119" s="13" t="str">
        <f t="shared" si="34"/>
        <v>T046729 7</v>
      </c>
      <c r="X119" s="13" t="str">
        <f t="shared" si="35"/>
        <v>S55447</v>
      </c>
      <c r="Y119" s="13" t="str">
        <f t="shared" si="36"/>
        <v>T04</v>
      </c>
      <c r="Z119" s="13" t="str">
        <f t="shared" si="37"/>
        <v>729</v>
      </c>
      <c r="AA119" s="13">
        <f t="shared" si="38"/>
        <v>2</v>
      </c>
      <c r="AB119" s="13">
        <f t="shared" si="39"/>
        <v>2</v>
      </c>
      <c r="AC119" s="13"/>
      <c r="AD119" s="13"/>
      <c r="AE119" s="13"/>
    </row>
    <row r="120" spans="1:31" ht="30" x14ac:dyDescent="0.25">
      <c r="A120" s="9" t="s">
        <v>110</v>
      </c>
      <c r="B120" s="9" t="s">
        <v>581</v>
      </c>
      <c r="C120" s="9" t="s">
        <v>582</v>
      </c>
      <c r="D120" s="9" t="s">
        <v>583</v>
      </c>
      <c r="E120" s="9" t="s">
        <v>584</v>
      </c>
      <c r="F120" s="9">
        <v>2</v>
      </c>
      <c r="G120" s="9" t="s">
        <v>411</v>
      </c>
      <c r="H120" s="9">
        <v>20</v>
      </c>
      <c r="I120" s="13">
        <f t="shared" si="20"/>
        <v>40</v>
      </c>
      <c r="J120" s="13">
        <f t="shared" si="21"/>
        <v>412.5</v>
      </c>
      <c r="K120" s="13">
        <f t="shared" si="22"/>
        <v>411</v>
      </c>
      <c r="L120" s="13">
        <f t="shared" si="23"/>
        <v>200.5</v>
      </c>
      <c r="M120" s="13">
        <f t="shared" si="24"/>
        <v>10</v>
      </c>
      <c r="N120" s="13" t="b">
        <f t="shared" si="25"/>
        <v>0</v>
      </c>
      <c r="O120" s="13" t="b">
        <f t="shared" si="26"/>
        <v>1</v>
      </c>
      <c r="P120" s="13" t="str">
        <f t="shared" si="27"/>
        <v>C007116-pack</v>
      </c>
      <c r="Q120" s="14" t="str">
        <f t="shared" si="28"/>
        <v>T07168
2</v>
      </c>
      <c r="R120" s="13" t="b">
        <f t="shared" si="29"/>
        <v>0</v>
      </c>
      <c r="S120" s="13" t="str">
        <f t="shared" si="30"/>
        <v>25</v>
      </c>
      <c r="T120" s="13" t="str">
        <f t="shared" si="31"/>
        <v>PACK</v>
      </c>
      <c r="U120" s="13" t="str">
        <f t="shared" si="32"/>
        <v>pack</v>
      </c>
      <c r="V120" s="13">
        <f t="shared" si="33"/>
        <v>2</v>
      </c>
      <c r="W120" s="13" t="str">
        <f t="shared" si="34"/>
        <v>T07168 2</v>
      </c>
      <c r="X120" s="13" t="str">
        <f t="shared" si="35"/>
        <v>S55414</v>
      </c>
      <c r="Y120" s="13" t="str">
        <f t="shared" si="36"/>
        <v>T07</v>
      </c>
      <c r="Z120" s="13" t="str">
        <f t="shared" si="37"/>
        <v>168</v>
      </c>
      <c r="AA120" s="13">
        <f t="shared" si="38"/>
        <v>2</v>
      </c>
      <c r="AB120" s="13">
        <f t="shared" si="39"/>
        <v>4</v>
      </c>
      <c r="AC120" s="13"/>
      <c r="AD120" s="13"/>
      <c r="AE120" s="13"/>
    </row>
    <row r="121" spans="1:31" ht="30" x14ac:dyDescent="0.25">
      <c r="A121" s="9" t="s">
        <v>249</v>
      </c>
      <c r="B121" s="9" t="s">
        <v>585</v>
      </c>
      <c r="C121" s="9" t="s">
        <v>586</v>
      </c>
      <c r="D121" s="9" t="s">
        <v>587</v>
      </c>
      <c r="E121" s="9" t="s">
        <v>588</v>
      </c>
      <c r="F121" s="9">
        <v>8</v>
      </c>
      <c r="G121" s="9" t="s">
        <v>14</v>
      </c>
      <c r="H121" s="9">
        <v>22</v>
      </c>
      <c r="I121" s="13">
        <f t="shared" si="20"/>
        <v>176</v>
      </c>
      <c r="J121" s="13">
        <f t="shared" si="21"/>
        <v>67</v>
      </c>
      <c r="K121" s="13">
        <f t="shared" si="22"/>
        <v>65</v>
      </c>
      <c r="L121" s="13">
        <f t="shared" si="23"/>
        <v>2746</v>
      </c>
      <c r="M121" s="13">
        <f t="shared" si="24"/>
        <v>142</v>
      </c>
      <c r="N121" s="13" t="b">
        <f t="shared" si="25"/>
        <v>1</v>
      </c>
      <c r="O121" s="13" t="b">
        <f t="shared" si="26"/>
        <v>1</v>
      </c>
      <c r="P121" s="13" t="str">
        <f t="shared" si="27"/>
        <v>C003706-ct</v>
      </c>
      <c r="Q121" s="14" t="str">
        <f t="shared" si="28"/>
        <v>T022229
8</v>
      </c>
      <c r="R121" s="13" t="b">
        <f t="shared" si="29"/>
        <v>0</v>
      </c>
      <c r="S121" s="13" t="str">
        <f t="shared" si="30"/>
        <v>21</v>
      </c>
      <c r="T121" s="13" t="str">
        <f t="shared" si="31"/>
        <v>CT</v>
      </c>
      <c r="U121" s="13" t="str">
        <f t="shared" si="32"/>
        <v>ct</v>
      </c>
      <c r="V121" s="13">
        <f t="shared" si="33"/>
        <v>2</v>
      </c>
      <c r="W121" s="13" t="str">
        <f t="shared" si="34"/>
        <v>T022229 8</v>
      </c>
      <c r="X121" s="13" t="str">
        <f t="shared" si="35"/>
        <v>S55445</v>
      </c>
      <c r="Y121" s="13" t="str">
        <f t="shared" si="36"/>
        <v>T02</v>
      </c>
      <c r="Z121" s="13" t="str">
        <f t="shared" si="37"/>
        <v>229</v>
      </c>
      <c r="AA121" s="13">
        <f t="shared" si="38"/>
        <v>2</v>
      </c>
      <c r="AB121" s="13">
        <f t="shared" si="39"/>
        <v>2</v>
      </c>
      <c r="AC121" s="13"/>
      <c r="AD121" s="13"/>
      <c r="AE121" s="13"/>
    </row>
    <row r="122" spans="1:31" ht="30" x14ac:dyDescent="0.25">
      <c r="A122" s="9" t="s">
        <v>74</v>
      </c>
      <c r="B122" s="9" t="s">
        <v>589</v>
      </c>
      <c r="C122" s="9" t="s">
        <v>590</v>
      </c>
      <c r="D122" s="9" t="s">
        <v>591</v>
      </c>
      <c r="E122" s="9" t="s">
        <v>569</v>
      </c>
      <c r="F122" s="9">
        <v>11</v>
      </c>
      <c r="G122" s="9" t="s">
        <v>14</v>
      </c>
      <c r="H122" s="9">
        <v>12</v>
      </c>
      <c r="I122" s="13">
        <f t="shared" si="20"/>
        <v>132</v>
      </c>
      <c r="J122" s="13">
        <f t="shared" si="21"/>
        <v>139.5</v>
      </c>
      <c r="K122" s="13">
        <f t="shared" si="22"/>
        <v>137</v>
      </c>
      <c r="L122" s="13">
        <f t="shared" si="23"/>
        <v>2724</v>
      </c>
      <c r="M122" s="13">
        <f t="shared" si="24"/>
        <v>141</v>
      </c>
      <c r="N122" s="13" t="b">
        <f t="shared" si="25"/>
        <v>0</v>
      </c>
      <c r="O122" s="13" t="b">
        <f t="shared" si="26"/>
        <v>1</v>
      </c>
      <c r="P122" s="13" t="str">
        <f t="shared" si="27"/>
        <v>C004751-ct</v>
      </c>
      <c r="Q122" s="14" t="str">
        <f t="shared" si="28"/>
        <v>T060647
11</v>
      </c>
      <c r="R122" s="13" t="b">
        <f t="shared" si="29"/>
        <v>0</v>
      </c>
      <c r="S122" s="13" t="str">
        <f t="shared" si="30"/>
        <v>23</v>
      </c>
      <c r="T122" s="13" t="str">
        <f t="shared" si="31"/>
        <v>CT</v>
      </c>
      <c r="U122" s="13" t="str">
        <f t="shared" si="32"/>
        <v>ct</v>
      </c>
      <c r="V122" s="13">
        <f t="shared" si="33"/>
        <v>2</v>
      </c>
      <c r="W122" s="13" t="str">
        <f t="shared" si="34"/>
        <v>T060647 11</v>
      </c>
      <c r="X122" s="13" t="str">
        <f t="shared" si="35"/>
        <v>S55755</v>
      </c>
      <c r="Y122" s="13" t="str">
        <f t="shared" si="36"/>
        <v>T06</v>
      </c>
      <c r="Z122" s="13" t="str">
        <f t="shared" si="37"/>
        <v>647</v>
      </c>
      <c r="AA122" s="13">
        <f t="shared" si="38"/>
        <v>2</v>
      </c>
      <c r="AB122" s="13">
        <f t="shared" si="39"/>
        <v>2</v>
      </c>
      <c r="AC122" s="13"/>
      <c r="AD122" s="13"/>
      <c r="AE122" s="13"/>
    </row>
    <row r="123" spans="1:31" ht="30" x14ac:dyDescent="0.25">
      <c r="A123" s="9" t="s">
        <v>233</v>
      </c>
      <c r="B123" s="9" t="s">
        <v>592</v>
      </c>
      <c r="C123" s="9" t="s">
        <v>593</v>
      </c>
      <c r="D123" s="9" t="s">
        <v>594</v>
      </c>
      <c r="E123" s="9" t="s">
        <v>380</v>
      </c>
      <c r="F123" s="9">
        <v>11</v>
      </c>
      <c r="G123" s="9" t="s">
        <v>14</v>
      </c>
      <c r="H123" s="9">
        <v>14</v>
      </c>
      <c r="I123" s="13">
        <f t="shared" si="20"/>
        <v>154</v>
      </c>
      <c r="J123" s="13">
        <f t="shared" si="21"/>
        <v>100.5</v>
      </c>
      <c r="K123" s="13">
        <f t="shared" si="22"/>
        <v>99</v>
      </c>
      <c r="L123" s="13">
        <f t="shared" si="23"/>
        <v>2712</v>
      </c>
      <c r="M123" s="13">
        <f t="shared" si="24"/>
        <v>140</v>
      </c>
      <c r="N123" s="13" t="b">
        <f t="shared" si="25"/>
        <v>0</v>
      </c>
      <c r="O123" s="13" t="b">
        <f t="shared" si="26"/>
        <v>1</v>
      </c>
      <c r="P123" s="13" t="str">
        <f t="shared" si="27"/>
        <v>C002036-ct</v>
      </c>
      <c r="Q123" s="14" t="str">
        <f t="shared" si="28"/>
        <v>T046246
11</v>
      </c>
      <c r="R123" s="13" t="b">
        <f t="shared" si="29"/>
        <v>0</v>
      </c>
      <c r="S123" s="13" t="str">
        <f t="shared" si="30"/>
        <v>22</v>
      </c>
      <c r="T123" s="13" t="str">
        <f t="shared" si="31"/>
        <v>CT</v>
      </c>
      <c r="U123" s="13" t="str">
        <f t="shared" si="32"/>
        <v>ct</v>
      </c>
      <c r="V123" s="13">
        <f t="shared" si="33"/>
        <v>2</v>
      </c>
      <c r="W123" s="13" t="str">
        <f t="shared" si="34"/>
        <v>T046246 11</v>
      </c>
      <c r="X123" s="13" t="str">
        <f t="shared" si="35"/>
        <v>S55378</v>
      </c>
      <c r="Y123" s="13" t="str">
        <f t="shared" si="36"/>
        <v>T04</v>
      </c>
      <c r="Z123" s="13" t="str">
        <f t="shared" si="37"/>
        <v>246</v>
      </c>
      <c r="AA123" s="13">
        <f t="shared" si="38"/>
        <v>2</v>
      </c>
      <c r="AB123" s="13">
        <f t="shared" si="39"/>
        <v>2</v>
      </c>
      <c r="AC123" s="13"/>
      <c r="AD123" s="13"/>
      <c r="AE123" s="13"/>
    </row>
    <row r="124" spans="1:31" ht="30" x14ac:dyDescent="0.25">
      <c r="A124" s="9" t="s">
        <v>31</v>
      </c>
      <c r="B124" s="9" t="s">
        <v>595</v>
      </c>
      <c r="C124" s="9" t="s">
        <v>596</v>
      </c>
      <c r="D124" s="9" t="s">
        <v>597</v>
      </c>
      <c r="E124" s="9" t="s">
        <v>598</v>
      </c>
      <c r="F124" s="9">
        <v>10</v>
      </c>
      <c r="G124" s="9" t="s">
        <v>115</v>
      </c>
      <c r="H124" s="9">
        <v>16</v>
      </c>
      <c r="I124" s="13">
        <f t="shared" si="20"/>
        <v>160</v>
      </c>
      <c r="J124" s="13">
        <f t="shared" si="21"/>
        <v>90.5</v>
      </c>
      <c r="K124" s="13">
        <f t="shared" si="22"/>
        <v>84</v>
      </c>
      <c r="L124" s="13">
        <f t="shared" si="23"/>
        <v>418</v>
      </c>
      <c r="M124" s="13">
        <f t="shared" si="24"/>
        <v>25</v>
      </c>
      <c r="N124" s="13" t="b">
        <f t="shared" si="25"/>
        <v>0</v>
      </c>
      <c r="O124" s="13" t="b">
        <f t="shared" si="26"/>
        <v>1</v>
      </c>
      <c r="P124" s="13" t="str">
        <f t="shared" si="27"/>
        <v>C004365-bags</v>
      </c>
      <c r="Q124" s="14" t="str">
        <f t="shared" si="28"/>
        <v>T097325
10</v>
      </c>
      <c r="R124" s="13" t="b">
        <f t="shared" si="29"/>
        <v>0</v>
      </c>
      <c r="S124" s="13" t="str">
        <f t="shared" si="30"/>
        <v>15</v>
      </c>
      <c r="T124" s="13" t="str">
        <f t="shared" si="31"/>
        <v>BAGS</v>
      </c>
      <c r="U124" s="13" t="str">
        <f t="shared" si="32"/>
        <v>bags</v>
      </c>
      <c r="V124" s="13">
        <f t="shared" si="33"/>
        <v>2</v>
      </c>
      <c r="W124" s="13" t="str">
        <f t="shared" si="34"/>
        <v>T097325 10</v>
      </c>
      <c r="X124" s="13" t="str">
        <f t="shared" si="35"/>
        <v>S55555</v>
      </c>
      <c r="Y124" s="13" t="str">
        <f t="shared" si="36"/>
        <v>T09</v>
      </c>
      <c r="Z124" s="13" t="str">
        <f t="shared" si="37"/>
        <v>325</v>
      </c>
      <c r="AA124" s="13">
        <f t="shared" si="38"/>
        <v>2</v>
      </c>
      <c r="AB124" s="13">
        <f t="shared" si="39"/>
        <v>4</v>
      </c>
      <c r="AC124" s="13"/>
      <c r="AD124" s="13"/>
      <c r="AE124" s="13"/>
    </row>
    <row r="125" spans="1:31" ht="30" x14ac:dyDescent="0.25">
      <c r="A125" s="9" t="s">
        <v>26</v>
      </c>
      <c r="B125" s="9" t="s">
        <v>599</v>
      </c>
      <c r="C125" s="9" t="s">
        <v>600</v>
      </c>
      <c r="D125" s="9" t="s">
        <v>601</v>
      </c>
      <c r="E125" s="9" t="s">
        <v>602</v>
      </c>
      <c r="F125" s="9">
        <v>8</v>
      </c>
      <c r="G125" s="9" t="s">
        <v>14</v>
      </c>
      <c r="H125" s="9">
        <v>19</v>
      </c>
      <c r="I125" s="13">
        <f t="shared" si="20"/>
        <v>152</v>
      </c>
      <c r="J125" s="13">
        <f t="shared" si="21"/>
        <v>109</v>
      </c>
      <c r="K125" s="13">
        <f t="shared" si="22"/>
        <v>109</v>
      </c>
      <c r="L125" s="13">
        <f t="shared" si="23"/>
        <v>2698</v>
      </c>
      <c r="M125" s="13">
        <f t="shared" si="24"/>
        <v>139</v>
      </c>
      <c r="N125" s="13" t="b">
        <f t="shared" si="25"/>
        <v>0</v>
      </c>
      <c r="O125" s="13" t="b">
        <f t="shared" si="26"/>
        <v>1</v>
      </c>
      <c r="P125" s="13" t="str">
        <f t="shared" si="27"/>
        <v>C004483-ct</v>
      </c>
      <c r="Q125" s="14" t="str">
        <f t="shared" si="28"/>
        <v>T01568
8</v>
      </c>
      <c r="R125" s="13" t="b">
        <f t="shared" si="29"/>
        <v>0</v>
      </c>
      <c r="S125" s="13" t="str">
        <f t="shared" si="30"/>
        <v>18</v>
      </c>
      <c r="T125" s="13" t="str">
        <f t="shared" si="31"/>
        <v>CT</v>
      </c>
      <c r="U125" s="13" t="str">
        <f t="shared" si="32"/>
        <v>ct</v>
      </c>
      <c r="V125" s="13">
        <f t="shared" si="33"/>
        <v>2</v>
      </c>
      <c r="W125" s="13" t="str">
        <f t="shared" si="34"/>
        <v>T01568 8</v>
      </c>
      <c r="X125" s="13" t="str">
        <f t="shared" si="35"/>
        <v>S55545</v>
      </c>
      <c r="Y125" s="13" t="str">
        <f t="shared" si="36"/>
        <v>T01</v>
      </c>
      <c r="Z125" s="13" t="str">
        <f t="shared" si="37"/>
        <v>568</v>
      </c>
      <c r="AA125" s="13">
        <f t="shared" si="38"/>
        <v>2</v>
      </c>
      <c r="AB125" s="13">
        <f t="shared" si="39"/>
        <v>2</v>
      </c>
      <c r="AC125" s="13"/>
      <c r="AD125" s="13"/>
      <c r="AE125" s="13"/>
    </row>
    <row r="126" spans="1:31" ht="30" x14ac:dyDescent="0.25">
      <c r="A126" s="9" t="s">
        <v>15</v>
      </c>
      <c r="B126" s="9" t="s">
        <v>603</v>
      </c>
      <c r="C126" s="9" t="s">
        <v>604</v>
      </c>
      <c r="D126" s="9" t="s">
        <v>605</v>
      </c>
      <c r="E126" s="9" t="s">
        <v>606</v>
      </c>
      <c r="F126" s="9">
        <v>11</v>
      </c>
      <c r="G126" s="9" t="s">
        <v>187</v>
      </c>
      <c r="H126" s="9">
        <v>16</v>
      </c>
      <c r="I126" s="13">
        <f t="shared" si="20"/>
        <v>176</v>
      </c>
      <c r="J126" s="13">
        <f t="shared" si="21"/>
        <v>67</v>
      </c>
      <c r="K126" s="13">
        <f t="shared" si="22"/>
        <v>65</v>
      </c>
      <c r="L126" s="13">
        <f t="shared" si="23"/>
        <v>93</v>
      </c>
      <c r="M126" s="13">
        <f t="shared" si="24"/>
        <v>6</v>
      </c>
      <c r="N126" s="13" t="b">
        <f t="shared" si="25"/>
        <v>0</v>
      </c>
      <c r="O126" s="13" t="b">
        <f t="shared" si="26"/>
        <v>1</v>
      </c>
      <c r="P126" s="13" t="str">
        <f t="shared" si="27"/>
        <v>C001600-tubs</v>
      </c>
      <c r="Q126" s="14" t="str">
        <f t="shared" si="28"/>
        <v>T073347
11</v>
      </c>
      <c r="R126" s="13" t="b">
        <f t="shared" si="29"/>
        <v>0</v>
      </c>
      <c r="S126" s="13" t="str">
        <f t="shared" si="30"/>
        <v>10</v>
      </c>
      <c r="T126" s="13" t="str">
        <f t="shared" si="31"/>
        <v>TUBS</v>
      </c>
      <c r="U126" s="13" t="str">
        <f t="shared" si="32"/>
        <v>tubs</v>
      </c>
      <c r="V126" s="13">
        <f t="shared" si="33"/>
        <v>2</v>
      </c>
      <c r="W126" s="13" t="str">
        <f t="shared" si="34"/>
        <v>T073347 11</v>
      </c>
      <c r="X126" s="13" t="str">
        <f t="shared" si="35"/>
        <v>S55469</v>
      </c>
      <c r="Y126" s="13" t="str">
        <f t="shared" si="36"/>
        <v>T07</v>
      </c>
      <c r="Z126" s="13" t="str">
        <f t="shared" si="37"/>
        <v>347</v>
      </c>
      <c r="AA126" s="13">
        <f t="shared" si="38"/>
        <v>2</v>
      </c>
      <c r="AB126" s="13">
        <f t="shared" si="39"/>
        <v>4</v>
      </c>
      <c r="AC126" s="13"/>
      <c r="AD126" s="13"/>
      <c r="AE126" s="13"/>
    </row>
    <row r="127" spans="1:31" ht="30" x14ac:dyDescent="0.25">
      <c r="A127" s="9" t="s">
        <v>105</v>
      </c>
      <c r="B127" s="9" t="s">
        <v>607</v>
      </c>
      <c r="C127" s="9" t="s">
        <v>608</v>
      </c>
      <c r="D127" s="9" t="s">
        <v>609</v>
      </c>
      <c r="E127" s="9" t="s">
        <v>577</v>
      </c>
      <c r="F127" s="9">
        <v>11</v>
      </c>
      <c r="G127" s="9" t="s">
        <v>36</v>
      </c>
      <c r="H127" s="9">
        <v>40</v>
      </c>
      <c r="I127" s="13">
        <f t="shared" si="20"/>
        <v>440</v>
      </c>
      <c r="J127" s="13">
        <f t="shared" si="21"/>
        <v>3.5</v>
      </c>
      <c r="K127" s="13">
        <f t="shared" si="22"/>
        <v>2</v>
      </c>
      <c r="L127" s="13">
        <f t="shared" si="23"/>
        <v>1499</v>
      </c>
      <c r="M127" s="13">
        <f t="shared" si="24"/>
        <v>84</v>
      </c>
      <c r="N127" s="13" t="b">
        <f t="shared" si="25"/>
        <v>1</v>
      </c>
      <c r="O127" s="13" t="b">
        <f t="shared" si="26"/>
        <v>1</v>
      </c>
      <c r="P127" s="13" t="str">
        <f t="shared" si="27"/>
        <v>C006222-cans</v>
      </c>
      <c r="Q127" s="14" t="str">
        <f t="shared" si="28"/>
        <v>T035980
11</v>
      </c>
      <c r="R127" s="13" t="b">
        <f t="shared" si="29"/>
        <v>0</v>
      </c>
      <c r="S127" s="13" t="str">
        <f t="shared" si="30"/>
        <v>06</v>
      </c>
      <c r="T127" s="13" t="str">
        <f t="shared" si="31"/>
        <v>CANS</v>
      </c>
      <c r="U127" s="13" t="str">
        <f t="shared" si="32"/>
        <v>cans</v>
      </c>
      <c r="V127" s="13">
        <f t="shared" si="33"/>
        <v>2</v>
      </c>
      <c r="W127" s="13" t="str">
        <f t="shared" si="34"/>
        <v>T035980 11</v>
      </c>
      <c r="X127" s="13" t="str">
        <f t="shared" si="35"/>
        <v>S55535</v>
      </c>
      <c r="Y127" s="13" t="str">
        <f t="shared" si="36"/>
        <v>T03</v>
      </c>
      <c r="Z127" s="13" t="str">
        <f t="shared" si="37"/>
        <v>980</v>
      </c>
      <c r="AA127" s="13">
        <f t="shared" si="38"/>
        <v>2</v>
      </c>
      <c r="AB127" s="13">
        <f t="shared" si="39"/>
        <v>4</v>
      </c>
      <c r="AC127" s="13"/>
      <c r="AD127" s="13"/>
      <c r="AE127" s="13"/>
    </row>
    <row r="128" spans="1:31" ht="30" x14ac:dyDescent="0.25">
      <c r="A128" s="9" t="s">
        <v>116</v>
      </c>
      <c r="B128" s="9" t="s">
        <v>610</v>
      </c>
      <c r="C128" s="9" t="s">
        <v>611</v>
      </c>
      <c r="D128" s="9" t="s">
        <v>612</v>
      </c>
      <c r="E128" s="9" t="s">
        <v>613</v>
      </c>
      <c r="F128" s="9">
        <v>2</v>
      </c>
      <c r="G128" s="9" t="s">
        <v>416</v>
      </c>
      <c r="H128" s="9">
        <v>21</v>
      </c>
      <c r="I128" s="13">
        <f t="shared" si="20"/>
        <v>42</v>
      </c>
      <c r="J128" s="13">
        <f t="shared" si="21"/>
        <v>404</v>
      </c>
      <c r="K128" s="13">
        <f t="shared" si="22"/>
        <v>400</v>
      </c>
      <c r="L128" s="13">
        <f t="shared" si="23"/>
        <v>199.5</v>
      </c>
      <c r="M128" s="13">
        <f t="shared" si="24"/>
        <v>13</v>
      </c>
      <c r="N128" s="13" t="b">
        <f t="shared" si="25"/>
        <v>1</v>
      </c>
      <c r="O128" s="13" t="b">
        <f t="shared" si="26"/>
        <v>1</v>
      </c>
      <c r="P128" s="13" t="str">
        <f t="shared" si="27"/>
        <v>C006521-pk</v>
      </c>
      <c r="Q128" s="14" t="str">
        <f t="shared" si="28"/>
        <v>T085091
2</v>
      </c>
      <c r="R128" s="13" t="b">
        <f t="shared" si="29"/>
        <v>0</v>
      </c>
      <c r="S128" s="13" t="str">
        <f t="shared" si="30"/>
        <v>25</v>
      </c>
      <c r="T128" s="13" t="str">
        <f t="shared" si="31"/>
        <v>PK</v>
      </c>
      <c r="U128" s="13" t="str">
        <f t="shared" si="32"/>
        <v>pk</v>
      </c>
      <c r="V128" s="13">
        <f t="shared" si="33"/>
        <v>2</v>
      </c>
      <c r="W128" s="13" t="str">
        <f t="shared" si="34"/>
        <v>T085091 2</v>
      </c>
      <c r="X128" s="13" t="str">
        <f t="shared" si="35"/>
        <v>S55239</v>
      </c>
      <c r="Y128" s="13" t="str">
        <f t="shared" si="36"/>
        <v>T08</v>
      </c>
      <c r="Z128" s="13" t="str">
        <f t="shared" si="37"/>
        <v>091</v>
      </c>
      <c r="AA128" s="13">
        <f t="shared" si="38"/>
        <v>2</v>
      </c>
      <c r="AB128" s="13">
        <f t="shared" si="39"/>
        <v>2</v>
      </c>
      <c r="AC128" s="13"/>
      <c r="AD128" s="13"/>
      <c r="AE128" s="13"/>
    </row>
    <row r="129" spans="1:31" ht="30" x14ac:dyDescent="0.25">
      <c r="A129" s="9" t="s">
        <v>26</v>
      </c>
      <c r="B129" s="9" t="s">
        <v>614</v>
      </c>
      <c r="C129" s="9" t="s">
        <v>615</v>
      </c>
      <c r="D129" s="9" t="s">
        <v>616</v>
      </c>
      <c r="E129" s="9" t="s">
        <v>617</v>
      </c>
      <c r="F129" s="9">
        <v>5</v>
      </c>
      <c r="G129" s="9" t="s">
        <v>14</v>
      </c>
      <c r="H129" s="9">
        <v>25</v>
      </c>
      <c r="I129" s="13">
        <f t="shared" si="20"/>
        <v>125</v>
      </c>
      <c r="J129" s="13">
        <f t="shared" si="21"/>
        <v>161</v>
      </c>
      <c r="K129" s="13">
        <f t="shared" si="22"/>
        <v>161</v>
      </c>
      <c r="L129" s="13">
        <f t="shared" si="23"/>
        <v>2679</v>
      </c>
      <c r="M129" s="13">
        <f t="shared" si="24"/>
        <v>138</v>
      </c>
      <c r="N129" s="13" t="b">
        <f t="shared" si="25"/>
        <v>1</v>
      </c>
      <c r="O129" s="13" t="b">
        <f t="shared" si="26"/>
        <v>1</v>
      </c>
      <c r="P129" s="13" t="str">
        <f t="shared" si="27"/>
        <v>C000984-ct</v>
      </c>
      <c r="Q129" s="14" t="str">
        <f t="shared" si="28"/>
        <v>T039667
5</v>
      </c>
      <c r="R129" s="13" t="b">
        <f t="shared" si="29"/>
        <v>0</v>
      </c>
      <c r="S129" s="13" t="str">
        <f t="shared" si="30"/>
        <v>12</v>
      </c>
      <c r="T129" s="13" t="str">
        <f t="shared" si="31"/>
        <v>CT</v>
      </c>
      <c r="U129" s="13" t="str">
        <f t="shared" si="32"/>
        <v>ct</v>
      </c>
      <c r="V129" s="13">
        <f t="shared" si="33"/>
        <v>2</v>
      </c>
      <c r="W129" s="13" t="str">
        <f t="shared" si="34"/>
        <v>T039667 5</v>
      </c>
      <c r="X129" s="13" t="str">
        <f t="shared" si="35"/>
        <v>S55252</v>
      </c>
      <c r="Y129" s="13" t="str">
        <f t="shared" si="36"/>
        <v>T03</v>
      </c>
      <c r="Z129" s="13" t="str">
        <f t="shared" si="37"/>
        <v>667</v>
      </c>
      <c r="AA129" s="13">
        <f t="shared" si="38"/>
        <v>2</v>
      </c>
      <c r="AB129" s="13">
        <f t="shared" si="39"/>
        <v>2</v>
      </c>
      <c r="AC129" s="13"/>
      <c r="AD129" s="13"/>
      <c r="AE129" s="13"/>
    </row>
    <row r="130" spans="1:31" ht="30" x14ac:dyDescent="0.25">
      <c r="A130" s="9" t="s">
        <v>91</v>
      </c>
      <c r="B130" s="9" t="s">
        <v>618</v>
      </c>
      <c r="C130" s="9" t="s">
        <v>619</v>
      </c>
      <c r="D130" s="9" t="s">
        <v>458</v>
      </c>
      <c r="E130" s="9" t="s">
        <v>620</v>
      </c>
      <c r="F130" s="9">
        <v>1</v>
      </c>
      <c r="G130" s="9" t="s">
        <v>278</v>
      </c>
      <c r="H130" s="9">
        <v>13</v>
      </c>
      <c r="I130" s="13">
        <f t="shared" si="20"/>
        <v>13</v>
      </c>
      <c r="J130" s="13">
        <f t="shared" si="21"/>
        <v>486</v>
      </c>
      <c r="K130" s="13">
        <f t="shared" si="22"/>
        <v>485</v>
      </c>
      <c r="L130" s="13">
        <f t="shared" si="23"/>
        <v>204</v>
      </c>
      <c r="M130" s="13">
        <f t="shared" si="24"/>
        <v>15</v>
      </c>
      <c r="N130" s="13" t="b">
        <f t="shared" si="25"/>
        <v>0</v>
      </c>
      <c r="O130" s="13" t="b">
        <f t="shared" si="26"/>
        <v>1</v>
      </c>
      <c r="P130" s="13" t="str">
        <f t="shared" si="27"/>
        <v>C003786-ct.</v>
      </c>
      <c r="Q130" s="14" t="str">
        <f t="shared" si="28"/>
        <v>T050797
1</v>
      </c>
      <c r="R130" s="13" t="b">
        <f t="shared" si="29"/>
        <v>0</v>
      </c>
      <c r="S130" s="13" t="str">
        <f t="shared" si="30"/>
        <v>18</v>
      </c>
      <c r="T130" s="13" t="str">
        <f t="shared" si="31"/>
        <v>CT.</v>
      </c>
      <c r="U130" s="13" t="str">
        <f t="shared" si="32"/>
        <v>ct.</v>
      </c>
      <c r="V130" s="13">
        <f t="shared" si="33"/>
        <v>2</v>
      </c>
      <c r="W130" s="13" t="str">
        <f t="shared" si="34"/>
        <v>T050797 1</v>
      </c>
      <c r="X130" s="13" t="str">
        <f t="shared" si="35"/>
        <v>S55358</v>
      </c>
      <c r="Y130" s="13" t="str">
        <f t="shared" si="36"/>
        <v>T05</v>
      </c>
      <c r="Z130" s="13" t="str">
        <f t="shared" si="37"/>
        <v>797</v>
      </c>
      <c r="AA130" s="13">
        <f t="shared" si="38"/>
        <v>2</v>
      </c>
      <c r="AB130" s="13">
        <f t="shared" si="39"/>
        <v>3</v>
      </c>
      <c r="AC130" s="13"/>
      <c r="AD130" s="13"/>
      <c r="AE130" s="13"/>
    </row>
    <row r="131" spans="1:31" ht="30" x14ac:dyDescent="0.25">
      <c r="A131" s="9" t="s">
        <v>146</v>
      </c>
      <c r="B131" s="9" t="s">
        <v>621</v>
      </c>
      <c r="C131" s="9" t="s">
        <v>622</v>
      </c>
      <c r="D131" s="9" t="s">
        <v>565</v>
      </c>
      <c r="E131" s="9" t="s">
        <v>447</v>
      </c>
      <c r="F131" s="9">
        <v>11</v>
      </c>
      <c r="G131" s="9" t="s">
        <v>411</v>
      </c>
      <c r="H131" s="9">
        <v>19.5</v>
      </c>
      <c r="I131" s="13">
        <f t="shared" si="20"/>
        <v>214.5</v>
      </c>
      <c r="J131" s="13">
        <f t="shared" si="21"/>
        <v>40.5</v>
      </c>
      <c r="K131" s="13">
        <f t="shared" si="22"/>
        <v>40</v>
      </c>
      <c r="L131" s="13">
        <f t="shared" si="23"/>
        <v>180.5</v>
      </c>
      <c r="M131" s="13">
        <f t="shared" si="24"/>
        <v>9</v>
      </c>
      <c r="N131" s="13" t="b">
        <f t="shared" si="25"/>
        <v>0</v>
      </c>
      <c r="O131" s="13" t="b">
        <f t="shared" si="26"/>
        <v>1</v>
      </c>
      <c r="P131" s="13" t="str">
        <f t="shared" si="27"/>
        <v>C006609-pack</v>
      </c>
      <c r="Q131" s="14" t="str">
        <f t="shared" si="28"/>
        <v>T094332
11</v>
      </c>
      <c r="R131" s="13" t="b">
        <f t="shared" si="29"/>
        <v>0</v>
      </c>
      <c r="S131" s="13" t="str">
        <f t="shared" si="30"/>
        <v>25</v>
      </c>
      <c r="T131" s="13" t="str">
        <f t="shared" si="31"/>
        <v>PACK</v>
      </c>
      <c r="U131" s="13" t="str">
        <f t="shared" si="32"/>
        <v>pack</v>
      </c>
      <c r="V131" s="13">
        <f t="shared" si="33"/>
        <v>2</v>
      </c>
      <c r="W131" s="13" t="str">
        <f t="shared" si="34"/>
        <v>T094332 11</v>
      </c>
      <c r="X131" s="13" t="str">
        <f t="shared" si="35"/>
        <v>S55454</v>
      </c>
      <c r="Y131" s="13" t="str">
        <f t="shared" si="36"/>
        <v>T09</v>
      </c>
      <c r="Z131" s="13" t="str">
        <f t="shared" si="37"/>
        <v>332</v>
      </c>
      <c r="AA131" s="13">
        <f t="shared" si="38"/>
        <v>2</v>
      </c>
      <c r="AB131" s="13">
        <f t="shared" si="39"/>
        <v>4</v>
      </c>
      <c r="AC131" s="13"/>
      <c r="AD131" s="13"/>
      <c r="AE131" s="13"/>
    </row>
    <row r="132" spans="1:31" ht="30" x14ac:dyDescent="0.25">
      <c r="A132" s="9" t="s">
        <v>116</v>
      </c>
      <c r="B132" s="9" t="s">
        <v>623</v>
      </c>
      <c r="C132" s="9" t="s">
        <v>624</v>
      </c>
      <c r="D132" s="9" t="s">
        <v>625</v>
      </c>
      <c r="E132" s="9" t="s">
        <v>626</v>
      </c>
      <c r="F132" s="9">
        <v>8</v>
      </c>
      <c r="G132" s="9" t="s">
        <v>14</v>
      </c>
      <c r="H132" s="9">
        <v>18</v>
      </c>
      <c r="I132" s="13">
        <f t="shared" si="20"/>
        <v>144</v>
      </c>
      <c r="J132" s="13">
        <f t="shared" si="21"/>
        <v>118</v>
      </c>
      <c r="K132" s="13">
        <f t="shared" si="22"/>
        <v>115</v>
      </c>
      <c r="L132" s="13">
        <f t="shared" si="23"/>
        <v>2654</v>
      </c>
      <c r="M132" s="13">
        <f t="shared" si="24"/>
        <v>137</v>
      </c>
      <c r="N132" s="13" t="b">
        <f t="shared" si="25"/>
        <v>0</v>
      </c>
      <c r="O132" s="13" t="b">
        <f t="shared" si="26"/>
        <v>1</v>
      </c>
      <c r="P132" s="13" t="str">
        <f t="shared" si="27"/>
        <v>C003761-ct</v>
      </c>
      <c r="Q132" s="14" t="str">
        <f t="shared" si="28"/>
        <v>T069778
8</v>
      </c>
      <c r="R132" s="13" t="b">
        <f t="shared" si="29"/>
        <v>0</v>
      </c>
      <c r="S132" s="13" t="str">
        <f t="shared" si="30"/>
        <v>19</v>
      </c>
      <c r="T132" s="13" t="str">
        <f t="shared" si="31"/>
        <v>CT</v>
      </c>
      <c r="U132" s="13" t="str">
        <f t="shared" si="32"/>
        <v>ct</v>
      </c>
      <c r="V132" s="13">
        <f t="shared" si="33"/>
        <v>2</v>
      </c>
      <c r="W132" s="13" t="str">
        <f t="shared" si="34"/>
        <v>T069778 8</v>
      </c>
      <c r="X132" s="13" t="str">
        <f t="shared" si="35"/>
        <v>S5514</v>
      </c>
      <c r="Y132" s="13" t="str">
        <f t="shared" si="36"/>
        <v>T06</v>
      </c>
      <c r="Z132" s="13" t="str">
        <f t="shared" si="37"/>
        <v>778</v>
      </c>
      <c r="AA132" s="13">
        <f t="shared" si="38"/>
        <v>2</v>
      </c>
      <c r="AB132" s="13">
        <f t="shared" si="39"/>
        <v>2</v>
      </c>
      <c r="AC132" s="13"/>
      <c r="AD132" s="13"/>
      <c r="AE132" s="13"/>
    </row>
    <row r="133" spans="1:31" ht="30" x14ac:dyDescent="0.25">
      <c r="A133" s="9" t="s">
        <v>63</v>
      </c>
      <c r="B133" s="9" t="s">
        <v>627</v>
      </c>
      <c r="C133" s="9" t="s">
        <v>628</v>
      </c>
      <c r="D133" s="9" t="s">
        <v>629</v>
      </c>
      <c r="E133" s="9" t="s">
        <v>399</v>
      </c>
      <c r="F133" s="9">
        <v>1</v>
      </c>
      <c r="G133" s="9" t="s">
        <v>14</v>
      </c>
      <c r="H133" s="9">
        <v>12</v>
      </c>
      <c r="I133" s="13">
        <f t="shared" si="20"/>
        <v>12</v>
      </c>
      <c r="J133" s="13">
        <f t="shared" si="21"/>
        <v>488.5</v>
      </c>
      <c r="K133" s="13">
        <f t="shared" si="22"/>
        <v>488</v>
      </c>
      <c r="L133" s="13">
        <f t="shared" si="23"/>
        <v>2636</v>
      </c>
      <c r="M133" s="13">
        <f t="shared" si="24"/>
        <v>136</v>
      </c>
      <c r="N133" s="13" t="b">
        <f t="shared" si="25"/>
        <v>0</v>
      </c>
      <c r="O133" s="13" t="b">
        <f t="shared" si="26"/>
        <v>1</v>
      </c>
      <c r="P133" s="13" t="str">
        <f t="shared" si="27"/>
        <v>C000356-ct</v>
      </c>
      <c r="Q133" s="14" t="str">
        <f t="shared" si="28"/>
        <v>T022453
1</v>
      </c>
      <c r="R133" s="13" t="b">
        <f t="shared" si="29"/>
        <v>0</v>
      </c>
      <c r="S133" s="13" t="str">
        <f t="shared" si="30"/>
        <v>19</v>
      </c>
      <c r="T133" s="13" t="str">
        <f t="shared" si="31"/>
        <v>CT</v>
      </c>
      <c r="U133" s="13" t="str">
        <f t="shared" si="32"/>
        <v>ct</v>
      </c>
      <c r="V133" s="13">
        <f t="shared" si="33"/>
        <v>2</v>
      </c>
      <c r="W133" s="13" t="str">
        <f t="shared" si="34"/>
        <v>T022453 1</v>
      </c>
      <c r="X133" s="13" t="str">
        <f t="shared" si="35"/>
        <v>S5545</v>
      </c>
      <c r="Y133" s="13" t="str">
        <f t="shared" si="36"/>
        <v>T02</v>
      </c>
      <c r="Z133" s="13" t="str">
        <f t="shared" si="37"/>
        <v>453</v>
      </c>
      <c r="AA133" s="13">
        <f t="shared" si="38"/>
        <v>2</v>
      </c>
      <c r="AB133" s="13">
        <f t="shared" si="39"/>
        <v>2</v>
      </c>
      <c r="AC133" s="13"/>
      <c r="AD133" s="13"/>
      <c r="AE133" s="13"/>
    </row>
    <row r="134" spans="1:31" ht="30" x14ac:dyDescent="0.25">
      <c r="A134" s="9" t="s">
        <v>63</v>
      </c>
      <c r="B134" s="9" t="s">
        <v>630</v>
      </c>
      <c r="C134" s="9" t="s">
        <v>631</v>
      </c>
      <c r="D134" s="9" t="s">
        <v>632</v>
      </c>
      <c r="E134" s="9" t="s">
        <v>340</v>
      </c>
      <c r="F134" s="9">
        <v>2</v>
      </c>
      <c r="G134" s="9" t="s">
        <v>36</v>
      </c>
      <c r="H134" s="9">
        <v>16.25</v>
      </c>
      <c r="I134" s="13">
        <f t="shared" ref="I134:I197" si="40">$F134*H134</f>
        <v>32.5</v>
      </c>
      <c r="J134" s="13">
        <f t="shared" ref="J134:J197" si="41">_xlfn.RANK.AVG(I134,$I$5:$I$550000)</f>
        <v>430.5</v>
      </c>
      <c r="K134" s="13">
        <f t="shared" ref="K134:K197" si="42">_xlfn.RANK.EQ(I134,$I$5:$I$550000)</f>
        <v>429</v>
      </c>
      <c r="L134" s="13">
        <f t="shared" ref="L134:L197" si="43">SUMIF(G134:G546,G134,H134:H629)</f>
        <v>1459</v>
      </c>
      <c r="M134" s="13">
        <f t="shared" ref="M134:M197" si="44">COUNTIF(G134:G546,G134)</f>
        <v>83</v>
      </c>
      <c r="N134" s="13" t="b">
        <f t="shared" ref="N134:N197" si="45">AND(H134&gt;20,H134&lt;70)</f>
        <v>0</v>
      </c>
      <c r="O134" s="13" t="b">
        <f t="shared" ref="O134:O197" si="46">OR(H134&gt;10,H134&lt;60)</f>
        <v>1</v>
      </c>
      <c r="P134" s="13" t="str">
        <f t="shared" ref="P134:P197" si="47">_xlfn.CONCAT(B134,"-",G134)</f>
        <v>C004585-cans</v>
      </c>
      <c r="Q134" s="14" t="str">
        <f t="shared" ref="Q134:Q197" si="48">_xlfn.CONCAT(C134,CHAR(10),F134)</f>
        <v>T018609
2</v>
      </c>
      <c r="R134" s="13" t="b">
        <f t="shared" ref="R134:R197" si="49">EXACT(D134,E134)</f>
        <v>0</v>
      </c>
      <c r="S134" s="13" t="str">
        <f t="shared" ref="S134:S197" si="50">MID(D134,4,2)</f>
        <v>00</v>
      </c>
      <c r="T134" s="13" t="str">
        <f t="shared" ref="T134:T197" si="51">UPPER(G134)</f>
        <v>CANS</v>
      </c>
      <c r="U134" s="13" t="str">
        <f t="shared" ref="U134:U197" si="52">LOWER(G134)</f>
        <v>cans</v>
      </c>
      <c r="V134" s="13">
        <f t="shared" ref="V134:V197" si="53">SEARCH("0",E134)</f>
        <v>2</v>
      </c>
      <c r="W134" s="13" t="str">
        <f t="shared" ref="W134:W197" si="54">_xlfn.TEXTJOIN(" ",TRUE,C134,F134)</f>
        <v>T018609 2</v>
      </c>
      <c r="X134" s="13" t="str">
        <f t="shared" ref="X134:X197" si="55">SUBSTITUTE(E134,"0","5")</f>
        <v>S55694</v>
      </c>
      <c r="Y134" s="13" t="str">
        <f t="shared" ref="Y134:Y197" si="56">LEFT(C134,3)</f>
        <v>T01</v>
      </c>
      <c r="Z134" s="13" t="str">
        <f t="shared" ref="Z134:Z197" si="57">RIGHT(C134,3)</f>
        <v>609</v>
      </c>
      <c r="AA134" s="13">
        <f t="shared" ref="AA134:AA197" si="58">FIND("0",A134)</f>
        <v>2</v>
      </c>
      <c r="AB134" s="13">
        <f t="shared" ref="AB134:AB197" si="59">LEN(G134)</f>
        <v>4</v>
      </c>
      <c r="AC134" s="13"/>
      <c r="AD134" s="13"/>
      <c r="AE134" s="13"/>
    </row>
    <row r="135" spans="1:31" ht="30" x14ac:dyDescent="0.25">
      <c r="A135" s="9" t="s">
        <v>100</v>
      </c>
      <c r="B135" s="9" t="s">
        <v>633</v>
      </c>
      <c r="C135" s="9" t="s">
        <v>634</v>
      </c>
      <c r="D135" s="9" t="s">
        <v>303</v>
      </c>
      <c r="E135" s="9" t="s">
        <v>395</v>
      </c>
      <c r="F135" s="9">
        <v>5</v>
      </c>
      <c r="G135" s="9" t="s">
        <v>14</v>
      </c>
      <c r="H135" s="9">
        <v>12</v>
      </c>
      <c r="I135" s="13">
        <f t="shared" si="40"/>
        <v>60</v>
      </c>
      <c r="J135" s="13">
        <f t="shared" si="41"/>
        <v>344.5</v>
      </c>
      <c r="K135" s="13">
        <f t="shared" si="42"/>
        <v>337</v>
      </c>
      <c r="L135" s="13">
        <f t="shared" si="43"/>
        <v>2624</v>
      </c>
      <c r="M135" s="13">
        <f t="shared" si="44"/>
        <v>135</v>
      </c>
      <c r="N135" s="13" t="b">
        <f t="shared" si="45"/>
        <v>0</v>
      </c>
      <c r="O135" s="13" t="b">
        <f t="shared" si="46"/>
        <v>1</v>
      </c>
      <c r="P135" s="13" t="str">
        <f t="shared" si="47"/>
        <v>C000309-ct</v>
      </c>
      <c r="Q135" s="14" t="str">
        <f t="shared" si="48"/>
        <v>T037201
5</v>
      </c>
      <c r="R135" s="13" t="b">
        <f t="shared" si="49"/>
        <v>0</v>
      </c>
      <c r="S135" s="13" t="str">
        <f t="shared" si="50"/>
        <v>21</v>
      </c>
      <c r="T135" s="13" t="str">
        <f t="shared" si="51"/>
        <v>CT</v>
      </c>
      <c r="U135" s="13" t="str">
        <f t="shared" si="52"/>
        <v>ct</v>
      </c>
      <c r="V135" s="13">
        <f t="shared" si="53"/>
        <v>2</v>
      </c>
      <c r="W135" s="13" t="str">
        <f t="shared" si="54"/>
        <v>T037201 5</v>
      </c>
      <c r="X135" s="13" t="str">
        <f t="shared" si="55"/>
        <v>S55537</v>
      </c>
      <c r="Y135" s="13" t="str">
        <f t="shared" si="56"/>
        <v>T03</v>
      </c>
      <c r="Z135" s="13" t="str">
        <f t="shared" si="57"/>
        <v>201</v>
      </c>
      <c r="AA135" s="13">
        <f t="shared" si="58"/>
        <v>2</v>
      </c>
      <c r="AB135" s="13">
        <f t="shared" si="59"/>
        <v>2</v>
      </c>
      <c r="AC135" s="13"/>
      <c r="AD135" s="13"/>
      <c r="AE135" s="13"/>
    </row>
    <row r="136" spans="1:31" ht="30" x14ac:dyDescent="0.25">
      <c r="A136" s="9" t="s">
        <v>15</v>
      </c>
      <c r="B136" s="9" t="s">
        <v>635</v>
      </c>
      <c r="C136" s="9" t="s">
        <v>636</v>
      </c>
      <c r="D136" s="9" t="s">
        <v>637</v>
      </c>
      <c r="E136" s="9" t="s">
        <v>638</v>
      </c>
      <c r="F136" s="9">
        <v>4</v>
      </c>
      <c r="G136" s="9" t="s">
        <v>14</v>
      </c>
      <c r="H136" s="9">
        <v>16</v>
      </c>
      <c r="I136" s="13">
        <f t="shared" si="40"/>
        <v>64</v>
      </c>
      <c r="J136" s="13">
        <f t="shared" si="41"/>
        <v>328</v>
      </c>
      <c r="K136" s="13">
        <f t="shared" si="42"/>
        <v>324</v>
      </c>
      <c r="L136" s="13">
        <f t="shared" si="43"/>
        <v>2612</v>
      </c>
      <c r="M136" s="13">
        <f t="shared" si="44"/>
        <v>134</v>
      </c>
      <c r="N136" s="13" t="b">
        <f t="shared" si="45"/>
        <v>0</v>
      </c>
      <c r="O136" s="13" t="b">
        <f t="shared" si="46"/>
        <v>1</v>
      </c>
      <c r="P136" s="13" t="str">
        <f t="shared" si="47"/>
        <v>C000696-ct</v>
      </c>
      <c r="Q136" s="14" t="str">
        <f t="shared" si="48"/>
        <v>T032934
4</v>
      </c>
      <c r="R136" s="13" t="b">
        <f t="shared" si="49"/>
        <v>0</v>
      </c>
      <c r="S136" s="13" t="str">
        <f t="shared" si="50"/>
        <v>13</v>
      </c>
      <c r="T136" s="13" t="str">
        <f t="shared" si="51"/>
        <v>CT</v>
      </c>
      <c r="U136" s="13" t="str">
        <f t="shared" si="52"/>
        <v>ct</v>
      </c>
      <c r="V136" s="13">
        <f t="shared" si="53"/>
        <v>2</v>
      </c>
      <c r="W136" s="13" t="str">
        <f t="shared" si="54"/>
        <v>T032934 4</v>
      </c>
      <c r="X136" s="13" t="str">
        <f t="shared" si="55"/>
        <v>S55275</v>
      </c>
      <c r="Y136" s="13" t="str">
        <f t="shared" si="56"/>
        <v>T03</v>
      </c>
      <c r="Z136" s="13" t="str">
        <f t="shared" si="57"/>
        <v>934</v>
      </c>
      <c r="AA136" s="13">
        <f t="shared" si="58"/>
        <v>2</v>
      </c>
      <c r="AB136" s="13">
        <f t="shared" si="59"/>
        <v>2</v>
      </c>
      <c r="AC136" s="13"/>
      <c r="AD136" s="13"/>
      <c r="AE136" s="13"/>
    </row>
    <row r="137" spans="1:31" ht="30" x14ac:dyDescent="0.25">
      <c r="A137" s="9" t="s">
        <v>125</v>
      </c>
      <c r="B137" s="9" t="s">
        <v>639</v>
      </c>
      <c r="C137" s="9" t="s">
        <v>640</v>
      </c>
      <c r="D137" s="9" t="s">
        <v>236</v>
      </c>
      <c r="E137" s="9" t="s">
        <v>562</v>
      </c>
      <c r="F137" s="9">
        <v>7</v>
      </c>
      <c r="G137" s="9" t="s">
        <v>14</v>
      </c>
      <c r="H137" s="9">
        <v>12</v>
      </c>
      <c r="I137" s="13">
        <f t="shared" si="40"/>
        <v>84</v>
      </c>
      <c r="J137" s="13">
        <f t="shared" si="41"/>
        <v>263.5</v>
      </c>
      <c r="K137" s="13">
        <f t="shared" si="42"/>
        <v>260</v>
      </c>
      <c r="L137" s="13">
        <f t="shared" si="43"/>
        <v>2596</v>
      </c>
      <c r="M137" s="13">
        <f t="shared" si="44"/>
        <v>133</v>
      </c>
      <c r="N137" s="13" t="b">
        <f t="shared" si="45"/>
        <v>0</v>
      </c>
      <c r="O137" s="13" t="b">
        <f t="shared" si="46"/>
        <v>1</v>
      </c>
      <c r="P137" s="13" t="str">
        <f t="shared" si="47"/>
        <v>C005792-ct</v>
      </c>
      <c r="Q137" s="14" t="str">
        <f t="shared" si="48"/>
        <v>T089252
7</v>
      </c>
      <c r="R137" s="13" t="b">
        <f t="shared" si="49"/>
        <v>0</v>
      </c>
      <c r="S137" s="13" t="str">
        <f t="shared" si="50"/>
        <v>21</v>
      </c>
      <c r="T137" s="13" t="str">
        <f t="shared" si="51"/>
        <v>CT</v>
      </c>
      <c r="U137" s="13" t="str">
        <f t="shared" si="52"/>
        <v>ct</v>
      </c>
      <c r="V137" s="13">
        <f t="shared" si="53"/>
        <v>2</v>
      </c>
      <c r="W137" s="13" t="str">
        <f t="shared" si="54"/>
        <v>T089252 7</v>
      </c>
      <c r="X137" s="13" t="str">
        <f t="shared" si="55"/>
        <v>S55159</v>
      </c>
      <c r="Y137" s="13" t="str">
        <f t="shared" si="56"/>
        <v>T08</v>
      </c>
      <c r="Z137" s="13" t="str">
        <f t="shared" si="57"/>
        <v>252</v>
      </c>
      <c r="AA137" s="13">
        <f t="shared" si="58"/>
        <v>2</v>
      </c>
      <c r="AB137" s="13">
        <f t="shared" si="59"/>
        <v>2</v>
      </c>
      <c r="AC137" s="13"/>
      <c r="AD137" s="13"/>
      <c r="AE137" s="13"/>
    </row>
    <row r="138" spans="1:31" ht="30" x14ac:dyDescent="0.25">
      <c r="A138" s="9" t="s">
        <v>283</v>
      </c>
      <c r="B138" s="9" t="s">
        <v>641</v>
      </c>
      <c r="C138" s="9" t="s">
        <v>642</v>
      </c>
      <c r="D138" s="9" t="s">
        <v>72</v>
      </c>
      <c r="E138" s="9" t="s">
        <v>643</v>
      </c>
      <c r="F138" s="9">
        <v>6</v>
      </c>
      <c r="G138" s="9" t="s">
        <v>36</v>
      </c>
      <c r="H138" s="9">
        <v>15.5</v>
      </c>
      <c r="I138" s="13">
        <f t="shared" si="40"/>
        <v>93</v>
      </c>
      <c r="J138" s="13">
        <f t="shared" si="41"/>
        <v>236</v>
      </c>
      <c r="K138" s="13">
        <f t="shared" si="42"/>
        <v>236</v>
      </c>
      <c r="L138" s="13">
        <f t="shared" si="43"/>
        <v>1442.75</v>
      </c>
      <c r="M138" s="13">
        <f t="shared" si="44"/>
        <v>82</v>
      </c>
      <c r="N138" s="13" t="b">
        <f t="shared" si="45"/>
        <v>0</v>
      </c>
      <c r="O138" s="13" t="b">
        <f t="shared" si="46"/>
        <v>1</v>
      </c>
      <c r="P138" s="13" t="str">
        <f t="shared" si="47"/>
        <v>C008240-cans</v>
      </c>
      <c r="Q138" s="14" t="str">
        <f t="shared" si="48"/>
        <v>T069978
6</v>
      </c>
      <c r="R138" s="13" t="b">
        <f t="shared" si="49"/>
        <v>0</v>
      </c>
      <c r="S138" s="13" t="str">
        <f t="shared" si="50"/>
        <v>07</v>
      </c>
      <c r="T138" s="13" t="str">
        <f t="shared" si="51"/>
        <v>CANS</v>
      </c>
      <c r="U138" s="13" t="str">
        <f t="shared" si="52"/>
        <v>cans</v>
      </c>
      <c r="V138" s="13">
        <f t="shared" si="53"/>
        <v>2</v>
      </c>
      <c r="W138" s="13" t="str">
        <f t="shared" si="54"/>
        <v>T069978 6</v>
      </c>
      <c r="X138" s="13" t="str">
        <f t="shared" si="55"/>
        <v>S55621</v>
      </c>
      <c r="Y138" s="13" t="str">
        <f t="shared" si="56"/>
        <v>T06</v>
      </c>
      <c r="Z138" s="13" t="str">
        <f t="shared" si="57"/>
        <v>978</v>
      </c>
      <c r="AA138" s="13">
        <f t="shared" si="58"/>
        <v>2</v>
      </c>
      <c r="AB138" s="13">
        <f t="shared" si="59"/>
        <v>4</v>
      </c>
      <c r="AC138" s="13"/>
      <c r="AD138" s="13"/>
      <c r="AE138" s="13"/>
    </row>
    <row r="139" spans="1:31" ht="30" x14ac:dyDescent="0.25">
      <c r="A139" s="9" t="s">
        <v>15</v>
      </c>
      <c r="B139" s="9" t="s">
        <v>644</v>
      </c>
      <c r="C139" s="9" t="s">
        <v>645</v>
      </c>
      <c r="D139" s="9" t="s">
        <v>383</v>
      </c>
      <c r="E139" s="9" t="s">
        <v>646</v>
      </c>
      <c r="F139" s="9">
        <v>8</v>
      </c>
      <c r="G139" s="9" t="s">
        <v>68</v>
      </c>
      <c r="H139" s="9">
        <v>20</v>
      </c>
      <c r="I139" s="13">
        <f t="shared" si="40"/>
        <v>160</v>
      </c>
      <c r="J139" s="13">
        <f t="shared" si="41"/>
        <v>90.5</v>
      </c>
      <c r="K139" s="13">
        <f t="shared" si="42"/>
        <v>84</v>
      </c>
      <c r="L139" s="13">
        <f t="shared" si="43"/>
        <v>828</v>
      </c>
      <c r="M139" s="13">
        <f t="shared" si="44"/>
        <v>46</v>
      </c>
      <c r="N139" s="13" t="b">
        <f t="shared" si="45"/>
        <v>0</v>
      </c>
      <c r="O139" s="13" t="b">
        <f t="shared" si="46"/>
        <v>1</v>
      </c>
      <c r="P139" s="13" t="str">
        <f t="shared" si="47"/>
        <v>C006506-bottles</v>
      </c>
      <c r="Q139" s="14" t="str">
        <f t="shared" si="48"/>
        <v>T016439
8</v>
      </c>
      <c r="R139" s="13" t="b">
        <f t="shared" si="49"/>
        <v>0</v>
      </c>
      <c r="S139" s="13" t="str">
        <f t="shared" si="50"/>
        <v>07</v>
      </c>
      <c r="T139" s="13" t="str">
        <f t="shared" si="51"/>
        <v>BOTTLES</v>
      </c>
      <c r="U139" s="13" t="str">
        <f t="shared" si="52"/>
        <v>bottles</v>
      </c>
      <c r="V139" s="13">
        <f t="shared" si="53"/>
        <v>2</v>
      </c>
      <c r="W139" s="13" t="str">
        <f t="shared" si="54"/>
        <v>T016439 8</v>
      </c>
      <c r="X139" s="13" t="str">
        <f t="shared" si="55"/>
        <v>S55557</v>
      </c>
      <c r="Y139" s="13" t="str">
        <f t="shared" si="56"/>
        <v>T01</v>
      </c>
      <c r="Z139" s="13" t="str">
        <f t="shared" si="57"/>
        <v>439</v>
      </c>
      <c r="AA139" s="13">
        <f t="shared" si="58"/>
        <v>2</v>
      </c>
      <c r="AB139" s="13">
        <f t="shared" si="59"/>
        <v>7</v>
      </c>
      <c r="AC139" s="13"/>
      <c r="AD139" s="13"/>
      <c r="AE139" s="13"/>
    </row>
    <row r="140" spans="1:31" ht="30" x14ac:dyDescent="0.25">
      <c r="A140" s="9" t="s">
        <v>196</v>
      </c>
      <c r="B140" s="9" t="s">
        <v>647</v>
      </c>
      <c r="C140" s="9" t="s">
        <v>648</v>
      </c>
      <c r="D140" s="9" t="s">
        <v>649</v>
      </c>
      <c r="E140" s="9" t="s">
        <v>650</v>
      </c>
      <c r="F140" s="9">
        <v>9</v>
      </c>
      <c r="G140" s="9" t="s">
        <v>14</v>
      </c>
      <c r="H140" s="9">
        <v>17</v>
      </c>
      <c r="I140" s="13">
        <f t="shared" si="40"/>
        <v>153</v>
      </c>
      <c r="J140" s="13">
        <f t="shared" si="41"/>
        <v>105.5</v>
      </c>
      <c r="K140" s="13">
        <f t="shared" si="42"/>
        <v>103</v>
      </c>
      <c r="L140" s="13">
        <f t="shared" si="43"/>
        <v>2584</v>
      </c>
      <c r="M140" s="13">
        <f t="shared" si="44"/>
        <v>132</v>
      </c>
      <c r="N140" s="13" t="b">
        <f t="shared" si="45"/>
        <v>0</v>
      </c>
      <c r="O140" s="13" t="b">
        <f t="shared" si="46"/>
        <v>1</v>
      </c>
      <c r="P140" s="13" t="str">
        <f t="shared" si="47"/>
        <v>C008485-ct</v>
      </c>
      <c r="Q140" s="14" t="str">
        <f t="shared" si="48"/>
        <v>T050211
9</v>
      </c>
      <c r="R140" s="13" t="b">
        <f t="shared" si="49"/>
        <v>0</v>
      </c>
      <c r="S140" s="13" t="str">
        <f t="shared" si="50"/>
        <v>16</v>
      </c>
      <c r="T140" s="13" t="str">
        <f t="shared" si="51"/>
        <v>CT</v>
      </c>
      <c r="U140" s="13" t="str">
        <f t="shared" si="52"/>
        <v>ct</v>
      </c>
      <c r="V140" s="13">
        <f t="shared" si="53"/>
        <v>2</v>
      </c>
      <c r="W140" s="13" t="str">
        <f t="shared" si="54"/>
        <v>T050211 9</v>
      </c>
      <c r="X140" s="13" t="str">
        <f t="shared" si="55"/>
        <v>S55433</v>
      </c>
      <c r="Y140" s="13" t="str">
        <f t="shared" si="56"/>
        <v>T05</v>
      </c>
      <c r="Z140" s="13" t="str">
        <f t="shared" si="57"/>
        <v>211</v>
      </c>
      <c r="AA140" s="13">
        <f t="shared" si="58"/>
        <v>2</v>
      </c>
      <c r="AB140" s="13">
        <f t="shared" si="59"/>
        <v>2</v>
      </c>
      <c r="AC140" s="13"/>
      <c r="AD140" s="13"/>
      <c r="AE140" s="13"/>
    </row>
    <row r="141" spans="1:31" ht="30" x14ac:dyDescent="0.25">
      <c r="A141" s="9" t="s">
        <v>21</v>
      </c>
      <c r="B141" s="9" t="s">
        <v>651</v>
      </c>
      <c r="C141" s="9" t="s">
        <v>652</v>
      </c>
      <c r="D141" s="9" t="s">
        <v>653</v>
      </c>
      <c r="E141" s="9" t="s">
        <v>328</v>
      </c>
      <c r="F141" s="9">
        <v>5</v>
      </c>
      <c r="G141" s="9" t="s">
        <v>115</v>
      </c>
      <c r="H141" s="9">
        <v>21</v>
      </c>
      <c r="I141" s="13">
        <f t="shared" si="40"/>
        <v>105</v>
      </c>
      <c r="J141" s="13">
        <f t="shared" si="41"/>
        <v>202.5</v>
      </c>
      <c r="K141" s="13">
        <f t="shared" si="42"/>
        <v>199</v>
      </c>
      <c r="L141" s="13">
        <f t="shared" si="43"/>
        <v>402</v>
      </c>
      <c r="M141" s="13">
        <f t="shared" si="44"/>
        <v>24</v>
      </c>
      <c r="N141" s="13" t="b">
        <f t="shared" si="45"/>
        <v>1</v>
      </c>
      <c r="O141" s="13" t="b">
        <f t="shared" si="46"/>
        <v>1</v>
      </c>
      <c r="P141" s="13" t="str">
        <f t="shared" si="47"/>
        <v>C001377-bags</v>
      </c>
      <c r="Q141" s="14" t="str">
        <f t="shared" si="48"/>
        <v>T090005
5</v>
      </c>
      <c r="R141" s="13" t="b">
        <f t="shared" si="49"/>
        <v>0</v>
      </c>
      <c r="S141" s="13" t="str">
        <f t="shared" si="50"/>
        <v>25</v>
      </c>
      <c r="T141" s="13" t="str">
        <f t="shared" si="51"/>
        <v>BAGS</v>
      </c>
      <c r="U141" s="13" t="str">
        <f t="shared" si="52"/>
        <v>bags</v>
      </c>
      <c r="V141" s="13">
        <f t="shared" si="53"/>
        <v>2</v>
      </c>
      <c r="W141" s="13" t="str">
        <f t="shared" si="54"/>
        <v>T090005 5</v>
      </c>
      <c r="X141" s="13" t="str">
        <f t="shared" si="55"/>
        <v>S55385</v>
      </c>
      <c r="Y141" s="13" t="str">
        <f t="shared" si="56"/>
        <v>T09</v>
      </c>
      <c r="Z141" s="13" t="str">
        <f t="shared" si="57"/>
        <v>005</v>
      </c>
      <c r="AA141" s="13">
        <f t="shared" si="58"/>
        <v>2</v>
      </c>
      <c r="AB141" s="13">
        <f t="shared" si="59"/>
        <v>4</v>
      </c>
      <c r="AC141" s="13"/>
      <c r="AD141" s="13"/>
      <c r="AE141" s="13"/>
    </row>
    <row r="142" spans="1:31" ht="30" x14ac:dyDescent="0.25">
      <c r="A142" s="9" t="s">
        <v>63</v>
      </c>
      <c r="B142" s="9" t="s">
        <v>654</v>
      </c>
      <c r="C142" s="9" t="s">
        <v>655</v>
      </c>
      <c r="D142" s="9" t="s">
        <v>180</v>
      </c>
      <c r="E142" s="9" t="s">
        <v>536</v>
      </c>
      <c r="F142" s="9">
        <v>7</v>
      </c>
      <c r="G142" s="9" t="s">
        <v>36</v>
      </c>
      <c r="H142" s="9">
        <v>6.75</v>
      </c>
      <c r="I142" s="13">
        <f t="shared" si="40"/>
        <v>47.25</v>
      </c>
      <c r="J142" s="13">
        <f t="shared" si="41"/>
        <v>389</v>
      </c>
      <c r="K142" s="13">
        <f t="shared" si="42"/>
        <v>387</v>
      </c>
      <c r="L142" s="13">
        <f t="shared" si="43"/>
        <v>1427.25</v>
      </c>
      <c r="M142" s="13">
        <f t="shared" si="44"/>
        <v>81</v>
      </c>
      <c r="N142" s="13" t="b">
        <f t="shared" si="45"/>
        <v>0</v>
      </c>
      <c r="O142" s="13" t="b">
        <f t="shared" si="46"/>
        <v>1</v>
      </c>
      <c r="P142" s="13" t="str">
        <f t="shared" si="47"/>
        <v>C001951-cans</v>
      </c>
      <c r="Q142" s="14" t="str">
        <f t="shared" si="48"/>
        <v>T03982
7</v>
      </c>
      <c r="R142" s="13" t="b">
        <f t="shared" si="49"/>
        <v>0</v>
      </c>
      <c r="S142" s="13" t="str">
        <f t="shared" si="50"/>
        <v>07</v>
      </c>
      <c r="T142" s="13" t="str">
        <f t="shared" si="51"/>
        <v>CANS</v>
      </c>
      <c r="U142" s="13" t="str">
        <f t="shared" si="52"/>
        <v>cans</v>
      </c>
      <c r="V142" s="13">
        <f t="shared" si="53"/>
        <v>2</v>
      </c>
      <c r="W142" s="13" t="str">
        <f t="shared" si="54"/>
        <v>T03982 7</v>
      </c>
      <c r="X142" s="13" t="str">
        <f t="shared" si="55"/>
        <v>S55282</v>
      </c>
      <c r="Y142" s="13" t="str">
        <f t="shared" si="56"/>
        <v>T03</v>
      </c>
      <c r="Z142" s="13" t="str">
        <f t="shared" si="57"/>
        <v>982</v>
      </c>
      <c r="AA142" s="13">
        <f t="shared" si="58"/>
        <v>2</v>
      </c>
      <c r="AB142" s="13">
        <f t="shared" si="59"/>
        <v>4</v>
      </c>
      <c r="AC142" s="13"/>
      <c r="AD142" s="13"/>
      <c r="AE142" s="13"/>
    </row>
    <row r="143" spans="1:31" ht="30" x14ac:dyDescent="0.25">
      <c r="A143" s="9" t="s">
        <v>155</v>
      </c>
      <c r="B143" s="9" t="s">
        <v>656</v>
      </c>
      <c r="C143" s="9" t="s">
        <v>657</v>
      </c>
      <c r="D143" s="9" t="s">
        <v>658</v>
      </c>
      <c r="E143" s="9" t="s">
        <v>455</v>
      </c>
      <c r="F143" s="9">
        <v>5</v>
      </c>
      <c r="G143" s="9" t="s">
        <v>68</v>
      </c>
      <c r="H143" s="9">
        <v>28</v>
      </c>
      <c r="I143" s="13">
        <f t="shared" si="40"/>
        <v>140</v>
      </c>
      <c r="J143" s="13">
        <f t="shared" si="41"/>
        <v>125</v>
      </c>
      <c r="K143" s="13">
        <f t="shared" si="42"/>
        <v>124</v>
      </c>
      <c r="L143" s="13">
        <f t="shared" si="43"/>
        <v>808</v>
      </c>
      <c r="M143" s="13">
        <f t="shared" si="44"/>
        <v>45</v>
      </c>
      <c r="N143" s="13" t="b">
        <f t="shared" si="45"/>
        <v>1</v>
      </c>
      <c r="O143" s="13" t="b">
        <f t="shared" si="46"/>
        <v>1</v>
      </c>
      <c r="P143" s="13" t="str">
        <f t="shared" si="47"/>
        <v>C000468-bottles</v>
      </c>
      <c r="Q143" s="14" t="str">
        <f t="shared" si="48"/>
        <v>T027342
5</v>
      </c>
      <c r="R143" s="13" t="b">
        <f t="shared" si="49"/>
        <v>0</v>
      </c>
      <c r="S143" s="13" t="str">
        <f t="shared" si="50"/>
        <v>04</v>
      </c>
      <c r="T143" s="13" t="str">
        <f t="shared" si="51"/>
        <v>BOTTLES</v>
      </c>
      <c r="U143" s="13" t="str">
        <f t="shared" si="52"/>
        <v>bottles</v>
      </c>
      <c r="V143" s="13">
        <f t="shared" si="53"/>
        <v>2</v>
      </c>
      <c r="W143" s="13" t="str">
        <f t="shared" si="54"/>
        <v>T027342 5</v>
      </c>
      <c r="X143" s="13" t="str">
        <f t="shared" si="55"/>
        <v>S55652</v>
      </c>
      <c r="Y143" s="13" t="str">
        <f t="shared" si="56"/>
        <v>T02</v>
      </c>
      <c r="Z143" s="13" t="str">
        <f t="shared" si="57"/>
        <v>342</v>
      </c>
      <c r="AA143" s="13">
        <f t="shared" si="58"/>
        <v>2</v>
      </c>
      <c r="AB143" s="13">
        <f t="shared" si="59"/>
        <v>7</v>
      </c>
      <c r="AC143" s="13"/>
      <c r="AD143" s="13"/>
      <c r="AE143" s="13"/>
    </row>
    <row r="144" spans="1:31" ht="30" x14ac:dyDescent="0.25">
      <c r="A144" s="9" t="s">
        <v>134</v>
      </c>
      <c r="B144" s="9" t="s">
        <v>659</v>
      </c>
      <c r="C144" s="9" t="s">
        <v>660</v>
      </c>
      <c r="D144" s="9" t="s">
        <v>658</v>
      </c>
      <c r="E144" s="9" t="s">
        <v>661</v>
      </c>
      <c r="F144" s="9">
        <v>7</v>
      </c>
      <c r="G144" s="9" t="s">
        <v>68</v>
      </c>
      <c r="H144" s="9">
        <v>28</v>
      </c>
      <c r="I144" s="13">
        <f t="shared" si="40"/>
        <v>196</v>
      </c>
      <c r="J144" s="13">
        <f t="shared" si="41"/>
        <v>52</v>
      </c>
      <c r="K144" s="13">
        <f t="shared" si="42"/>
        <v>52</v>
      </c>
      <c r="L144" s="13">
        <f t="shared" si="43"/>
        <v>780</v>
      </c>
      <c r="M144" s="13">
        <f t="shared" si="44"/>
        <v>44</v>
      </c>
      <c r="N144" s="13" t="b">
        <f t="shared" si="45"/>
        <v>1</v>
      </c>
      <c r="O144" s="13" t="b">
        <f t="shared" si="46"/>
        <v>1</v>
      </c>
      <c r="P144" s="13" t="str">
        <f t="shared" si="47"/>
        <v>C008169-bottles</v>
      </c>
      <c r="Q144" s="14" t="str">
        <f t="shared" si="48"/>
        <v>T027854
7</v>
      </c>
      <c r="R144" s="13" t="b">
        <f t="shared" si="49"/>
        <v>0</v>
      </c>
      <c r="S144" s="13" t="str">
        <f t="shared" si="50"/>
        <v>04</v>
      </c>
      <c r="T144" s="13" t="str">
        <f t="shared" si="51"/>
        <v>BOTTLES</v>
      </c>
      <c r="U144" s="13" t="str">
        <f t="shared" si="52"/>
        <v>bottles</v>
      </c>
      <c r="V144" s="13">
        <f t="shared" si="53"/>
        <v>2</v>
      </c>
      <c r="W144" s="13" t="str">
        <f t="shared" si="54"/>
        <v>T027854 7</v>
      </c>
      <c r="X144" s="13" t="str">
        <f t="shared" si="55"/>
        <v>S55434</v>
      </c>
      <c r="Y144" s="13" t="str">
        <f t="shared" si="56"/>
        <v>T02</v>
      </c>
      <c r="Z144" s="13" t="str">
        <f t="shared" si="57"/>
        <v>854</v>
      </c>
      <c r="AA144" s="13">
        <f t="shared" si="58"/>
        <v>2</v>
      </c>
      <c r="AB144" s="13">
        <f t="shared" si="59"/>
        <v>7</v>
      </c>
      <c r="AC144" s="13"/>
      <c r="AD144" s="13"/>
      <c r="AE144" s="13"/>
    </row>
    <row r="145" spans="1:31" ht="30" x14ac:dyDescent="0.25">
      <c r="A145" s="9" t="s">
        <v>9</v>
      </c>
      <c r="B145" s="9" t="s">
        <v>662</v>
      </c>
      <c r="C145" s="9" t="s">
        <v>663</v>
      </c>
      <c r="D145" s="9" t="s">
        <v>664</v>
      </c>
      <c r="E145" s="9" t="s">
        <v>665</v>
      </c>
      <c r="F145" s="9">
        <v>2</v>
      </c>
      <c r="G145" s="9" t="s">
        <v>68</v>
      </c>
      <c r="H145" s="9">
        <v>24</v>
      </c>
      <c r="I145" s="13">
        <f t="shared" si="40"/>
        <v>48</v>
      </c>
      <c r="J145" s="13">
        <f t="shared" si="41"/>
        <v>382.5</v>
      </c>
      <c r="K145" s="13">
        <f t="shared" si="42"/>
        <v>379</v>
      </c>
      <c r="L145" s="13">
        <f t="shared" si="43"/>
        <v>752</v>
      </c>
      <c r="M145" s="13">
        <f t="shared" si="44"/>
        <v>43</v>
      </c>
      <c r="N145" s="13" t="b">
        <f t="shared" si="45"/>
        <v>1</v>
      </c>
      <c r="O145" s="13" t="b">
        <f t="shared" si="46"/>
        <v>1</v>
      </c>
      <c r="P145" s="13" t="str">
        <f t="shared" si="47"/>
        <v>C003589-bottles</v>
      </c>
      <c r="Q145" s="14" t="str">
        <f t="shared" si="48"/>
        <v>T095881
2</v>
      </c>
      <c r="R145" s="13" t="b">
        <f t="shared" si="49"/>
        <v>0</v>
      </c>
      <c r="S145" s="13" t="str">
        <f t="shared" si="50"/>
        <v>04</v>
      </c>
      <c r="T145" s="13" t="str">
        <f t="shared" si="51"/>
        <v>BOTTLES</v>
      </c>
      <c r="U145" s="13" t="str">
        <f t="shared" si="52"/>
        <v>bottles</v>
      </c>
      <c r="V145" s="13">
        <f t="shared" si="53"/>
        <v>2</v>
      </c>
      <c r="W145" s="13" t="str">
        <f t="shared" si="54"/>
        <v>T095881 2</v>
      </c>
      <c r="X145" s="13" t="str">
        <f t="shared" si="55"/>
        <v>S55356</v>
      </c>
      <c r="Y145" s="13" t="str">
        <f t="shared" si="56"/>
        <v>T09</v>
      </c>
      <c r="Z145" s="13" t="str">
        <f t="shared" si="57"/>
        <v>881</v>
      </c>
      <c r="AA145" s="13">
        <f t="shared" si="58"/>
        <v>2</v>
      </c>
      <c r="AB145" s="13">
        <f t="shared" si="59"/>
        <v>7</v>
      </c>
      <c r="AC145" s="13"/>
      <c r="AD145" s="13"/>
      <c r="AE145" s="13"/>
    </row>
    <row r="146" spans="1:31" ht="30" x14ac:dyDescent="0.25">
      <c r="A146" s="9" t="s">
        <v>110</v>
      </c>
      <c r="B146" s="9" t="s">
        <v>666</v>
      </c>
      <c r="C146" s="9" t="s">
        <v>667</v>
      </c>
      <c r="D146" s="9" t="s">
        <v>539</v>
      </c>
      <c r="E146" s="9" t="s">
        <v>328</v>
      </c>
      <c r="F146" s="9">
        <v>5</v>
      </c>
      <c r="G146" s="9" t="s">
        <v>68</v>
      </c>
      <c r="H146" s="9">
        <v>22</v>
      </c>
      <c r="I146" s="13">
        <f t="shared" si="40"/>
        <v>110</v>
      </c>
      <c r="J146" s="13">
        <f t="shared" si="41"/>
        <v>194</v>
      </c>
      <c r="K146" s="13">
        <f t="shared" si="42"/>
        <v>192</v>
      </c>
      <c r="L146" s="13">
        <f t="shared" si="43"/>
        <v>728</v>
      </c>
      <c r="M146" s="13">
        <f t="shared" si="44"/>
        <v>42</v>
      </c>
      <c r="N146" s="13" t="b">
        <f t="shared" si="45"/>
        <v>1</v>
      </c>
      <c r="O146" s="13" t="b">
        <f t="shared" si="46"/>
        <v>1</v>
      </c>
      <c r="P146" s="13" t="str">
        <f t="shared" si="47"/>
        <v>C004255-bottles</v>
      </c>
      <c r="Q146" s="14" t="str">
        <f t="shared" si="48"/>
        <v>T092822
5</v>
      </c>
      <c r="R146" s="13" t="b">
        <f t="shared" si="49"/>
        <v>0</v>
      </c>
      <c r="S146" s="13" t="str">
        <f t="shared" si="50"/>
        <v>06</v>
      </c>
      <c r="T146" s="13" t="str">
        <f t="shared" si="51"/>
        <v>BOTTLES</v>
      </c>
      <c r="U146" s="13" t="str">
        <f t="shared" si="52"/>
        <v>bottles</v>
      </c>
      <c r="V146" s="13">
        <f t="shared" si="53"/>
        <v>2</v>
      </c>
      <c r="W146" s="13" t="str">
        <f t="shared" si="54"/>
        <v>T092822 5</v>
      </c>
      <c r="X146" s="13" t="str">
        <f t="shared" si="55"/>
        <v>S55385</v>
      </c>
      <c r="Y146" s="13" t="str">
        <f t="shared" si="56"/>
        <v>T09</v>
      </c>
      <c r="Z146" s="13" t="str">
        <f t="shared" si="57"/>
        <v>822</v>
      </c>
      <c r="AA146" s="13">
        <f t="shared" si="58"/>
        <v>2</v>
      </c>
      <c r="AB146" s="13">
        <f t="shared" si="59"/>
        <v>7</v>
      </c>
      <c r="AC146" s="13"/>
      <c r="AD146" s="13"/>
      <c r="AE146" s="13"/>
    </row>
    <row r="147" spans="1:31" ht="30" x14ac:dyDescent="0.25">
      <c r="A147" s="9" t="s">
        <v>110</v>
      </c>
      <c r="B147" s="9" t="s">
        <v>668</v>
      </c>
      <c r="C147" s="9" t="s">
        <v>669</v>
      </c>
      <c r="D147" s="9" t="s">
        <v>670</v>
      </c>
      <c r="E147" s="9" t="s">
        <v>671</v>
      </c>
      <c r="F147" s="9">
        <v>9</v>
      </c>
      <c r="G147" s="9" t="s">
        <v>416</v>
      </c>
      <c r="H147" s="9">
        <v>12</v>
      </c>
      <c r="I147" s="13">
        <f t="shared" si="40"/>
        <v>108</v>
      </c>
      <c r="J147" s="13">
        <f t="shared" si="41"/>
        <v>197.5</v>
      </c>
      <c r="K147" s="13">
        <f t="shared" si="42"/>
        <v>197</v>
      </c>
      <c r="L147" s="13">
        <f t="shared" si="43"/>
        <v>178.5</v>
      </c>
      <c r="M147" s="13">
        <f t="shared" si="44"/>
        <v>12</v>
      </c>
      <c r="N147" s="13" t="b">
        <f t="shared" si="45"/>
        <v>0</v>
      </c>
      <c r="O147" s="13" t="b">
        <f t="shared" si="46"/>
        <v>1</v>
      </c>
      <c r="P147" s="13" t="str">
        <f t="shared" si="47"/>
        <v>C000265-pk</v>
      </c>
      <c r="Q147" s="14" t="str">
        <f t="shared" si="48"/>
        <v>T092821
9</v>
      </c>
      <c r="R147" s="13" t="b">
        <f t="shared" si="49"/>
        <v>0</v>
      </c>
      <c r="S147" s="13" t="str">
        <f t="shared" si="50"/>
        <v>24</v>
      </c>
      <c r="T147" s="13" t="str">
        <f t="shared" si="51"/>
        <v>PK</v>
      </c>
      <c r="U147" s="13" t="str">
        <f t="shared" si="52"/>
        <v>pk</v>
      </c>
      <c r="V147" s="13">
        <f t="shared" si="53"/>
        <v>2</v>
      </c>
      <c r="W147" s="13" t="str">
        <f t="shared" si="54"/>
        <v>T092821 9</v>
      </c>
      <c r="X147" s="13" t="str">
        <f t="shared" si="55"/>
        <v>S55274</v>
      </c>
      <c r="Y147" s="13" t="str">
        <f t="shared" si="56"/>
        <v>T09</v>
      </c>
      <c r="Z147" s="13" t="str">
        <f t="shared" si="57"/>
        <v>821</v>
      </c>
      <c r="AA147" s="13">
        <f t="shared" si="58"/>
        <v>2</v>
      </c>
      <c r="AB147" s="13">
        <f t="shared" si="59"/>
        <v>2</v>
      </c>
      <c r="AC147" s="13"/>
      <c r="AD147" s="13"/>
      <c r="AE147" s="13"/>
    </row>
    <row r="148" spans="1:31" ht="30" x14ac:dyDescent="0.25">
      <c r="A148" s="9" t="s">
        <v>218</v>
      </c>
      <c r="B148" s="9" t="s">
        <v>672</v>
      </c>
      <c r="C148" s="9" t="s">
        <v>673</v>
      </c>
      <c r="D148" s="9" t="s">
        <v>629</v>
      </c>
      <c r="E148" s="9" t="s">
        <v>674</v>
      </c>
      <c r="F148" s="9">
        <v>6</v>
      </c>
      <c r="G148" s="9" t="s">
        <v>14</v>
      </c>
      <c r="H148" s="9">
        <v>12</v>
      </c>
      <c r="I148" s="13">
        <f t="shared" si="40"/>
        <v>72</v>
      </c>
      <c r="J148" s="13">
        <f t="shared" si="41"/>
        <v>295.5</v>
      </c>
      <c r="K148" s="13">
        <f t="shared" si="42"/>
        <v>292</v>
      </c>
      <c r="L148" s="13">
        <f t="shared" si="43"/>
        <v>2567</v>
      </c>
      <c r="M148" s="13">
        <f t="shared" si="44"/>
        <v>131</v>
      </c>
      <c r="N148" s="13" t="b">
        <f t="shared" si="45"/>
        <v>0</v>
      </c>
      <c r="O148" s="13" t="b">
        <f t="shared" si="46"/>
        <v>1</v>
      </c>
      <c r="P148" s="13" t="str">
        <f t="shared" si="47"/>
        <v>C000475-ct</v>
      </c>
      <c r="Q148" s="14" t="str">
        <f t="shared" si="48"/>
        <v>T099595
6</v>
      </c>
      <c r="R148" s="13" t="b">
        <f t="shared" si="49"/>
        <v>0</v>
      </c>
      <c r="S148" s="13" t="str">
        <f t="shared" si="50"/>
        <v>19</v>
      </c>
      <c r="T148" s="13" t="str">
        <f t="shared" si="51"/>
        <v>CT</v>
      </c>
      <c r="U148" s="13" t="str">
        <f t="shared" si="52"/>
        <v>ct</v>
      </c>
      <c r="V148" s="13">
        <f t="shared" si="53"/>
        <v>2</v>
      </c>
      <c r="W148" s="13" t="str">
        <f t="shared" si="54"/>
        <v>T099595 6</v>
      </c>
      <c r="X148" s="13" t="str">
        <f t="shared" si="55"/>
        <v>S55355</v>
      </c>
      <c r="Y148" s="13" t="str">
        <f t="shared" si="56"/>
        <v>T09</v>
      </c>
      <c r="Z148" s="13" t="str">
        <f t="shared" si="57"/>
        <v>595</v>
      </c>
      <c r="AA148" s="13">
        <f t="shared" si="58"/>
        <v>2</v>
      </c>
      <c r="AB148" s="13">
        <f t="shared" si="59"/>
        <v>2</v>
      </c>
      <c r="AC148" s="13"/>
      <c r="AD148" s="13"/>
      <c r="AE148" s="13"/>
    </row>
    <row r="149" spans="1:31" ht="30" x14ac:dyDescent="0.25">
      <c r="A149" s="9" t="s">
        <v>31</v>
      </c>
      <c r="B149" s="9" t="s">
        <v>675</v>
      </c>
      <c r="C149" s="9" t="s">
        <v>676</v>
      </c>
      <c r="D149" s="9" t="s">
        <v>677</v>
      </c>
      <c r="E149" s="9" t="s">
        <v>678</v>
      </c>
      <c r="F149" s="9">
        <v>2</v>
      </c>
      <c r="G149" s="9" t="s">
        <v>20</v>
      </c>
      <c r="H149" s="9">
        <v>26</v>
      </c>
      <c r="I149" s="13">
        <f t="shared" si="40"/>
        <v>52</v>
      </c>
      <c r="J149" s="13">
        <f t="shared" si="41"/>
        <v>371</v>
      </c>
      <c r="K149" s="13">
        <f t="shared" si="42"/>
        <v>370</v>
      </c>
      <c r="L149" s="13">
        <f t="shared" si="43"/>
        <v>52</v>
      </c>
      <c r="M149" s="13">
        <f t="shared" si="44"/>
        <v>2</v>
      </c>
      <c r="N149" s="13" t="b">
        <f t="shared" si="45"/>
        <v>1</v>
      </c>
      <c r="O149" s="13" t="b">
        <f t="shared" si="46"/>
        <v>1</v>
      </c>
      <c r="P149" s="13" t="str">
        <f t="shared" si="47"/>
        <v>C006453-rolls</v>
      </c>
      <c r="Q149" s="14" t="str">
        <f t="shared" si="48"/>
        <v>T093060
2</v>
      </c>
      <c r="R149" s="13" t="b">
        <f t="shared" si="49"/>
        <v>0</v>
      </c>
      <c r="S149" s="13" t="str">
        <f t="shared" si="50"/>
        <v>24</v>
      </c>
      <c r="T149" s="13" t="str">
        <f t="shared" si="51"/>
        <v>ROLLS</v>
      </c>
      <c r="U149" s="13" t="str">
        <f t="shared" si="52"/>
        <v>rolls</v>
      </c>
      <c r="V149" s="13">
        <f t="shared" si="53"/>
        <v>2</v>
      </c>
      <c r="W149" s="13" t="str">
        <f t="shared" si="54"/>
        <v>T093060 2</v>
      </c>
      <c r="X149" s="13" t="str">
        <f t="shared" si="55"/>
        <v>S5587</v>
      </c>
      <c r="Y149" s="13" t="str">
        <f t="shared" si="56"/>
        <v>T09</v>
      </c>
      <c r="Z149" s="13" t="str">
        <f t="shared" si="57"/>
        <v>060</v>
      </c>
      <c r="AA149" s="13">
        <f t="shared" si="58"/>
        <v>2</v>
      </c>
      <c r="AB149" s="13">
        <f t="shared" si="59"/>
        <v>5</v>
      </c>
      <c r="AC149" s="13"/>
      <c r="AD149" s="13"/>
      <c r="AE149" s="13"/>
    </row>
    <row r="150" spans="1:31" ht="30" x14ac:dyDescent="0.25">
      <c r="A150" s="9" t="s">
        <v>218</v>
      </c>
      <c r="B150" s="9" t="s">
        <v>679</v>
      </c>
      <c r="C150" s="9" t="s">
        <v>680</v>
      </c>
      <c r="D150" s="9" t="s">
        <v>87</v>
      </c>
      <c r="E150" s="9" t="s">
        <v>665</v>
      </c>
      <c r="F150" s="9">
        <v>3</v>
      </c>
      <c r="G150" s="9" t="s">
        <v>14</v>
      </c>
      <c r="H150" s="9">
        <v>15</v>
      </c>
      <c r="I150" s="13">
        <f t="shared" si="40"/>
        <v>45</v>
      </c>
      <c r="J150" s="13">
        <f t="shared" si="41"/>
        <v>396.5</v>
      </c>
      <c r="K150" s="13">
        <f t="shared" si="42"/>
        <v>394</v>
      </c>
      <c r="L150" s="13">
        <f t="shared" si="43"/>
        <v>2555</v>
      </c>
      <c r="M150" s="13">
        <f t="shared" si="44"/>
        <v>130</v>
      </c>
      <c r="N150" s="13" t="b">
        <f t="shared" si="45"/>
        <v>0</v>
      </c>
      <c r="O150" s="13" t="b">
        <f t="shared" si="46"/>
        <v>1</v>
      </c>
      <c r="P150" s="13" t="str">
        <f t="shared" si="47"/>
        <v>C004605-ct</v>
      </c>
      <c r="Q150" s="14" t="str">
        <f t="shared" si="48"/>
        <v>T065030
3</v>
      </c>
      <c r="R150" s="13" t="b">
        <f t="shared" si="49"/>
        <v>0</v>
      </c>
      <c r="S150" s="13" t="str">
        <f t="shared" si="50"/>
        <v>13</v>
      </c>
      <c r="T150" s="13" t="str">
        <f t="shared" si="51"/>
        <v>CT</v>
      </c>
      <c r="U150" s="13" t="str">
        <f t="shared" si="52"/>
        <v>ct</v>
      </c>
      <c r="V150" s="13">
        <f t="shared" si="53"/>
        <v>2</v>
      </c>
      <c r="W150" s="13" t="str">
        <f t="shared" si="54"/>
        <v>T065030 3</v>
      </c>
      <c r="X150" s="13" t="str">
        <f t="shared" si="55"/>
        <v>S55356</v>
      </c>
      <c r="Y150" s="13" t="str">
        <f t="shared" si="56"/>
        <v>T06</v>
      </c>
      <c r="Z150" s="13" t="str">
        <f t="shared" si="57"/>
        <v>030</v>
      </c>
      <c r="AA150" s="13">
        <f t="shared" si="58"/>
        <v>2</v>
      </c>
      <c r="AB150" s="13">
        <f t="shared" si="59"/>
        <v>2</v>
      </c>
      <c r="AC150" s="13"/>
      <c r="AD150" s="13"/>
      <c r="AE150" s="13"/>
    </row>
    <row r="151" spans="1:31" ht="30" x14ac:dyDescent="0.25">
      <c r="A151" s="9" t="s">
        <v>177</v>
      </c>
      <c r="B151" s="9" t="s">
        <v>681</v>
      </c>
      <c r="C151" s="9" t="s">
        <v>682</v>
      </c>
      <c r="D151" s="9" t="s">
        <v>597</v>
      </c>
      <c r="E151" s="9" t="s">
        <v>683</v>
      </c>
      <c r="F151" s="9">
        <v>6</v>
      </c>
      <c r="G151" s="9" t="s">
        <v>115</v>
      </c>
      <c r="H151" s="9">
        <v>16</v>
      </c>
      <c r="I151" s="13">
        <f t="shared" si="40"/>
        <v>96</v>
      </c>
      <c r="J151" s="13">
        <f t="shared" si="41"/>
        <v>231.5</v>
      </c>
      <c r="K151" s="13">
        <f t="shared" si="42"/>
        <v>228</v>
      </c>
      <c r="L151" s="13">
        <f t="shared" si="43"/>
        <v>381</v>
      </c>
      <c r="M151" s="13">
        <f t="shared" si="44"/>
        <v>23</v>
      </c>
      <c r="N151" s="13" t="b">
        <f t="shared" si="45"/>
        <v>0</v>
      </c>
      <c r="O151" s="13" t="b">
        <f t="shared" si="46"/>
        <v>1</v>
      </c>
      <c r="P151" s="13" t="str">
        <f t="shared" si="47"/>
        <v>C004081-bags</v>
      </c>
      <c r="Q151" s="14" t="str">
        <f t="shared" si="48"/>
        <v>T097295
6</v>
      </c>
      <c r="R151" s="13" t="b">
        <f t="shared" si="49"/>
        <v>0</v>
      </c>
      <c r="S151" s="13" t="str">
        <f t="shared" si="50"/>
        <v>15</v>
      </c>
      <c r="T151" s="13" t="str">
        <f t="shared" si="51"/>
        <v>BAGS</v>
      </c>
      <c r="U151" s="13" t="str">
        <f t="shared" si="52"/>
        <v>bags</v>
      </c>
      <c r="V151" s="13">
        <f t="shared" si="53"/>
        <v>2</v>
      </c>
      <c r="W151" s="13" t="str">
        <f t="shared" si="54"/>
        <v>T097295 6</v>
      </c>
      <c r="X151" s="13" t="str">
        <f t="shared" si="55"/>
        <v>S5551</v>
      </c>
      <c r="Y151" s="13" t="str">
        <f t="shared" si="56"/>
        <v>T09</v>
      </c>
      <c r="Z151" s="13" t="str">
        <f t="shared" si="57"/>
        <v>295</v>
      </c>
      <c r="AA151" s="13">
        <f t="shared" si="58"/>
        <v>2</v>
      </c>
      <c r="AB151" s="13">
        <f t="shared" si="59"/>
        <v>4</v>
      </c>
      <c r="AC151" s="13"/>
      <c r="AD151" s="13"/>
      <c r="AE151" s="13"/>
    </row>
    <row r="152" spans="1:31" ht="30" x14ac:dyDescent="0.25">
      <c r="A152" s="9" t="s">
        <v>69</v>
      </c>
      <c r="B152" s="9" t="s">
        <v>684</v>
      </c>
      <c r="C152" s="9" t="s">
        <v>685</v>
      </c>
      <c r="D152" s="9" t="s">
        <v>686</v>
      </c>
      <c r="E152" s="9" t="s">
        <v>687</v>
      </c>
      <c r="F152" s="9">
        <v>7</v>
      </c>
      <c r="G152" s="9" t="s">
        <v>68</v>
      </c>
      <c r="H152" s="9">
        <v>20</v>
      </c>
      <c r="I152" s="13">
        <f t="shared" si="40"/>
        <v>140</v>
      </c>
      <c r="J152" s="13">
        <f t="shared" si="41"/>
        <v>125</v>
      </c>
      <c r="K152" s="13">
        <f t="shared" si="42"/>
        <v>124</v>
      </c>
      <c r="L152" s="13">
        <f t="shared" si="43"/>
        <v>706</v>
      </c>
      <c r="M152" s="13">
        <f t="shared" si="44"/>
        <v>41</v>
      </c>
      <c r="N152" s="13" t="b">
        <f t="shared" si="45"/>
        <v>0</v>
      </c>
      <c r="O152" s="13" t="b">
        <f t="shared" si="46"/>
        <v>1</v>
      </c>
      <c r="P152" s="13" t="str">
        <f t="shared" si="47"/>
        <v>C002750-bottles</v>
      </c>
      <c r="Q152" s="14" t="str">
        <f t="shared" si="48"/>
        <v>T068178
7</v>
      </c>
      <c r="R152" s="13" t="b">
        <f t="shared" si="49"/>
        <v>0</v>
      </c>
      <c r="S152" s="13" t="str">
        <f t="shared" si="50"/>
        <v>07</v>
      </c>
      <c r="T152" s="13" t="str">
        <f t="shared" si="51"/>
        <v>BOTTLES</v>
      </c>
      <c r="U152" s="13" t="str">
        <f t="shared" si="52"/>
        <v>bottles</v>
      </c>
      <c r="V152" s="13">
        <f t="shared" si="53"/>
        <v>2</v>
      </c>
      <c r="W152" s="13" t="str">
        <f t="shared" si="54"/>
        <v>T068178 7</v>
      </c>
      <c r="X152" s="13" t="str">
        <f t="shared" si="55"/>
        <v>S55615</v>
      </c>
      <c r="Y152" s="13" t="str">
        <f t="shared" si="56"/>
        <v>T06</v>
      </c>
      <c r="Z152" s="13" t="str">
        <f t="shared" si="57"/>
        <v>178</v>
      </c>
      <c r="AA152" s="13">
        <f t="shared" si="58"/>
        <v>2</v>
      </c>
      <c r="AB152" s="13">
        <f t="shared" si="59"/>
        <v>7</v>
      </c>
      <c r="AC152" s="13"/>
      <c r="AD152" s="13"/>
      <c r="AE152" s="13"/>
    </row>
    <row r="153" spans="1:31" ht="30" x14ac:dyDescent="0.25">
      <c r="A153" s="9" t="s">
        <v>15</v>
      </c>
      <c r="B153" s="9" t="s">
        <v>688</v>
      </c>
      <c r="C153" s="9" t="s">
        <v>689</v>
      </c>
      <c r="D153" s="9" t="s">
        <v>690</v>
      </c>
      <c r="E153" s="9" t="s">
        <v>691</v>
      </c>
      <c r="F153" s="9">
        <v>2</v>
      </c>
      <c r="G153" s="9" t="s">
        <v>416</v>
      </c>
      <c r="H153" s="9">
        <v>15</v>
      </c>
      <c r="I153" s="13">
        <f t="shared" si="40"/>
        <v>30</v>
      </c>
      <c r="J153" s="13">
        <f t="shared" si="41"/>
        <v>440.5</v>
      </c>
      <c r="K153" s="13">
        <f t="shared" si="42"/>
        <v>439</v>
      </c>
      <c r="L153" s="13">
        <f t="shared" si="43"/>
        <v>166.5</v>
      </c>
      <c r="M153" s="13">
        <f t="shared" si="44"/>
        <v>11</v>
      </c>
      <c r="N153" s="13" t="b">
        <f t="shared" si="45"/>
        <v>0</v>
      </c>
      <c r="O153" s="13" t="b">
        <f t="shared" si="46"/>
        <v>1</v>
      </c>
      <c r="P153" s="13" t="str">
        <f t="shared" si="47"/>
        <v>C004401-pk</v>
      </c>
      <c r="Q153" s="14" t="str">
        <f t="shared" si="48"/>
        <v>T085077
2</v>
      </c>
      <c r="R153" s="13" t="b">
        <f t="shared" si="49"/>
        <v>0</v>
      </c>
      <c r="S153" s="13" t="str">
        <f t="shared" si="50"/>
        <v>22</v>
      </c>
      <c r="T153" s="13" t="str">
        <f t="shared" si="51"/>
        <v>PK</v>
      </c>
      <c r="U153" s="13" t="str">
        <f t="shared" si="52"/>
        <v>pk</v>
      </c>
      <c r="V153" s="13">
        <f t="shared" si="53"/>
        <v>2</v>
      </c>
      <c r="W153" s="13" t="str">
        <f t="shared" si="54"/>
        <v>T085077 2</v>
      </c>
      <c r="X153" s="13" t="str">
        <f t="shared" si="55"/>
        <v>S55426</v>
      </c>
      <c r="Y153" s="13" t="str">
        <f t="shared" si="56"/>
        <v>T08</v>
      </c>
      <c r="Z153" s="13" t="str">
        <f t="shared" si="57"/>
        <v>077</v>
      </c>
      <c r="AA153" s="13">
        <f t="shared" si="58"/>
        <v>2</v>
      </c>
      <c r="AB153" s="13">
        <f t="shared" si="59"/>
        <v>2</v>
      </c>
      <c r="AC153" s="13"/>
      <c r="AD153" s="13"/>
      <c r="AE153" s="13"/>
    </row>
    <row r="154" spans="1:31" ht="30" x14ac:dyDescent="0.25">
      <c r="A154" s="9" t="s">
        <v>283</v>
      </c>
      <c r="B154" s="9" t="s">
        <v>496</v>
      </c>
      <c r="C154" s="9" t="s">
        <v>692</v>
      </c>
      <c r="D154" s="9" t="s">
        <v>402</v>
      </c>
      <c r="E154" s="9" t="s">
        <v>291</v>
      </c>
      <c r="F154" s="9">
        <v>4</v>
      </c>
      <c r="G154" s="9" t="s">
        <v>176</v>
      </c>
      <c r="H154" s="9">
        <v>15</v>
      </c>
      <c r="I154" s="13">
        <f t="shared" si="40"/>
        <v>60</v>
      </c>
      <c r="J154" s="13">
        <f t="shared" si="41"/>
        <v>344.5</v>
      </c>
      <c r="K154" s="13">
        <f t="shared" si="42"/>
        <v>337</v>
      </c>
      <c r="L154" s="13">
        <f t="shared" si="43"/>
        <v>367</v>
      </c>
      <c r="M154" s="13">
        <f t="shared" si="44"/>
        <v>23</v>
      </c>
      <c r="N154" s="13" t="b">
        <f t="shared" si="45"/>
        <v>0</v>
      </c>
      <c r="O154" s="13" t="b">
        <f t="shared" si="46"/>
        <v>1</v>
      </c>
      <c r="P154" s="13" t="str">
        <f t="shared" si="47"/>
        <v>C008525-oz</v>
      </c>
      <c r="Q154" s="14" t="str">
        <f t="shared" si="48"/>
        <v>T020322
4</v>
      </c>
      <c r="R154" s="13" t="b">
        <f t="shared" si="49"/>
        <v>0</v>
      </c>
      <c r="S154" s="13" t="str">
        <f t="shared" si="50"/>
        <v>24</v>
      </c>
      <c r="T154" s="13" t="str">
        <f t="shared" si="51"/>
        <v>OZ</v>
      </c>
      <c r="U154" s="13" t="str">
        <f t="shared" si="52"/>
        <v>oz</v>
      </c>
      <c r="V154" s="13">
        <f t="shared" si="53"/>
        <v>2</v>
      </c>
      <c r="W154" s="13" t="str">
        <f t="shared" si="54"/>
        <v>T020322 4</v>
      </c>
      <c r="X154" s="13" t="str">
        <f t="shared" si="55"/>
        <v>S55194</v>
      </c>
      <c r="Y154" s="13" t="str">
        <f t="shared" si="56"/>
        <v>T02</v>
      </c>
      <c r="Z154" s="13" t="str">
        <f t="shared" si="57"/>
        <v>322</v>
      </c>
      <c r="AA154" s="13">
        <f t="shared" si="58"/>
        <v>2</v>
      </c>
      <c r="AB154" s="13">
        <f t="shared" si="59"/>
        <v>2</v>
      </c>
      <c r="AC154" s="13"/>
      <c r="AD154" s="13"/>
      <c r="AE154" s="13"/>
    </row>
    <row r="155" spans="1:31" ht="30" x14ac:dyDescent="0.25">
      <c r="A155" s="9" t="s">
        <v>297</v>
      </c>
      <c r="B155" s="9" t="s">
        <v>693</v>
      </c>
      <c r="C155" s="9" t="s">
        <v>694</v>
      </c>
      <c r="D155" s="9" t="s">
        <v>616</v>
      </c>
      <c r="E155" s="9" t="s">
        <v>170</v>
      </c>
      <c r="F155" s="9">
        <v>3</v>
      </c>
      <c r="G155" s="9" t="s">
        <v>14</v>
      </c>
      <c r="H155" s="9">
        <v>25</v>
      </c>
      <c r="I155" s="13">
        <f t="shared" si="40"/>
        <v>75</v>
      </c>
      <c r="J155" s="13">
        <f t="shared" si="41"/>
        <v>285</v>
      </c>
      <c r="K155" s="13">
        <f t="shared" si="42"/>
        <v>283</v>
      </c>
      <c r="L155" s="13">
        <f t="shared" si="43"/>
        <v>2540</v>
      </c>
      <c r="M155" s="13">
        <f t="shared" si="44"/>
        <v>129</v>
      </c>
      <c r="N155" s="13" t="b">
        <f t="shared" si="45"/>
        <v>1</v>
      </c>
      <c r="O155" s="13" t="b">
        <f t="shared" si="46"/>
        <v>1</v>
      </c>
      <c r="P155" s="13" t="str">
        <f t="shared" si="47"/>
        <v>C002110-ct</v>
      </c>
      <c r="Q155" s="14" t="str">
        <f t="shared" si="48"/>
        <v>T017049
3</v>
      </c>
      <c r="R155" s="13" t="b">
        <f t="shared" si="49"/>
        <v>0</v>
      </c>
      <c r="S155" s="13" t="str">
        <f t="shared" si="50"/>
        <v>12</v>
      </c>
      <c r="T155" s="13" t="str">
        <f t="shared" si="51"/>
        <v>CT</v>
      </c>
      <c r="U155" s="13" t="str">
        <f t="shared" si="52"/>
        <v>ct</v>
      </c>
      <c r="V155" s="13">
        <f t="shared" si="53"/>
        <v>2</v>
      </c>
      <c r="W155" s="13" t="str">
        <f t="shared" si="54"/>
        <v>T017049 3</v>
      </c>
      <c r="X155" s="13" t="str">
        <f t="shared" si="55"/>
        <v>S55142</v>
      </c>
      <c r="Y155" s="13" t="str">
        <f t="shared" si="56"/>
        <v>T01</v>
      </c>
      <c r="Z155" s="13" t="str">
        <f t="shared" si="57"/>
        <v>049</v>
      </c>
      <c r="AA155" s="13">
        <f t="shared" si="58"/>
        <v>2</v>
      </c>
      <c r="AB155" s="13">
        <f t="shared" si="59"/>
        <v>2</v>
      </c>
      <c r="AC155" s="13"/>
      <c r="AD155" s="13"/>
      <c r="AE155" s="13"/>
    </row>
    <row r="156" spans="1:31" ht="30" x14ac:dyDescent="0.25">
      <c r="A156" s="9" t="s">
        <v>316</v>
      </c>
      <c r="B156" s="9" t="s">
        <v>695</v>
      </c>
      <c r="C156" s="9" t="s">
        <v>696</v>
      </c>
      <c r="D156" s="9" t="s">
        <v>697</v>
      </c>
      <c r="E156" s="9" t="s">
        <v>698</v>
      </c>
      <c r="F156" s="9">
        <v>10</v>
      </c>
      <c r="G156" s="9" t="s">
        <v>14</v>
      </c>
      <c r="H156" s="9">
        <v>12</v>
      </c>
      <c r="I156" s="13">
        <f t="shared" si="40"/>
        <v>120</v>
      </c>
      <c r="J156" s="13">
        <f t="shared" si="41"/>
        <v>169.5</v>
      </c>
      <c r="K156" s="13">
        <f t="shared" si="42"/>
        <v>162</v>
      </c>
      <c r="L156" s="13">
        <f t="shared" si="43"/>
        <v>2515</v>
      </c>
      <c r="M156" s="13">
        <f t="shared" si="44"/>
        <v>128</v>
      </c>
      <c r="N156" s="13" t="b">
        <f t="shared" si="45"/>
        <v>0</v>
      </c>
      <c r="O156" s="13" t="b">
        <f t="shared" si="46"/>
        <v>1</v>
      </c>
      <c r="P156" s="13" t="str">
        <f t="shared" si="47"/>
        <v>C007170-ct</v>
      </c>
      <c r="Q156" s="14" t="str">
        <f t="shared" si="48"/>
        <v>T062404
10</v>
      </c>
      <c r="R156" s="13" t="b">
        <f t="shared" si="49"/>
        <v>0</v>
      </c>
      <c r="S156" s="13" t="str">
        <f t="shared" si="50"/>
        <v>24</v>
      </c>
      <c r="T156" s="13" t="str">
        <f t="shared" si="51"/>
        <v>CT</v>
      </c>
      <c r="U156" s="13" t="str">
        <f t="shared" si="52"/>
        <v>ct</v>
      </c>
      <c r="V156" s="13">
        <f t="shared" si="53"/>
        <v>2</v>
      </c>
      <c r="W156" s="13" t="str">
        <f t="shared" si="54"/>
        <v>T062404 10</v>
      </c>
      <c r="X156" s="13" t="str">
        <f t="shared" si="55"/>
        <v>S55322</v>
      </c>
      <c r="Y156" s="13" t="str">
        <f t="shared" si="56"/>
        <v>T06</v>
      </c>
      <c r="Z156" s="13" t="str">
        <f t="shared" si="57"/>
        <v>404</v>
      </c>
      <c r="AA156" s="13">
        <f t="shared" si="58"/>
        <v>2</v>
      </c>
      <c r="AB156" s="13">
        <f t="shared" si="59"/>
        <v>2</v>
      </c>
      <c r="AC156" s="13"/>
      <c r="AD156" s="13"/>
      <c r="AE156" s="13"/>
    </row>
    <row r="157" spans="1:31" ht="30" x14ac:dyDescent="0.25">
      <c r="A157" s="9" t="s">
        <v>171</v>
      </c>
      <c r="B157" s="9" t="s">
        <v>699</v>
      </c>
      <c r="C157" s="9" t="s">
        <v>700</v>
      </c>
      <c r="D157" s="9" t="s">
        <v>658</v>
      </c>
      <c r="E157" s="9" t="s">
        <v>701</v>
      </c>
      <c r="F157" s="9">
        <v>2</v>
      </c>
      <c r="G157" s="9" t="s">
        <v>68</v>
      </c>
      <c r="H157" s="9">
        <v>28</v>
      </c>
      <c r="I157" s="13">
        <f t="shared" si="40"/>
        <v>56</v>
      </c>
      <c r="J157" s="13">
        <f t="shared" si="41"/>
        <v>360.5</v>
      </c>
      <c r="K157" s="13">
        <f t="shared" si="42"/>
        <v>357</v>
      </c>
      <c r="L157" s="13">
        <f t="shared" si="43"/>
        <v>686</v>
      </c>
      <c r="M157" s="13">
        <f t="shared" si="44"/>
        <v>40</v>
      </c>
      <c r="N157" s="13" t="b">
        <f t="shared" si="45"/>
        <v>1</v>
      </c>
      <c r="O157" s="13" t="b">
        <f t="shared" si="46"/>
        <v>1</v>
      </c>
      <c r="P157" s="13" t="str">
        <f t="shared" si="47"/>
        <v>C001647-bottles</v>
      </c>
      <c r="Q157" s="14" t="str">
        <f t="shared" si="48"/>
        <v>T059671
2</v>
      </c>
      <c r="R157" s="13" t="b">
        <f t="shared" si="49"/>
        <v>0</v>
      </c>
      <c r="S157" s="13" t="str">
        <f t="shared" si="50"/>
        <v>04</v>
      </c>
      <c r="T157" s="13" t="str">
        <f t="shared" si="51"/>
        <v>BOTTLES</v>
      </c>
      <c r="U157" s="13" t="str">
        <f t="shared" si="52"/>
        <v>bottles</v>
      </c>
      <c r="V157" s="13">
        <f t="shared" si="53"/>
        <v>2</v>
      </c>
      <c r="W157" s="13" t="str">
        <f t="shared" si="54"/>
        <v>T059671 2</v>
      </c>
      <c r="X157" s="13" t="str">
        <f t="shared" si="55"/>
        <v>S55342</v>
      </c>
      <c r="Y157" s="13" t="str">
        <f t="shared" si="56"/>
        <v>T05</v>
      </c>
      <c r="Z157" s="13" t="str">
        <f t="shared" si="57"/>
        <v>671</v>
      </c>
      <c r="AA157" s="13">
        <f t="shared" si="58"/>
        <v>2</v>
      </c>
      <c r="AB157" s="13">
        <f t="shared" si="59"/>
        <v>7</v>
      </c>
      <c r="AC157" s="13"/>
      <c r="AD157" s="13"/>
      <c r="AE157" s="13"/>
    </row>
    <row r="158" spans="1:31" ht="30" x14ac:dyDescent="0.25">
      <c r="A158" s="9" t="s">
        <v>91</v>
      </c>
      <c r="B158" s="9" t="s">
        <v>469</v>
      </c>
      <c r="C158" s="9" t="s">
        <v>702</v>
      </c>
      <c r="D158" s="9" t="s">
        <v>703</v>
      </c>
      <c r="E158" s="9" t="s">
        <v>704</v>
      </c>
      <c r="F158" s="9">
        <v>8</v>
      </c>
      <c r="G158" s="9" t="s">
        <v>14</v>
      </c>
      <c r="H158" s="9">
        <v>12</v>
      </c>
      <c r="I158" s="13">
        <f t="shared" si="40"/>
        <v>96</v>
      </c>
      <c r="J158" s="13">
        <f t="shared" si="41"/>
        <v>231.5</v>
      </c>
      <c r="K158" s="13">
        <f t="shared" si="42"/>
        <v>228</v>
      </c>
      <c r="L158" s="13">
        <f t="shared" si="43"/>
        <v>2503</v>
      </c>
      <c r="M158" s="13">
        <f t="shared" si="44"/>
        <v>127</v>
      </c>
      <c r="N158" s="13" t="b">
        <f t="shared" si="45"/>
        <v>0</v>
      </c>
      <c r="O158" s="13" t="b">
        <f t="shared" si="46"/>
        <v>1</v>
      </c>
      <c r="P158" s="13" t="str">
        <f t="shared" si="47"/>
        <v>C009083-ct</v>
      </c>
      <c r="Q158" s="14" t="str">
        <f t="shared" si="48"/>
        <v>T063522
8</v>
      </c>
      <c r="R158" s="13" t="b">
        <f t="shared" si="49"/>
        <v>0</v>
      </c>
      <c r="S158" s="13" t="str">
        <f t="shared" si="50"/>
        <v>23</v>
      </c>
      <c r="T158" s="13" t="str">
        <f t="shared" si="51"/>
        <v>CT</v>
      </c>
      <c r="U158" s="13" t="str">
        <f t="shared" si="52"/>
        <v>ct</v>
      </c>
      <c r="V158" s="13">
        <f t="shared" si="53"/>
        <v>2</v>
      </c>
      <c r="W158" s="13" t="str">
        <f t="shared" si="54"/>
        <v>T063522 8</v>
      </c>
      <c r="X158" s="13" t="str">
        <f t="shared" si="55"/>
        <v>S5542</v>
      </c>
      <c r="Y158" s="13" t="str">
        <f t="shared" si="56"/>
        <v>T06</v>
      </c>
      <c r="Z158" s="13" t="str">
        <f t="shared" si="57"/>
        <v>522</v>
      </c>
      <c r="AA158" s="13">
        <f t="shared" si="58"/>
        <v>2</v>
      </c>
      <c r="AB158" s="13">
        <f t="shared" si="59"/>
        <v>2</v>
      </c>
      <c r="AC158" s="13"/>
      <c r="AD158" s="13"/>
      <c r="AE158" s="13"/>
    </row>
    <row r="159" spans="1:31" ht="30" x14ac:dyDescent="0.25">
      <c r="A159" s="9" t="s">
        <v>249</v>
      </c>
      <c r="B159" s="9" t="s">
        <v>705</v>
      </c>
      <c r="C159" s="9" t="s">
        <v>706</v>
      </c>
      <c r="D159" s="9" t="s">
        <v>601</v>
      </c>
      <c r="E159" s="9" t="s">
        <v>707</v>
      </c>
      <c r="F159" s="9">
        <v>2</v>
      </c>
      <c r="G159" s="9" t="s">
        <v>14</v>
      </c>
      <c r="H159" s="9">
        <v>19</v>
      </c>
      <c r="I159" s="13">
        <f t="shared" si="40"/>
        <v>38</v>
      </c>
      <c r="J159" s="13">
        <f t="shared" si="41"/>
        <v>415</v>
      </c>
      <c r="K159" s="13">
        <f t="shared" si="42"/>
        <v>415</v>
      </c>
      <c r="L159" s="13">
        <f t="shared" si="43"/>
        <v>2491</v>
      </c>
      <c r="M159" s="13">
        <f t="shared" si="44"/>
        <v>126</v>
      </c>
      <c r="N159" s="13" t="b">
        <f t="shared" si="45"/>
        <v>0</v>
      </c>
      <c r="O159" s="13" t="b">
        <f t="shared" si="46"/>
        <v>1</v>
      </c>
      <c r="P159" s="13" t="str">
        <f t="shared" si="47"/>
        <v>C009085-ct</v>
      </c>
      <c r="Q159" s="14" t="str">
        <f t="shared" si="48"/>
        <v>T077489
2</v>
      </c>
      <c r="R159" s="13" t="b">
        <f t="shared" si="49"/>
        <v>0</v>
      </c>
      <c r="S159" s="13" t="str">
        <f t="shared" si="50"/>
        <v>18</v>
      </c>
      <c r="T159" s="13" t="str">
        <f t="shared" si="51"/>
        <v>CT</v>
      </c>
      <c r="U159" s="13" t="str">
        <f t="shared" si="52"/>
        <v>ct</v>
      </c>
      <c r="V159" s="13">
        <f t="shared" si="53"/>
        <v>2</v>
      </c>
      <c r="W159" s="13" t="str">
        <f t="shared" si="54"/>
        <v>T077489 2</v>
      </c>
      <c r="X159" s="13" t="str">
        <f t="shared" si="55"/>
        <v>S55467</v>
      </c>
      <c r="Y159" s="13" t="str">
        <f t="shared" si="56"/>
        <v>T07</v>
      </c>
      <c r="Z159" s="13" t="str">
        <f t="shared" si="57"/>
        <v>489</v>
      </c>
      <c r="AA159" s="13">
        <f t="shared" si="58"/>
        <v>2</v>
      </c>
      <c r="AB159" s="13">
        <f t="shared" si="59"/>
        <v>2</v>
      </c>
      <c r="AC159" s="13"/>
      <c r="AD159" s="13"/>
      <c r="AE159" s="13"/>
    </row>
    <row r="160" spans="1:31" ht="30" x14ac:dyDescent="0.25">
      <c r="A160" s="9" t="s">
        <v>134</v>
      </c>
      <c r="B160" s="9" t="s">
        <v>708</v>
      </c>
      <c r="C160" s="9" t="s">
        <v>709</v>
      </c>
      <c r="D160" s="9" t="s">
        <v>565</v>
      </c>
      <c r="E160" s="9" t="s">
        <v>495</v>
      </c>
      <c r="F160" s="9">
        <v>5</v>
      </c>
      <c r="G160" s="9" t="s">
        <v>411</v>
      </c>
      <c r="H160" s="9">
        <v>19.5</v>
      </c>
      <c r="I160" s="13">
        <f t="shared" si="40"/>
        <v>97.5</v>
      </c>
      <c r="J160" s="13">
        <f t="shared" si="41"/>
        <v>225</v>
      </c>
      <c r="K160" s="13">
        <f t="shared" si="42"/>
        <v>223</v>
      </c>
      <c r="L160" s="13">
        <f t="shared" si="43"/>
        <v>161</v>
      </c>
      <c r="M160" s="13">
        <f t="shared" si="44"/>
        <v>8</v>
      </c>
      <c r="N160" s="13" t="b">
        <f t="shared" si="45"/>
        <v>0</v>
      </c>
      <c r="O160" s="13" t="b">
        <f t="shared" si="46"/>
        <v>1</v>
      </c>
      <c r="P160" s="13" t="str">
        <f t="shared" si="47"/>
        <v>C003950-pack</v>
      </c>
      <c r="Q160" s="14" t="str">
        <f t="shared" si="48"/>
        <v>T089335
5</v>
      </c>
      <c r="R160" s="13" t="b">
        <f t="shared" si="49"/>
        <v>0</v>
      </c>
      <c r="S160" s="13" t="str">
        <f t="shared" si="50"/>
        <v>25</v>
      </c>
      <c r="T160" s="13" t="str">
        <f t="shared" si="51"/>
        <v>PACK</v>
      </c>
      <c r="U160" s="13" t="str">
        <f t="shared" si="52"/>
        <v>pack</v>
      </c>
      <c r="V160" s="13">
        <f t="shared" si="53"/>
        <v>2</v>
      </c>
      <c r="W160" s="13" t="str">
        <f t="shared" si="54"/>
        <v>T089335 5</v>
      </c>
      <c r="X160" s="13" t="str">
        <f t="shared" si="55"/>
        <v>S55312</v>
      </c>
      <c r="Y160" s="13" t="str">
        <f t="shared" si="56"/>
        <v>T08</v>
      </c>
      <c r="Z160" s="13" t="str">
        <f t="shared" si="57"/>
        <v>335</v>
      </c>
      <c r="AA160" s="13">
        <f t="shared" si="58"/>
        <v>2</v>
      </c>
      <c r="AB160" s="13">
        <f t="shared" si="59"/>
        <v>4</v>
      </c>
      <c r="AC160" s="13"/>
      <c r="AD160" s="13"/>
      <c r="AE160" s="13"/>
    </row>
    <row r="161" spans="1:31" ht="30" x14ac:dyDescent="0.25">
      <c r="A161" s="9" t="s">
        <v>63</v>
      </c>
      <c r="B161" s="9" t="s">
        <v>710</v>
      </c>
      <c r="C161" s="9" t="s">
        <v>711</v>
      </c>
      <c r="D161" s="9" t="s">
        <v>712</v>
      </c>
      <c r="E161" s="9" t="s">
        <v>713</v>
      </c>
      <c r="F161" s="9">
        <v>2</v>
      </c>
      <c r="G161" s="9" t="s">
        <v>36</v>
      </c>
      <c r="H161" s="9">
        <v>16.25</v>
      </c>
      <c r="I161" s="13">
        <f t="shared" si="40"/>
        <v>32.5</v>
      </c>
      <c r="J161" s="13">
        <f t="shared" si="41"/>
        <v>430.5</v>
      </c>
      <c r="K161" s="13">
        <f t="shared" si="42"/>
        <v>429</v>
      </c>
      <c r="L161" s="13">
        <f t="shared" si="43"/>
        <v>1420.5</v>
      </c>
      <c r="M161" s="13">
        <f t="shared" si="44"/>
        <v>80</v>
      </c>
      <c r="N161" s="13" t="b">
        <f t="shared" si="45"/>
        <v>0</v>
      </c>
      <c r="O161" s="13" t="b">
        <f t="shared" si="46"/>
        <v>1</v>
      </c>
      <c r="P161" s="13" t="str">
        <f t="shared" si="47"/>
        <v>C007980-cans</v>
      </c>
      <c r="Q161" s="14" t="str">
        <f t="shared" si="48"/>
        <v>T022421
2</v>
      </c>
      <c r="R161" s="13" t="b">
        <f t="shared" si="49"/>
        <v>0</v>
      </c>
      <c r="S161" s="13" t="str">
        <f t="shared" si="50"/>
        <v>02</v>
      </c>
      <c r="T161" s="13" t="str">
        <f t="shared" si="51"/>
        <v>CANS</v>
      </c>
      <c r="U161" s="13" t="str">
        <f t="shared" si="52"/>
        <v>cans</v>
      </c>
      <c r="V161" s="13">
        <f t="shared" si="53"/>
        <v>2</v>
      </c>
      <c r="W161" s="13" t="str">
        <f t="shared" si="54"/>
        <v>T022421 2</v>
      </c>
      <c r="X161" s="13" t="str">
        <f t="shared" si="55"/>
        <v>S55677</v>
      </c>
      <c r="Y161" s="13" t="str">
        <f t="shared" si="56"/>
        <v>T02</v>
      </c>
      <c r="Z161" s="13" t="str">
        <f t="shared" si="57"/>
        <v>421</v>
      </c>
      <c r="AA161" s="13">
        <f t="shared" si="58"/>
        <v>2</v>
      </c>
      <c r="AB161" s="13">
        <f t="shared" si="59"/>
        <v>4</v>
      </c>
      <c r="AC161" s="13"/>
      <c r="AD161" s="13"/>
      <c r="AE161" s="13"/>
    </row>
    <row r="162" spans="1:31" ht="30" x14ac:dyDescent="0.25">
      <c r="A162" s="9" t="s">
        <v>79</v>
      </c>
      <c r="B162" s="9" t="s">
        <v>714</v>
      </c>
      <c r="C162" s="9" t="s">
        <v>715</v>
      </c>
      <c r="D162" s="9" t="s">
        <v>123</v>
      </c>
      <c r="E162" s="9" t="s">
        <v>716</v>
      </c>
      <c r="F162" s="9">
        <v>11</v>
      </c>
      <c r="G162" s="9" t="s">
        <v>14</v>
      </c>
      <c r="H162" s="9">
        <v>15</v>
      </c>
      <c r="I162" s="13">
        <f t="shared" si="40"/>
        <v>165</v>
      </c>
      <c r="J162" s="13">
        <f t="shared" si="41"/>
        <v>79.5</v>
      </c>
      <c r="K162" s="13">
        <f t="shared" si="42"/>
        <v>77</v>
      </c>
      <c r="L162" s="13">
        <f t="shared" si="43"/>
        <v>2472</v>
      </c>
      <c r="M162" s="13">
        <f t="shared" si="44"/>
        <v>125</v>
      </c>
      <c r="N162" s="13" t="b">
        <f t="shared" si="45"/>
        <v>0</v>
      </c>
      <c r="O162" s="13" t="b">
        <f t="shared" si="46"/>
        <v>1</v>
      </c>
      <c r="P162" s="13" t="str">
        <f t="shared" si="47"/>
        <v>C005512-ct</v>
      </c>
      <c r="Q162" s="14" t="str">
        <f t="shared" si="48"/>
        <v>T072405
11</v>
      </c>
      <c r="R162" s="13" t="b">
        <f t="shared" si="49"/>
        <v>0</v>
      </c>
      <c r="S162" s="13" t="str">
        <f t="shared" si="50"/>
        <v>12</v>
      </c>
      <c r="T162" s="13" t="str">
        <f t="shared" si="51"/>
        <v>CT</v>
      </c>
      <c r="U162" s="13" t="str">
        <f t="shared" si="52"/>
        <v>ct</v>
      </c>
      <c r="V162" s="13">
        <f t="shared" si="53"/>
        <v>2</v>
      </c>
      <c r="W162" s="13" t="str">
        <f t="shared" si="54"/>
        <v>T072405 11</v>
      </c>
      <c r="X162" s="13" t="str">
        <f t="shared" si="55"/>
        <v>S55127</v>
      </c>
      <c r="Y162" s="13" t="str">
        <f t="shared" si="56"/>
        <v>T07</v>
      </c>
      <c r="Z162" s="13" t="str">
        <f t="shared" si="57"/>
        <v>405</v>
      </c>
      <c r="AA162" s="13">
        <f t="shared" si="58"/>
        <v>2</v>
      </c>
      <c r="AB162" s="13">
        <f t="shared" si="59"/>
        <v>2</v>
      </c>
      <c r="AC162" s="13"/>
      <c r="AD162" s="13"/>
      <c r="AE162" s="13"/>
    </row>
    <row r="163" spans="1:31" ht="30" x14ac:dyDescent="0.25">
      <c r="A163" s="9" t="s">
        <v>26</v>
      </c>
      <c r="B163" s="9" t="s">
        <v>717</v>
      </c>
      <c r="C163" s="9" t="s">
        <v>718</v>
      </c>
      <c r="D163" s="9" t="s">
        <v>437</v>
      </c>
      <c r="E163" s="9" t="s">
        <v>719</v>
      </c>
      <c r="F163" s="9">
        <v>2</v>
      </c>
      <c r="G163" s="9" t="s">
        <v>14</v>
      </c>
      <c r="H163" s="9">
        <v>14</v>
      </c>
      <c r="I163" s="13">
        <f t="shared" si="40"/>
        <v>28</v>
      </c>
      <c r="J163" s="13">
        <f t="shared" si="41"/>
        <v>443.5</v>
      </c>
      <c r="K163" s="13">
        <f t="shared" si="42"/>
        <v>443</v>
      </c>
      <c r="L163" s="13">
        <f t="shared" si="43"/>
        <v>2457</v>
      </c>
      <c r="M163" s="13">
        <f t="shared" si="44"/>
        <v>124</v>
      </c>
      <c r="N163" s="13" t="b">
        <f t="shared" si="45"/>
        <v>0</v>
      </c>
      <c r="O163" s="13" t="b">
        <f t="shared" si="46"/>
        <v>1</v>
      </c>
      <c r="P163" s="13" t="str">
        <f t="shared" si="47"/>
        <v>C005690-ct</v>
      </c>
      <c r="Q163" s="14" t="str">
        <f t="shared" si="48"/>
        <v>T04866
2</v>
      </c>
      <c r="R163" s="13" t="b">
        <f t="shared" si="49"/>
        <v>0</v>
      </c>
      <c r="S163" s="13" t="str">
        <f t="shared" si="50"/>
        <v>26</v>
      </c>
      <c r="T163" s="13" t="str">
        <f t="shared" si="51"/>
        <v>CT</v>
      </c>
      <c r="U163" s="13" t="str">
        <f t="shared" si="52"/>
        <v>ct</v>
      </c>
      <c r="V163" s="13">
        <f t="shared" si="53"/>
        <v>2</v>
      </c>
      <c r="W163" s="13" t="str">
        <f t="shared" si="54"/>
        <v>T04866 2</v>
      </c>
      <c r="X163" s="13" t="str">
        <f t="shared" si="55"/>
        <v>S55461</v>
      </c>
      <c r="Y163" s="13" t="str">
        <f t="shared" si="56"/>
        <v>T04</v>
      </c>
      <c r="Z163" s="13" t="str">
        <f t="shared" si="57"/>
        <v>866</v>
      </c>
      <c r="AA163" s="13">
        <f t="shared" si="58"/>
        <v>2</v>
      </c>
      <c r="AB163" s="13">
        <f t="shared" si="59"/>
        <v>2</v>
      </c>
      <c r="AC163" s="13"/>
      <c r="AD163" s="13"/>
      <c r="AE163" s="13"/>
    </row>
    <row r="164" spans="1:31" ht="30" x14ac:dyDescent="0.25">
      <c r="A164" s="9" t="s">
        <v>84</v>
      </c>
      <c r="B164" s="9" t="s">
        <v>720</v>
      </c>
      <c r="C164" s="9" t="s">
        <v>721</v>
      </c>
      <c r="D164" s="9" t="s">
        <v>199</v>
      </c>
      <c r="E164" s="9" t="s">
        <v>722</v>
      </c>
      <c r="F164" s="9">
        <v>1</v>
      </c>
      <c r="G164" s="9" t="s">
        <v>14</v>
      </c>
      <c r="H164" s="9">
        <v>20</v>
      </c>
      <c r="I164" s="13">
        <f t="shared" si="40"/>
        <v>20</v>
      </c>
      <c r="J164" s="13">
        <f t="shared" si="41"/>
        <v>464</v>
      </c>
      <c r="K164" s="13">
        <f t="shared" si="42"/>
        <v>462</v>
      </c>
      <c r="L164" s="13">
        <f t="shared" si="43"/>
        <v>2443</v>
      </c>
      <c r="M164" s="13">
        <f t="shared" si="44"/>
        <v>123</v>
      </c>
      <c r="N164" s="13" t="b">
        <f t="shared" si="45"/>
        <v>0</v>
      </c>
      <c r="O164" s="13" t="b">
        <f t="shared" si="46"/>
        <v>1</v>
      </c>
      <c r="P164" s="13" t="str">
        <f t="shared" si="47"/>
        <v>C005423-ct</v>
      </c>
      <c r="Q164" s="14" t="str">
        <f t="shared" si="48"/>
        <v>T081628
1</v>
      </c>
      <c r="R164" s="13" t="b">
        <f t="shared" si="49"/>
        <v>0</v>
      </c>
      <c r="S164" s="13" t="str">
        <f t="shared" si="50"/>
        <v>24</v>
      </c>
      <c r="T164" s="13" t="str">
        <f t="shared" si="51"/>
        <v>CT</v>
      </c>
      <c r="U164" s="13" t="str">
        <f t="shared" si="52"/>
        <v>ct</v>
      </c>
      <c r="V164" s="13">
        <f t="shared" si="53"/>
        <v>2</v>
      </c>
      <c r="W164" s="13" t="str">
        <f t="shared" si="54"/>
        <v>T081628 1</v>
      </c>
      <c r="X164" s="13" t="str">
        <f t="shared" si="55"/>
        <v>S55255</v>
      </c>
      <c r="Y164" s="13" t="str">
        <f t="shared" si="56"/>
        <v>T08</v>
      </c>
      <c r="Z164" s="13" t="str">
        <f t="shared" si="57"/>
        <v>628</v>
      </c>
      <c r="AA164" s="13">
        <f t="shared" si="58"/>
        <v>2</v>
      </c>
      <c r="AB164" s="13">
        <f t="shared" si="59"/>
        <v>2</v>
      </c>
      <c r="AC164" s="13"/>
      <c r="AD164" s="13"/>
      <c r="AE164" s="13"/>
    </row>
    <row r="165" spans="1:31" ht="30" x14ac:dyDescent="0.25">
      <c r="A165" s="9" t="s">
        <v>227</v>
      </c>
      <c r="B165" s="9" t="s">
        <v>723</v>
      </c>
      <c r="C165" s="9" t="s">
        <v>724</v>
      </c>
      <c r="D165" s="9" t="s">
        <v>703</v>
      </c>
      <c r="E165" s="9" t="s">
        <v>725</v>
      </c>
      <c r="F165" s="9">
        <v>7</v>
      </c>
      <c r="G165" s="9" t="s">
        <v>14</v>
      </c>
      <c r="H165" s="9">
        <v>12</v>
      </c>
      <c r="I165" s="13">
        <f t="shared" si="40"/>
        <v>84</v>
      </c>
      <c r="J165" s="13">
        <f t="shared" si="41"/>
        <v>263.5</v>
      </c>
      <c r="K165" s="13">
        <f t="shared" si="42"/>
        <v>260</v>
      </c>
      <c r="L165" s="13">
        <f t="shared" si="43"/>
        <v>2423</v>
      </c>
      <c r="M165" s="13">
        <f t="shared" si="44"/>
        <v>122</v>
      </c>
      <c r="N165" s="13" t="b">
        <f t="shared" si="45"/>
        <v>0</v>
      </c>
      <c r="O165" s="13" t="b">
        <f t="shared" si="46"/>
        <v>1</v>
      </c>
      <c r="P165" s="13" t="str">
        <f t="shared" si="47"/>
        <v>C007461-ct</v>
      </c>
      <c r="Q165" s="14" t="str">
        <f t="shared" si="48"/>
        <v>T016602
7</v>
      </c>
      <c r="R165" s="13" t="b">
        <f t="shared" si="49"/>
        <v>0</v>
      </c>
      <c r="S165" s="13" t="str">
        <f t="shared" si="50"/>
        <v>23</v>
      </c>
      <c r="T165" s="13" t="str">
        <f t="shared" si="51"/>
        <v>CT</v>
      </c>
      <c r="U165" s="13" t="str">
        <f t="shared" si="52"/>
        <v>ct</v>
      </c>
      <c r="V165" s="13">
        <f t="shared" si="53"/>
        <v>2</v>
      </c>
      <c r="W165" s="13" t="str">
        <f t="shared" si="54"/>
        <v>T016602 7</v>
      </c>
      <c r="X165" s="13" t="str">
        <f t="shared" si="55"/>
        <v>S55178</v>
      </c>
      <c r="Y165" s="13" t="str">
        <f t="shared" si="56"/>
        <v>T01</v>
      </c>
      <c r="Z165" s="13" t="str">
        <f t="shared" si="57"/>
        <v>602</v>
      </c>
      <c r="AA165" s="13">
        <f t="shared" si="58"/>
        <v>2</v>
      </c>
      <c r="AB165" s="13">
        <f t="shared" si="59"/>
        <v>2</v>
      </c>
      <c r="AC165" s="13"/>
      <c r="AD165" s="13"/>
      <c r="AE165" s="13"/>
    </row>
    <row r="166" spans="1:31" ht="30" x14ac:dyDescent="0.25">
      <c r="A166" s="9" t="s">
        <v>227</v>
      </c>
      <c r="B166" s="9" t="s">
        <v>726</v>
      </c>
      <c r="C166" s="9" t="s">
        <v>727</v>
      </c>
      <c r="D166" s="9" t="s">
        <v>728</v>
      </c>
      <c r="E166" s="9" t="s">
        <v>729</v>
      </c>
      <c r="F166" s="9">
        <v>2</v>
      </c>
      <c r="G166" s="9" t="s">
        <v>187</v>
      </c>
      <c r="H166" s="9">
        <v>15</v>
      </c>
      <c r="I166" s="13">
        <f t="shared" si="40"/>
        <v>30</v>
      </c>
      <c r="J166" s="13">
        <f t="shared" si="41"/>
        <v>440.5</v>
      </c>
      <c r="K166" s="13">
        <f t="shared" si="42"/>
        <v>439</v>
      </c>
      <c r="L166" s="13">
        <f t="shared" si="43"/>
        <v>77</v>
      </c>
      <c r="M166" s="13">
        <f t="shared" si="44"/>
        <v>5</v>
      </c>
      <c r="N166" s="13" t="b">
        <f t="shared" si="45"/>
        <v>0</v>
      </c>
      <c r="O166" s="13" t="b">
        <f t="shared" si="46"/>
        <v>1</v>
      </c>
      <c r="P166" s="13" t="str">
        <f t="shared" si="47"/>
        <v>C005548-tubs</v>
      </c>
      <c r="Q166" s="14" t="str">
        <f t="shared" si="48"/>
        <v>T057813
2</v>
      </c>
      <c r="R166" s="13" t="b">
        <f t="shared" si="49"/>
        <v>0</v>
      </c>
      <c r="S166" s="13" t="str">
        <f t="shared" si="50"/>
        <v>10</v>
      </c>
      <c r="T166" s="13" t="str">
        <f t="shared" si="51"/>
        <v>TUBS</v>
      </c>
      <c r="U166" s="13" t="str">
        <f t="shared" si="52"/>
        <v>tubs</v>
      </c>
      <c r="V166" s="13">
        <f t="shared" si="53"/>
        <v>2</v>
      </c>
      <c r="W166" s="13" t="str">
        <f t="shared" si="54"/>
        <v>T057813 2</v>
      </c>
      <c r="X166" s="13" t="str">
        <f t="shared" si="55"/>
        <v>S55357</v>
      </c>
      <c r="Y166" s="13" t="str">
        <f t="shared" si="56"/>
        <v>T05</v>
      </c>
      <c r="Z166" s="13" t="str">
        <f t="shared" si="57"/>
        <v>813</v>
      </c>
      <c r="AA166" s="13">
        <f t="shared" si="58"/>
        <v>2</v>
      </c>
      <c r="AB166" s="13">
        <f t="shared" si="59"/>
        <v>4</v>
      </c>
      <c r="AC166" s="13"/>
      <c r="AD166" s="13"/>
      <c r="AE166" s="13"/>
    </row>
    <row r="167" spans="1:31" ht="30" x14ac:dyDescent="0.25">
      <c r="A167" s="9" t="s">
        <v>146</v>
      </c>
      <c r="B167" s="9" t="s">
        <v>730</v>
      </c>
      <c r="C167" s="9" t="s">
        <v>731</v>
      </c>
      <c r="D167" s="9" t="s">
        <v>339</v>
      </c>
      <c r="E167" s="9" t="s">
        <v>732</v>
      </c>
      <c r="F167" s="9">
        <v>2</v>
      </c>
      <c r="G167" s="9" t="s">
        <v>14</v>
      </c>
      <c r="H167" s="9">
        <v>17</v>
      </c>
      <c r="I167" s="13">
        <f t="shared" si="40"/>
        <v>34</v>
      </c>
      <c r="J167" s="13">
        <f t="shared" si="41"/>
        <v>422.5</v>
      </c>
      <c r="K167" s="13">
        <f t="shared" si="42"/>
        <v>422</v>
      </c>
      <c r="L167" s="13">
        <f t="shared" si="43"/>
        <v>2411</v>
      </c>
      <c r="M167" s="13">
        <f t="shared" si="44"/>
        <v>121</v>
      </c>
      <c r="N167" s="13" t="b">
        <f t="shared" si="45"/>
        <v>0</v>
      </c>
      <c r="O167" s="13" t="b">
        <f t="shared" si="46"/>
        <v>1</v>
      </c>
      <c r="P167" s="13" t="str">
        <f t="shared" si="47"/>
        <v>C009187-ct</v>
      </c>
      <c r="Q167" s="14" t="str">
        <f t="shared" si="48"/>
        <v>T080308
2</v>
      </c>
      <c r="R167" s="13" t="b">
        <f t="shared" si="49"/>
        <v>0</v>
      </c>
      <c r="S167" s="13" t="str">
        <f t="shared" si="50"/>
        <v>12</v>
      </c>
      <c r="T167" s="13" t="str">
        <f t="shared" si="51"/>
        <v>CT</v>
      </c>
      <c r="U167" s="13" t="str">
        <f t="shared" si="52"/>
        <v>ct</v>
      </c>
      <c r="V167" s="13">
        <f t="shared" si="53"/>
        <v>2</v>
      </c>
      <c r="W167" s="13" t="str">
        <f t="shared" si="54"/>
        <v>T080308 2</v>
      </c>
      <c r="X167" s="13" t="str">
        <f t="shared" si="55"/>
        <v>S55394</v>
      </c>
      <c r="Y167" s="13" t="str">
        <f t="shared" si="56"/>
        <v>T08</v>
      </c>
      <c r="Z167" s="13" t="str">
        <f t="shared" si="57"/>
        <v>308</v>
      </c>
      <c r="AA167" s="13">
        <f t="shared" si="58"/>
        <v>2</v>
      </c>
      <c r="AB167" s="13">
        <f t="shared" si="59"/>
        <v>2</v>
      </c>
      <c r="AC167" s="13"/>
      <c r="AD167" s="13"/>
      <c r="AE167" s="13"/>
    </row>
    <row r="168" spans="1:31" ht="30" x14ac:dyDescent="0.25">
      <c r="A168" s="9" t="s">
        <v>218</v>
      </c>
      <c r="B168" s="9" t="s">
        <v>733</v>
      </c>
      <c r="C168" s="9" t="s">
        <v>734</v>
      </c>
      <c r="D168" s="9" t="s">
        <v>108</v>
      </c>
      <c r="E168" s="9" t="s">
        <v>540</v>
      </c>
      <c r="F168" s="9">
        <v>1</v>
      </c>
      <c r="G168" s="9" t="s">
        <v>14</v>
      </c>
      <c r="H168" s="9">
        <v>15</v>
      </c>
      <c r="I168" s="13">
        <f t="shared" si="40"/>
        <v>15</v>
      </c>
      <c r="J168" s="13">
        <f t="shared" si="41"/>
        <v>476.5</v>
      </c>
      <c r="K168" s="13">
        <f t="shared" si="42"/>
        <v>473</v>
      </c>
      <c r="L168" s="13">
        <f t="shared" si="43"/>
        <v>2394</v>
      </c>
      <c r="M168" s="13">
        <f t="shared" si="44"/>
        <v>120</v>
      </c>
      <c r="N168" s="13" t="b">
        <f t="shared" si="45"/>
        <v>0</v>
      </c>
      <c r="O168" s="13" t="b">
        <f t="shared" si="46"/>
        <v>1</v>
      </c>
      <c r="P168" s="13" t="str">
        <f t="shared" si="47"/>
        <v>C007335-ct</v>
      </c>
      <c r="Q168" s="14" t="str">
        <f t="shared" si="48"/>
        <v>T051185
1</v>
      </c>
      <c r="R168" s="13" t="b">
        <f t="shared" si="49"/>
        <v>0</v>
      </c>
      <c r="S168" s="13" t="str">
        <f t="shared" si="50"/>
        <v>08</v>
      </c>
      <c r="T168" s="13" t="str">
        <f t="shared" si="51"/>
        <v>CT</v>
      </c>
      <c r="U168" s="13" t="str">
        <f t="shared" si="52"/>
        <v>ct</v>
      </c>
      <c r="V168" s="13">
        <f t="shared" si="53"/>
        <v>2</v>
      </c>
      <c r="W168" s="13" t="str">
        <f t="shared" si="54"/>
        <v>T051185 1</v>
      </c>
      <c r="X168" s="13" t="str">
        <f t="shared" si="55"/>
        <v>S55566</v>
      </c>
      <c r="Y168" s="13" t="str">
        <f t="shared" si="56"/>
        <v>T05</v>
      </c>
      <c r="Z168" s="13" t="str">
        <f t="shared" si="57"/>
        <v>185</v>
      </c>
      <c r="AA168" s="13">
        <f t="shared" si="58"/>
        <v>2</v>
      </c>
      <c r="AB168" s="13">
        <f t="shared" si="59"/>
        <v>2</v>
      </c>
      <c r="AC168" s="13"/>
      <c r="AD168" s="13"/>
      <c r="AE168" s="13"/>
    </row>
    <row r="169" spans="1:31" ht="30" x14ac:dyDescent="0.25">
      <c r="A169" s="9" t="s">
        <v>283</v>
      </c>
      <c r="B169" s="9" t="s">
        <v>735</v>
      </c>
      <c r="C169" s="9" t="s">
        <v>736</v>
      </c>
      <c r="D169" s="9" t="s">
        <v>462</v>
      </c>
      <c r="E169" s="9" t="s">
        <v>247</v>
      </c>
      <c r="F169" s="9">
        <v>4</v>
      </c>
      <c r="G169" s="9" t="s">
        <v>36</v>
      </c>
      <c r="H169" s="9">
        <v>40</v>
      </c>
      <c r="I169" s="13">
        <f t="shared" si="40"/>
        <v>160</v>
      </c>
      <c r="J169" s="13">
        <f t="shared" si="41"/>
        <v>90.5</v>
      </c>
      <c r="K169" s="13">
        <f t="shared" si="42"/>
        <v>84</v>
      </c>
      <c r="L169" s="13">
        <f t="shared" si="43"/>
        <v>1404.25</v>
      </c>
      <c r="M169" s="13">
        <f t="shared" si="44"/>
        <v>79</v>
      </c>
      <c r="N169" s="13" t="b">
        <f t="shared" si="45"/>
        <v>1</v>
      </c>
      <c r="O169" s="13" t="b">
        <f t="shared" si="46"/>
        <v>1</v>
      </c>
      <c r="P169" s="13" t="str">
        <f t="shared" si="47"/>
        <v>C002760-cans</v>
      </c>
      <c r="Q169" s="14" t="str">
        <f t="shared" si="48"/>
        <v>T084238
4</v>
      </c>
      <c r="R169" s="13" t="b">
        <f t="shared" si="49"/>
        <v>0</v>
      </c>
      <c r="S169" s="13" t="str">
        <f t="shared" si="50"/>
        <v>06</v>
      </c>
      <c r="T169" s="13" t="str">
        <f t="shared" si="51"/>
        <v>CANS</v>
      </c>
      <c r="U169" s="13" t="str">
        <f t="shared" si="52"/>
        <v>cans</v>
      </c>
      <c r="V169" s="13">
        <f t="shared" si="53"/>
        <v>2</v>
      </c>
      <c r="W169" s="13" t="str">
        <f t="shared" si="54"/>
        <v>T084238 4</v>
      </c>
      <c r="X169" s="13" t="str">
        <f t="shared" si="55"/>
        <v>S55582</v>
      </c>
      <c r="Y169" s="13" t="str">
        <f t="shared" si="56"/>
        <v>T08</v>
      </c>
      <c r="Z169" s="13" t="str">
        <f t="shared" si="57"/>
        <v>238</v>
      </c>
      <c r="AA169" s="13">
        <f t="shared" si="58"/>
        <v>2</v>
      </c>
      <c r="AB169" s="13">
        <f t="shared" si="59"/>
        <v>4</v>
      </c>
      <c r="AC169" s="13"/>
      <c r="AD169" s="13"/>
      <c r="AE169" s="13"/>
    </row>
    <row r="170" spans="1:31" ht="30" x14ac:dyDescent="0.25">
      <c r="A170" s="9" t="s">
        <v>110</v>
      </c>
      <c r="B170" s="9" t="s">
        <v>737</v>
      </c>
      <c r="C170" s="9" t="s">
        <v>738</v>
      </c>
      <c r="D170" s="9" t="s">
        <v>174</v>
      </c>
      <c r="E170" s="9" t="s">
        <v>739</v>
      </c>
      <c r="F170" s="9">
        <v>4</v>
      </c>
      <c r="G170" s="9" t="s">
        <v>176</v>
      </c>
      <c r="H170" s="9">
        <v>15</v>
      </c>
      <c r="I170" s="13">
        <f t="shared" si="40"/>
        <v>60</v>
      </c>
      <c r="J170" s="13">
        <f t="shared" si="41"/>
        <v>344.5</v>
      </c>
      <c r="K170" s="13">
        <f t="shared" si="42"/>
        <v>337</v>
      </c>
      <c r="L170" s="13">
        <f t="shared" si="43"/>
        <v>352</v>
      </c>
      <c r="M170" s="13">
        <f t="shared" si="44"/>
        <v>22</v>
      </c>
      <c r="N170" s="13" t="b">
        <f t="shared" si="45"/>
        <v>0</v>
      </c>
      <c r="O170" s="13" t="b">
        <f t="shared" si="46"/>
        <v>1</v>
      </c>
      <c r="P170" s="13" t="str">
        <f t="shared" si="47"/>
        <v>C006111-oz</v>
      </c>
      <c r="Q170" s="14" t="str">
        <f t="shared" si="48"/>
        <v>T05728
4</v>
      </c>
      <c r="R170" s="13" t="b">
        <f t="shared" si="49"/>
        <v>0</v>
      </c>
      <c r="S170" s="13" t="str">
        <f t="shared" si="50"/>
        <v>10</v>
      </c>
      <c r="T170" s="13" t="str">
        <f t="shared" si="51"/>
        <v>OZ</v>
      </c>
      <c r="U170" s="13" t="str">
        <f t="shared" si="52"/>
        <v>oz</v>
      </c>
      <c r="V170" s="13">
        <f t="shared" si="53"/>
        <v>2</v>
      </c>
      <c r="W170" s="13" t="str">
        <f t="shared" si="54"/>
        <v>T05728 4</v>
      </c>
      <c r="X170" s="13" t="str">
        <f t="shared" si="55"/>
        <v>S55377</v>
      </c>
      <c r="Y170" s="13" t="str">
        <f t="shared" si="56"/>
        <v>T05</v>
      </c>
      <c r="Z170" s="13" t="str">
        <f t="shared" si="57"/>
        <v>728</v>
      </c>
      <c r="AA170" s="13">
        <f t="shared" si="58"/>
        <v>2</v>
      </c>
      <c r="AB170" s="13">
        <f t="shared" si="59"/>
        <v>2</v>
      </c>
      <c r="AC170" s="13"/>
      <c r="AD170" s="13"/>
      <c r="AE170" s="13"/>
    </row>
    <row r="171" spans="1:31" ht="30" x14ac:dyDescent="0.25">
      <c r="A171" s="9" t="s">
        <v>182</v>
      </c>
      <c r="B171" s="9" t="s">
        <v>740</v>
      </c>
      <c r="C171" s="9" t="s">
        <v>741</v>
      </c>
      <c r="D171" s="9" t="s">
        <v>474</v>
      </c>
      <c r="E171" s="9" t="s">
        <v>742</v>
      </c>
      <c r="F171" s="9">
        <v>6</v>
      </c>
      <c r="G171" s="9" t="s">
        <v>176</v>
      </c>
      <c r="H171" s="9">
        <v>20</v>
      </c>
      <c r="I171" s="13">
        <f t="shared" si="40"/>
        <v>120</v>
      </c>
      <c r="J171" s="13">
        <f t="shared" si="41"/>
        <v>169.5</v>
      </c>
      <c r="K171" s="13">
        <f t="shared" si="42"/>
        <v>162</v>
      </c>
      <c r="L171" s="13">
        <f t="shared" si="43"/>
        <v>337</v>
      </c>
      <c r="M171" s="13">
        <f t="shared" si="44"/>
        <v>21</v>
      </c>
      <c r="N171" s="13" t="b">
        <f t="shared" si="45"/>
        <v>0</v>
      </c>
      <c r="O171" s="13" t="b">
        <f t="shared" si="46"/>
        <v>1</v>
      </c>
      <c r="P171" s="13" t="str">
        <f t="shared" si="47"/>
        <v>C000827-oz</v>
      </c>
      <c r="Q171" s="14" t="str">
        <f t="shared" si="48"/>
        <v>T075378
6</v>
      </c>
      <c r="R171" s="13" t="b">
        <f t="shared" si="49"/>
        <v>0</v>
      </c>
      <c r="S171" s="13" t="str">
        <f t="shared" si="50"/>
        <v>10</v>
      </c>
      <c r="T171" s="13" t="str">
        <f t="shared" si="51"/>
        <v>OZ</v>
      </c>
      <c r="U171" s="13" t="str">
        <f t="shared" si="52"/>
        <v>oz</v>
      </c>
      <c r="V171" s="13">
        <f t="shared" si="53"/>
        <v>2</v>
      </c>
      <c r="W171" s="13" t="str">
        <f t="shared" si="54"/>
        <v>T075378 6</v>
      </c>
      <c r="X171" s="13" t="str">
        <f t="shared" si="55"/>
        <v>S55648</v>
      </c>
      <c r="Y171" s="13" t="str">
        <f t="shared" si="56"/>
        <v>T07</v>
      </c>
      <c r="Z171" s="13" t="str">
        <f t="shared" si="57"/>
        <v>378</v>
      </c>
      <c r="AA171" s="13">
        <f t="shared" si="58"/>
        <v>2</v>
      </c>
      <c r="AB171" s="13">
        <f t="shared" si="59"/>
        <v>2</v>
      </c>
      <c r="AC171" s="13"/>
      <c r="AD171" s="13"/>
      <c r="AE171" s="13"/>
    </row>
    <row r="172" spans="1:31" ht="30" x14ac:dyDescent="0.25">
      <c r="A172" s="9" t="s">
        <v>79</v>
      </c>
      <c r="B172" s="9" t="s">
        <v>743</v>
      </c>
      <c r="C172" s="9" t="s">
        <v>744</v>
      </c>
      <c r="D172" s="9" t="s">
        <v>576</v>
      </c>
      <c r="E172" s="9" t="s">
        <v>354</v>
      </c>
      <c r="F172" s="9">
        <v>3</v>
      </c>
      <c r="G172" s="9" t="s">
        <v>68</v>
      </c>
      <c r="H172" s="9">
        <v>20</v>
      </c>
      <c r="I172" s="13">
        <f t="shared" si="40"/>
        <v>60</v>
      </c>
      <c r="J172" s="13">
        <f t="shared" si="41"/>
        <v>344.5</v>
      </c>
      <c r="K172" s="13">
        <f t="shared" si="42"/>
        <v>337</v>
      </c>
      <c r="L172" s="13">
        <f t="shared" si="43"/>
        <v>658</v>
      </c>
      <c r="M172" s="13">
        <f t="shared" si="44"/>
        <v>39</v>
      </c>
      <c r="N172" s="13" t="b">
        <f t="shared" si="45"/>
        <v>0</v>
      </c>
      <c r="O172" s="13" t="b">
        <f t="shared" si="46"/>
        <v>1</v>
      </c>
      <c r="P172" s="13" t="str">
        <f t="shared" si="47"/>
        <v>C000247-bottles</v>
      </c>
      <c r="Q172" s="14" t="str">
        <f t="shared" si="48"/>
        <v>T019329
3</v>
      </c>
      <c r="R172" s="13" t="b">
        <f t="shared" si="49"/>
        <v>0</v>
      </c>
      <c r="S172" s="13" t="str">
        <f t="shared" si="50"/>
        <v>09</v>
      </c>
      <c r="T172" s="13" t="str">
        <f t="shared" si="51"/>
        <v>BOTTLES</v>
      </c>
      <c r="U172" s="13" t="str">
        <f t="shared" si="52"/>
        <v>bottles</v>
      </c>
      <c r="V172" s="13">
        <f t="shared" si="53"/>
        <v>2</v>
      </c>
      <c r="W172" s="13" t="str">
        <f t="shared" si="54"/>
        <v>T019329 3</v>
      </c>
      <c r="X172" s="13" t="str">
        <f t="shared" si="55"/>
        <v>S55389</v>
      </c>
      <c r="Y172" s="13" t="str">
        <f t="shared" si="56"/>
        <v>T01</v>
      </c>
      <c r="Z172" s="13" t="str">
        <f t="shared" si="57"/>
        <v>329</v>
      </c>
      <c r="AA172" s="13">
        <f t="shared" si="58"/>
        <v>2</v>
      </c>
      <c r="AB172" s="13">
        <f t="shared" si="59"/>
        <v>7</v>
      </c>
      <c r="AC172" s="13"/>
      <c r="AD172" s="13"/>
      <c r="AE172" s="13"/>
    </row>
    <row r="173" spans="1:31" ht="30" x14ac:dyDescent="0.25">
      <c r="A173" s="9" t="s">
        <v>100</v>
      </c>
      <c r="B173" s="9" t="s">
        <v>745</v>
      </c>
      <c r="C173" s="9" t="s">
        <v>746</v>
      </c>
      <c r="D173" s="9" t="s">
        <v>629</v>
      </c>
      <c r="E173" s="9" t="s">
        <v>747</v>
      </c>
      <c r="F173" s="9">
        <v>7</v>
      </c>
      <c r="G173" s="9" t="s">
        <v>14</v>
      </c>
      <c r="H173" s="9">
        <v>12</v>
      </c>
      <c r="I173" s="13">
        <f t="shared" si="40"/>
        <v>84</v>
      </c>
      <c r="J173" s="13">
        <f t="shared" si="41"/>
        <v>263.5</v>
      </c>
      <c r="K173" s="13">
        <f t="shared" si="42"/>
        <v>260</v>
      </c>
      <c r="L173" s="13">
        <f t="shared" si="43"/>
        <v>2379</v>
      </c>
      <c r="M173" s="13">
        <f t="shared" si="44"/>
        <v>119</v>
      </c>
      <c r="N173" s="13" t="b">
        <f t="shared" si="45"/>
        <v>0</v>
      </c>
      <c r="O173" s="13" t="b">
        <f t="shared" si="46"/>
        <v>1</v>
      </c>
      <c r="P173" s="13" t="str">
        <f t="shared" si="47"/>
        <v>C005046-ct</v>
      </c>
      <c r="Q173" s="14" t="str">
        <f t="shared" si="48"/>
        <v>T033517
7</v>
      </c>
      <c r="R173" s="13" t="b">
        <f t="shared" si="49"/>
        <v>0</v>
      </c>
      <c r="S173" s="13" t="str">
        <f t="shared" si="50"/>
        <v>19</v>
      </c>
      <c r="T173" s="13" t="str">
        <f t="shared" si="51"/>
        <v>CT</v>
      </c>
      <c r="U173" s="13" t="str">
        <f t="shared" si="52"/>
        <v>ct</v>
      </c>
      <c r="V173" s="13">
        <f t="shared" si="53"/>
        <v>2</v>
      </c>
      <c r="W173" s="13" t="str">
        <f t="shared" si="54"/>
        <v>T033517 7</v>
      </c>
      <c r="X173" s="13" t="str">
        <f t="shared" si="55"/>
        <v>S55662</v>
      </c>
      <c r="Y173" s="13" t="str">
        <f t="shared" si="56"/>
        <v>T03</v>
      </c>
      <c r="Z173" s="13" t="str">
        <f t="shared" si="57"/>
        <v>517</v>
      </c>
      <c r="AA173" s="13">
        <f t="shared" si="58"/>
        <v>2</v>
      </c>
      <c r="AB173" s="13">
        <f t="shared" si="59"/>
        <v>2</v>
      </c>
      <c r="AC173" s="13"/>
      <c r="AD173" s="13"/>
      <c r="AE173" s="13"/>
    </row>
    <row r="174" spans="1:31" ht="30" x14ac:dyDescent="0.25">
      <c r="A174" s="9" t="s">
        <v>125</v>
      </c>
      <c r="B174" s="9" t="s">
        <v>748</v>
      </c>
      <c r="C174" s="9" t="s">
        <v>749</v>
      </c>
      <c r="D174" s="9" t="s">
        <v>750</v>
      </c>
      <c r="E174" s="9" t="s">
        <v>751</v>
      </c>
      <c r="F174" s="9">
        <v>4</v>
      </c>
      <c r="G174" s="9" t="s">
        <v>14</v>
      </c>
      <c r="H174" s="9">
        <v>16</v>
      </c>
      <c r="I174" s="13">
        <f t="shared" si="40"/>
        <v>64</v>
      </c>
      <c r="J174" s="13">
        <f t="shared" si="41"/>
        <v>328</v>
      </c>
      <c r="K174" s="13">
        <f t="shared" si="42"/>
        <v>324</v>
      </c>
      <c r="L174" s="13">
        <f t="shared" si="43"/>
        <v>2367</v>
      </c>
      <c r="M174" s="13">
        <f t="shared" si="44"/>
        <v>118</v>
      </c>
      <c r="N174" s="13" t="b">
        <f t="shared" si="45"/>
        <v>0</v>
      </c>
      <c r="O174" s="13" t="b">
        <f t="shared" si="46"/>
        <v>1</v>
      </c>
      <c r="P174" s="13" t="str">
        <f t="shared" si="47"/>
        <v>C005367-ct</v>
      </c>
      <c r="Q174" s="14" t="str">
        <f t="shared" si="48"/>
        <v>T013761
4</v>
      </c>
      <c r="R174" s="13" t="b">
        <f t="shared" si="49"/>
        <v>0</v>
      </c>
      <c r="S174" s="13" t="str">
        <f t="shared" si="50"/>
        <v>17</v>
      </c>
      <c r="T174" s="13" t="str">
        <f t="shared" si="51"/>
        <v>CT</v>
      </c>
      <c r="U174" s="13" t="str">
        <f t="shared" si="52"/>
        <v>ct</v>
      </c>
      <c r="V174" s="13">
        <f t="shared" si="53"/>
        <v>2</v>
      </c>
      <c r="W174" s="13" t="str">
        <f t="shared" si="54"/>
        <v>T013761 4</v>
      </c>
      <c r="X174" s="13" t="str">
        <f t="shared" si="55"/>
        <v>S55243</v>
      </c>
      <c r="Y174" s="13" t="str">
        <f t="shared" si="56"/>
        <v>T01</v>
      </c>
      <c r="Z174" s="13" t="str">
        <f t="shared" si="57"/>
        <v>761</v>
      </c>
      <c r="AA174" s="13">
        <f t="shared" si="58"/>
        <v>2</v>
      </c>
      <c r="AB174" s="13">
        <f t="shared" si="59"/>
        <v>2</v>
      </c>
      <c r="AC174" s="13"/>
      <c r="AD174" s="13"/>
      <c r="AE174" s="13"/>
    </row>
    <row r="175" spans="1:31" ht="30" x14ac:dyDescent="0.25">
      <c r="A175" s="9" t="s">
        <v>752</v>
      </c>
      <c r="B175" s="9" t="s">
        <v>753</v>
      </c>
      <c r="C175" s="9" t="s">
        <v>754</v>
      </c>
      <c r="D175" s="9" t="s">
        <v>755</v>
      </c>
      <c r="E175" s="9" t="s">
        <v>756</v>
      </c>
      <c r="F175" s="9">
        <v>8</v>
      </c>
      <c r="G175" s="9" t="s">
        <v>36</v>
      </c>
      <c r="H175" s="9">
        <v>16</v>
      </c>
      <c r="I175" s="13">
        <f t="shared" si="40"/>
        <v>128</v>
      </c>
      <c r="J175" s="13">
        <f t="shared" si="41"/>
        <v>150</v>
      </c>
      <c r="K175" s="13">
        <f t="shared" si="42"/>
        <v>148</v>
      </c>
      <c r="L175" s="13">
        <f t="shared" si="43"/>
        <v>1364.25</v>
      </c>
      <c r="M175" s="13">
        <f t="shared" si="44"/>
        <v>78</v>
      </c>
      <c r="N175" s="13" t="b">
        <f t="shared" si="45"/>
        <v>0</v>
      </c>
      <c r="O175" s="13" t="b">
        <f t="shared" si="46"/>
        <v>1</v>
      </c>
      <c r="P175" s="13" t="str">
        <f t="shared" si="47"/>
        <v>C007465-cans</v>
      </c>
      <c r="Q175" s="14" t="str">
        <f t="shared" si="48"/>
        <v>T054055
8</v>
      </c>
      <c r="R175" s="13" t="b">
        <f t="shared" si="49"/>
        <v>0</v>
      </c>
      <c r="S175" s="13" t="str">
        <f t="shared" si="50"/>
        <v>03</v>
      </c>
      <c r="T175" s="13" t="str">
        <f t="shared" si="51"/>
        <v>CANS</v>
      </c>
      <c r="U175" s="13" t="str">
        <f t="shared" si="52"/>
        <v>cans</v>
      </c>
      <c r="V175" s="13">
        <f t="shared" si="53"/>
        <v>2</v>
      </c>
      <c r="W175" s="13" t="str">
        <f t="shared" si="54"/>
        <v>T054055 8</v>
      </c>
      <c r="X175" s="13" t="str">
        <f t="shared" si="55"/>
        <v>S55474</v>
      </c>
      <c r="Y175" s="13" t="str">
        <f t="shared" si="56"/>
        <v>T05</v>
      </c>
      <c r="Z175" s="13" t="str">
        <f t="shared" si="57"/>
        <v>055</v>
      </c>
      <c r="AA175" s="13">
        <f t="shared" si="58"/>
        <v>2</v>
      </c>
      <c r="AB175" s="13">
        <f t="shared" si="59"/>
        <v>4</v>
      </c>
      <c r="AC175" s="13"/>
      <c r="AD175" s="13"/>
      <c r="AE175" s="13"/>
    </row>
    <row r="176" spans="1:31" ht="30" x14ac:dyDescent="0.25">
      <c r="A176" s="9" t="s">
        <v>171</v>
      </c>
      <c r="B176" s="9" t="s">
        <v>757</v>
      </c>
      <c r="C176" s="9" t="s">
        <v>758</v>
      </c>
      <c r="D176" s="9" t="s">
        <v>597</v>
      </c>
      <c r="E176" s="9" t="s">
        <v>759</v>
      </c>
      <c r="F176" s="9">
        <v>9</v>
      </c>
      <c r="G176" s="9" t="s">
        <v>115</v>
      </c>
      <c r="H176" s="9">
        <v>16</v>
      </c>
      <c r="I176" s="13">
        <f t="shared" si="40"/>
        <v>144</v>
      </c>
      <c r="J176" s="13">
        <f t="shared" si="41"/>
        <v>118</v>
      </c>
      <c r="K176" s="13">
        <f t="shared" si="42"/>
        <v>115</v>
      </c>
      <c r="L176" s="13">
        <f t="shared" si="43"/>
        <v>365</v>
      </c>
      <c r="M176" s="13">
        <f t="shared" si="44"/>
        <v>22</v>
      </c>
      <c r="N176" s="13" t="b">
        <f t="shared" si="45"/>
        <v>0</v>
      </c>
      <c r="O176" s="13" t="b">
        <f t="shared" si="46"/>
        <v>1</v>
      </c>
      <c r="P176" s="13" t="str">
        <f t="shared" si="47"/>
        <v>C004321-bags</v>
      </c>
      <c r="Q176" s="14" t="str">
        <f t="shared" si="48"/>
        <v>T038449
9</v>
      </c>
      <c r="R176" s="13" t="b">
        <f t="shared" si="49"/>
        <v>0</v>
      </c>
      <c r="S176" s="13" t="str">
        <f t="shared" si="50"/>
        <v>15</v>
      </c>
      <c r="T176" s="13" t="str">
        <f t="shared" si="51"/>
        <v>BAGS</v>
      </c>
      <c r="U176" s="13" t="str">
        <f t="shared" si="52"/>
        <v>bags</v>
      </c>
      <c r="V176" s="13">
        <f t="shared" si="53"/>
        <v>2</v>
      </c>
      <c r="W176" s="13" t="str">
        <f t="shared" si="54"/>
        <v>T038449 9</v>
      </c>
      <c r="X176" s="13" t="str">
        <f t="shared" si="55"/>
        <v>S55288</v>
      </c>
      <c r="Y176" s="13" t="str">
        <f t="shared" si="56"/>
        <v>T03</v>
      </c>
      <c r="Z176" s="13" t="str">
        <f t="shared" si="57"/>
        <v>449</v>
      </c>
      <c r="AA176" s="13">
        <f t="shared" si="58"/>
        <v>2</v>
      </c>
      <c r="AB176" s="13">
        <f t="shared" si="59"/>
        <v>4</v>
      </c>
      <c r="AC176" s="13"/>
      <c r="AD176" s="13"/>
      <c r="AE176" s="13"/>
    </row>
    <row r="177" spans="1:31" ht="30" x14ac:dyDescent="0.25">
      <c r="A177" s="9" t="s">
        <v>9</v>
      </c>
      <c r="B177" s="9" t="s">
        <v>760</v>
      </c>
      <c r="C177" s="9" t="s">
        <v>761</v>
      </c>
      <c r="D177" s="9" t="s">
        <v>762</v>
      </c>
      <c r="E177" s="9" t="s">
        <v>763</v>
      </c>
      <c r="F177" s="9">
        <v>8</v>
      </c>
      <c r="G177" s="9" t="s">
        <v>36</v>
      </c>
      <c r="H177" s="9">
        <v>11.5</v>
      </c>
      <c r="I177" s="13">
        <f t="shared" si="40"/>
        <v>92</v>
      </c>
      <c r="J177" s="13">
        <f t="shared" si="41"/>
        <v>237</v>
      </c>
      <c r="K177" s="13">
        <f t="shared" si="42"/>
        <v>237</v>
      </c>
      <c r="L177" s="13">
        <f t="shared" si="43"/>
        <v>1348.25</v>
      </c>
      <c r="M177" s="13">
        <f t="shared" si="44"/>
        <v>77</v>
      </c>
      <c r="N177" s="13" t="b">
        <f t="shared" si="45"/>
        <v>0</v>
      </c>
      <c r="O177" s="13" t="b">
        <f t="shared" si="46"/>
        <v>1</v>
      </c>
      <c r="P177" s="13" t="str">
        <f t="shared" si="47"/>
        <v>C008394-cans</v>
      </c>
      <c r="Q177" s="14" t="str">
        <f t="shared" si="48"/>
        <v>T013267
8</v>
      </c>
      <c r="R177" s="13" t="b">
        <f t="shared" si="49"/>
        <v>0</v>
      </c>
      <c r="S177" s="13" t="str">
        <f t="shared" si="50"/>
        <v>02</v>
      </c>
      <c r="T177" s="13" t="str">
        <f t="shared" si="51"/>
        <v>CANS</v>
      </c>
      <c r="U177" s="13" t="str">
        <f t="shared" si="52"/>
        <v>cans</v>
      </c>
      <c r="V177" s="13">
        <f t="shared" si="53"/>
        <v>2</v>
      </c>
      <c r="W177" s="13" t="str">
        <f t="shared" si="54"/>
        <v>T013267 8</v>
      </c>
      <c r="X177" s="13" t="str">
        <f t="shared" si="55"/>
        <v>S55242</v>
      </c>
      <c r="Y177" s="13" t="str">
        <f t="shared" si="56"/>
        <v>T01</v>
      </c>
      <c r="Z177" s="13" t="str">
        <f t="shared" si="57"/>
        <v>267</v>
      </c>
      <c r="AA177" s="13">
        <f t="shared" si="58"/>
        <v>2</v>
      </c>
      <c r="AB177" s="13">
        <f t="shared" si="59"/>
        <v>4</v>
      </c>
      <c r="AC177" s="13"/>
      <c r="AD177" s="13"/>
      <c r="AE177" s="13"/>
    </row>
    <row r="178" spans="1:31" ht="30" x14ac:dyDescent="0.25">
      <c r="A178" s="9" t="s">
        <v>292</v>
      </c>
      <c r="B178" s="9" t="s">
        <v>764</v>
      </c>
      <c r="C178" s="9" t="s">
        <v>765</v>
      </c>
      <c r="D178" s="9" t="s">
        <v>766</v>
      </c>
      <c r="E178" s="9" t="s">
        <v>767</v>
      </c>
      <c r="F178" s="9">
        <v>8</v>
      </c>
      <c r="G178" s="9" t="s">
        <v>14</v>
      </c>
      <c r="H178" s="9">
        <v>19.5</v>
      </c>
      <c r="I178" s="13">
        <f t="shared" si="40"/>
        <v>156</v>
      </c>
      <c r="J178" s="13">
        <f t="shared" si="41"/>
        <v>98</v>
      </c>
      <c r="K178" s="13">
        <f t="shared" si="42"/>
        <v>98</v>
      </c>
      <c r="L178" s="13">
        <f t="shared" si="43"/>
        <v>2351</v>
      </c>
      <c r="M178" s="13">
        <f t="shared" si="44"/>
        <v>117</v>
      </c>
      <c r="N178" s="13" t="b">
        <f t="shared" si="45"/>
        <v>0</v>
      </c>
      <c r="O178" s="13" t="b">
        <f t="shared" si="46"/>
        <v>1</v>
      </c>
      <c r="P178" s="13" t="str">
        <f t="shared" si="47"/>
        <v>C004333-ct</v>
      </c>
      <c r="Q178" s="14" t="str">
        <f t="shared" si="48"/>
        <v>T087002
8</v>
      </c>
      <c r="R178" s="13" t="b">
        <f t="shared" si="49"/>
        <v>0</v>
      </c>
      <c r="S178" s="13" t="str">
        <f t="shared" si="50"/>
        <v>13</v>
      </c>
      <c r="T178" s="13" t="str">
        <f t="shared" si="51"/>
        <v>CT</v>
      </c>
      <c r="U178" s="13" t="str">
        <f t="shared" si="52"/>
        <v>ct</v>
      </c>
      <c r="V178" s="13">
        <f t="shared" si="53"/>
        <v>2</v>
      </c>
      <c r="W178" s="13" t="str">
        <f t="shared" si="54"/>
        <v>T087002 8</v>
      </c>
      <c r="X178" s="13" t="str">
        <f t="shared" si="55"/>
        <v>S55347</v>
      </c>
      <c r="Y178" s="13" t="str">
        <f t="shared" si="56"/>
        <v>T08</v>
      </c>
      <c r="Z178" s="13" t="str">
        <f t="shared" si="57"/>
        <v>002</v>
      </c>
      <c r="AA178" s="13">
        <f t="shared" si="58"/>
        <v>2</v>
      </c>
      <c r="AB178" s="13">
        <f t="shared" si="59"/>
        <v>2</v>
      </c>
      <c r="AC178" s="13"/>
      <c r="AD178" s="13"/>
      <c r="AE178" s="13"/>
    </row>
    <row r="179" spans="1:31" ht="30" x14ac:dyDescent="0.25">
      <c r="A179" s="9" t="s">
        <v>130</v>
      </c>
      <c r="B179" s="9" t="s">
        <v>768</v>
      </c>
      <c r="C179" s="9" t="s">
        <v>769</v>
      </c>
      <c r="D179" s="9" t="s">
        <v>119</v>
      </c>
      <c r="E179" s="9" t="s">
        <v>770</v>
      </c>
      <c r="F179" s="9">
        <v>11</v>
      </c>
      <c r="G179" s="9" t="s">
        <v>68</v>
      </c>
      <c r="H179" s="9">
        <v>7.5</v>
      </c>
      <c r="I179" s="13">
        <f t="shared" si="40"/>
        <v>82.5</v>
      </c>
      <c r="J179" s="13">
        <f t="shared" si="41"/>
        <v>268</v>
      </c>
      <c r="K179" s="13">
        <f t="shared" si="42"/>
        <v>268</v>
      </c>
      <c r="L179" s="13">
        <f t="shared" si="43"/>
        <v>638</v>
      </c>
      <c r="M179" s="13">
        <f t="shared" si="44"/>
        <v>38</v>
      </c>
      <c r="N179" s="13" t="b">
        <f t="shared" si="45"/>
        <v>0</v>
      </c>
      <c r="O179" s="13" t="b">
        <f t="shared" si="46"/>
        <v>1</v>
      </c>
      <c r="P179" s="13" t="str">
        <f t="shared" si="47"/>
        <v>C008928-bottles</v>
      </c>
      <c r="Q179" s="14" t="str">
        <f t="shared" si="48"/>
        <v>T080527
11</v>
      </c>
      <c r="R179" s="13" t="b">
        <f t="shared" si="49"/>
        <v>0</v>
      </c>
      <c r="S179" s="13" t="str">
        <f t="shared" si="50"/>
        <v>09</v>
      </c>
      <c r="T179" s="13" t="str">
        <f t="shared" si="51"/>
        <v>BOTTLES</v>
      </c>
      <c r="U179" s="13" t="str">
        <f t="shared" si="52"/>
        <v>bottles</v>
      </c>
      <c r="V179" s="13">
        <f t="shared" si="53"/>
        <v>2</v>
      </c>
      <c r="W179" s="13" t="str">
        <f t="shared" si="54"/>
        <v>T080527 11</v>
      </c>
      <c r="X179" s="13" t="str">
        <f t="shared" si="55"/>
        <v>S55455</v>
      </c>
      <c r="Y179" s="13" t="str">
        <f t="shared" si="56"/>
        <v>T08</v>
      </c>
      <c r="Z179" s="13" t="str">
        <f t="shared" si="57"/>
        <v>527</v>
      </c>
      <c r="AA179" s="13">
        <f t="shared" si="58"/>
        <v>2</v>
      </c>
      <c r="AB179" s="13">
        <f t="shared" si="59"/>
        <v>7</v>
      </c>
      <c r="AC179" s="13"/>
      <c r="AD179" s="13"/>
      <c r="AE179" s="13"/>
    </row>
    <row r="180" spans="1:31" ht="30" x14ac:dyDescent="0.25">
      <c r="A180" s="9" t="s">
        <v>218</v>
      </c>
      <c r="B180" s="9" t="s">
        <v>771</v>
      </c>
      <c r="C180" s="9" t="s">
        <v>772</v>
      </c>
      <c r="D180" s="9" t="s">
        <v>123</v>
      </c>
      <c r="E180" s="9" t="s">
        <v>773</v>
      </c>
      <c r="F180" s="9">
        <v>3</v>
      </c>
      <c r="G180" s="9" t="s">
        <v>14</v>
      </c>
      <c r="H180" s="9">
        <v>15</v>
      </c>
      <c r="I180" s="13">
        <f t="shared" si="40"/>
        <v>45</v>
      </c>
      <c r="J180" s="13">
        <f t="shared" si="41"/>
        <v>396.5</v>
      </c>
      <c r="K180" s="13">
        <f t="shared" si="42"/>
        <v>394</v>
      </c>
      <c r="L180" s="13">
        <f t="shared" si="43"/>
        <v>2331.5</v>
      </c>
      <c r="M180" s="13">
        <f t="shared" si="44"/>
        <v>116</v>
      </c>
      <c r="N180" s="13" t="b">
        <f t="shared" si="45"/>
        <v>0</v>
      </c>
      <c r="O180" s="13" t="b">
        <f t="shared" si="46"/>
        <v>1</v>
      </c>
      <c r="P180" s="13" t="str">
        <f t="shared" si="47"/>
        <v>C008992-ct</v>
      </c>
      <c r="Q180" s="14" t="str">
        <f t="shared" si="48"/>
        <v>T099538
3</v>
      </c>
      <c r="R180" s="13" t="b">
        <f t="shared" si="49"/>
        <v>0</v>
      </c>
      <c r="S180" s="13" t="str">
        <f t="shared" si="50"/>
        <v>12</v>
      </c>
      <c r="T180" s="13" t="str">
        <f t="shared" si="51"/>
        <v>CT</v>
      </c>
      <c r="U180" s="13" t="str">
        <f t="shared" si="52"/>
        <v>ct</v>
      </c>
      <c r="V180" s="13">
        <f t="shared" si="53"/>
        <v>2</v>
      </c>
      <c r="W180" s="13" t="str">
        <f t="shared" si="54"/>
        <v>T099538 3</v>
      </c>
      <c r="X180" s="13" t="str">
        <f t="shared" si="55"/>
        <v>S5555</v>
      </c>
      <c r="Y180" s="13" t="str">
        <f t="shared" si="56"/>
        <v>T09</v>
      </c>
      <c r="Z180" s="13" t="str">
        <f t="shared" si="57"/>
        <v>538</v>
      </c>
      <c r="AA180" s="13">
        <f t="shared" si="58"/>
        <v>2</v>
      </c>
      <c r="AB180" s="13">
        <f t="shared" si="59"/>
        <v>2</v>
      </c>
      <c r="AC180" s="13"/>
      <c r="AD180" s="13"/>
      <c r="AE180" s="13"/>
    </row>
    <row r="181" spans="1:31" ht="30" x14ac:dyDescent="0.25">
      <c r="A181" s="9" t="s">
        <v>146</v>
      </c>
      <c r="B181" s="9" t="s">
        <v>774</v>
      </c>
      <c r="C181" s="9" t="s">
        <v>775</v>
      </c>
      <c r="D181" s="9" t="s">
        <v>383</v>
      </c>
      <c r="E181" s="9" t="s">
        <v>776</v>
      </c>
      <c r="F181" s="9">
        <v>5</v>
      </c>
      <c r="G181" s="9" t="s">
        <v>68</v>
      </c>
      <c r="H181" s="9">
        <v>20</v>
      </c>
      <c r="I181" s="13">
        <f t="shared" si="40"/>
        <v>100</v>
      </c>
      <c r="J181" s="13">
        <f t="shared" si="41"/>
        <v>214.5</v>
      </c>
      <c r="K181" s="13">
        <f t="shared" si="42"/>
        <v>212</v>
      </c>
      <c r="L181" s="13">
        <f t="shared" si="43"/>
        <v>630.5</v>
      </c>
      <c r="M181" s="13">
        <f t="shared" si="44"/>
        <v>37</v>
      </c>
      <c r="N181" s="13" t="b">
        <f t="shared" si="45"/>
        <v>0</v>
      </c>
      <c r="O181" s="13" t="b">
        <f t="shared" si="46"/>
        <v>1</v>
      </c>
      <c r="P181" s="13" t="str">
        <f t="shared" si="47"/>
        <v>C008381-bottles</v>
      </c>
      <c r="Q181" s="14" t="str">
        <f t="shared" si="48"/>
        <v>T068587
5</v>
      </c>
      <c r="R181" s="13" t="b">
        <f t="shared" si="49"/>
        <v>0</v>
      </c>
      <c r="S181" s="13" t="str">
        <f t="shared" si="50"/>
        <v>07</v>
      </c>
      <c r="T181" s="13" t="str">
        <f t="shared" si="51"/>
        <v>BOTTLES</v>
      </c>
      <c r="U181" s="13" t="str">
        <f t="shared" si="52"/>
        <v>bottles</v>
      </c>
      <c r="V181" s="13">
        <f t="shared" si="53"/>
        <v>2</v>
      </c>
      <c r="W181" s="13" t="str">
        <f t="shared" si="54"/>
        <v>T068587 5</v>
      </c>
      <c r="X181" s="13" t="str">
        <f t="shared" si="55"/>
        <v>S55543</v>
      </c>
      <c r="Y181" s="13" t="str">
        <f t="shared" si="56"/>
        <v>T06</v>
      </c>
      <c r="Z181" s="13" t="str">
        <f t="shared" si="57"/>
        <v>587</v>
      </c>
      <c r="AA181" s="13">
        <f t="shared" si="58"/>
        <v>2</v>
      </c>
      <c r="AB181" s="13">
        <f t="shared" si="59"/>
        <v>7</v>
      </c>
      <c r="AC181" s="13"/>
      <c r="AD181" s="13"/>
      <c r="AE181" s="13"/>
    </row>
    <row r="182" spans="1:31" ht="30" x14ac:dyDescent="0.25">
      <c r="A182" s="9" t="s">
        <v>218</v>
      </c>
      <c r="B182" s="9" t="s">
        <v>777</v>
      </c>
      <c r="C182" s="9" t="s">
        <v>778</v>
      </c>
      <c r="D182" s="9" t="s">
        <v>113</v>
      </c>
      <c r="E182" s="9" t="s">
        <v>613</v>
      </c>
      <c r="F182" s="9">
        <v>6</v>
      </c>
      <c r="G182" s="9" t="s">
        <v>115</v>
      </c>
      <c r="H182" s="9">
        <v>15</v>
      </c>
      <c r="I182" s="13">
        <f t="shared" si="40"/>
        <v>90</v>
      </c>
      <c r="J182" s="13">
        <f t="shared" si="41"/>
        <v>245</v>
      </c>
      <c r="K182" s="13">
        <f t="shared" si="42"/>
        <v>239</v>
      </c>
      <c r="L182" s="13">
        <f t="shared" si="43"/>
        <v>349</v>
      </c>
      <c r="M182" s="13">
        <f t="shared" si="44"/>
        <v>21</v>
      </c>
      <c r="N182" s="13" t="b">
        <f t="shared" si="45"/>
        <v>0</v>
      </c>
      <c r="O182" s="13" t="b">
        <f t="shared" si="46"/>
        <v>1</v>
      </c>
      <c r="P182" s="13" t="str">
        <f t="shared" si="47"/>
        <v>C005131-bags</v>
      </c>
      <c r="Q182" s="14" t="str">
        <f t="shared" si="48"/>
        <v>T099005
6</v>
      </c>
      <c r="R182" s="13" t="b">
        <f t="shared" si="49"/>
        <v>0</v>
      </c>
      <c r="S182" s="13" t="str">
        <f t="shared" si="50"/>
        <v>16</v>
      </c>
      <c r="T182" s="13" t="str">
        <f t="shared" si="51"/>
        <v>BAGS</v>
      </c>
      <c r="U182" s="13" t="str">
        <f t="shared" si="52"/>
        <v>bags</v>
      </c>
      <c r="V182" s="13">
        <f t="shared" si="53"/>
        <v>2</v>
      </c>
      <c r="W182" s="13" t="str">
        <f t="shared" si="54"/>
        <v>T099005 6</v>
      </c>
      <c r="X182" s="13" t="str">
        <f t="shared" si="55"/>
        <v>S55239</v>
      </c>
      <c r="Y182" s="13" t="str">
        <f t="shared" si="56"/>
        <v>T09</v>
      </c>
      <c r="Z182" s="13" t="str">
        <f t="shared" si="57"/>
        <v>005</v>
      </c>
      <c r="AA182" s="13">
        <f t="shared" si="58"/>
        <v>2</v>
      </c>
      <c r="AB182" s="13">
        <f t="shared" si="59"/>
        <v>4</v>
      </c>
      <c r="AC182" s="13"/>
      <c r="AD182" s="13"/>
      <c r="AE182" s="13"/>
    </row>
    <row r="183" spans="1:31" ht="30" x14ac:dyDescent="0.25">
      <c r="A183" s="9" t="s">
        <v>292</v>
      </c>
      <c r="B183" s="9" t="s">
        <v>779</v>
      </c>
      <c r="C183" s="9" t="s">
        <v>780</v>
      </c>
      <c r="D183" s="9" t="s">
        <v>371</v>
      </c>
      <c r="E183" s="9" t="s">
        <v>781</v>
      </c>
      <c r="F183" s="9">
        <v>9</v>
      </c>
      <c r="G183" s="9" t="s">
        <v>14</v>
      </c>
      <c r="H183" s="9">
        <v>24</v>
      </c>
      <c r="I183" s="13">
        <f t="shared" si="40"/>
        <v>216</v>
      </c>
      <c r="J183" s="13">
        <f t="shared" si="41"/>
        <v>38</v>
      </c>
      <c r="K183" s="13">
        <f t="shared" si="42"/>
        <v>37</v>
      </c>
      <c r="L183" s="13">
        <f t="shared" si="43"/>
        <v>2316.5</v>
      </c>
      <c r="M183" s="13">
        <f t="shared" si="44"/>
        <v>115</v>
      </c>
      <c r="N183" s="13" t="b">
        <f t="shared" si="45"/>
        <v>1</v>
      </c>
      <c r="O183" s="13" t="b">
        <f t="shared" si="46"/>
        <v>1</v>
      </c>
      <c r="P183" s="13" t="str">
        <f t="shared" si="47"/>
        <v>C006179-ct</v>
      </c>
      <c r="Q183" s="14" t="str">
        <f t="shared" si="48"/>
        <v>T074779
9</v>
      </c>
      <c r="R183" s="13" t="b">
        <f t="shared" si="49"/>
        <v>0</v>
      </c>
      <c r="S183" s="13" t="str">
        <f t="shared" si="50"/>
        <v>13</v>
      </c>
      <c r="T183" s="13" t="str">
        <f t="shared" si="51"/>
        <v>CT</v>
      </c>
      <c r="U183" s="13" t="str">
        <f t="shared" si="52"/>
        <v>ct</v>
      </c>
      <c r="V183" s="13">
        <f t="shared" si="53"/>
        <v>2</v>
      </c>
      <c r="W183" s="13" t="str">
        <f t="shared" si="54"/>
        <v>T074779 9</v>
      </c>
      <c r="X183" s="13" t="str">
        <f t="shared" si="55"/>
        <v>S55544</v>
      </c>
      <c r="Y183" s="13" t="str">
        <f t="shared" si="56"/>
        <v>T07</v>
      </c>
      <c r="Z183" s="13" t="str">
        <f t="shared" si="57"/>
        <v>779</v>
      </c>
      <c r="AA183" s="13">
        <f t="shared" si="58"/>
        <v>2</v>
      </c>
      <c r="AB183" s="13">
        <f t="shared" si="59"/>
        <v>2</v>
      </c>
      <c r="AC183" s="13"/>
      <c r="AD183" s="13"/>
      <c r="AE183" s="13"/>
    </row>
    <row r="184" spans="1:31" ht="30" x14ac:dyDescent="0.25">
      <c r="A184" s="9" t="s">
        <v>31</v>
      </c>
      <c r="B184" s="9" t="s">
        <v>782</v>
      </c>
      <c r="C184" s="9" t="s">
        <v>783</v>
      </c>
      <c r="D184" s="9" t="s">
        <v>153</v>
      </c>
      <c r="E184" s="9" t="s">
        <v>380</v>
      </c>
      <c r="F184" s="9">
        <v>10</v>
      </c>
      <c r="G184" s="9" t="s">
        <v>14</v>
      </c>
      <c r="H184" s="9">
        <v>42</v>
      </c>
      <c r="I184" s="13">
        <f t="shared" si="40"/>
        <v>420</v>
      </c>
      <c r="J184" s="13">
        <f t="shared" si="41"/>
        <v>6</v>
      </c>
      <c r="K184" s="13">
        <f t="shared" si="42"/>
        <v>6</v>
      </c>
      <c r="L184" s="13">
        <f t="shared" si="43"/>
        <v>2292.5</v>
      </c>
      <c r="M184" s="13">
        <f t="shared" si="44"/>
        <v>114</v>
      </c>
      <c r="N184" s="13" t="b">
        <f t="shared" si="45"/>
        <v>1</v>
      </c>
      <c r="O184" s="13" t="b">
        <f t="shared" si="46"/>
        <v>1</v>
      </c>
      <c r="P184" s="13" t="str">
        <f t="shared" si="47"/>
        <v>C005302-ct</v>
      </c>
      <c r="Q184" s="14" t="str">
        <f t="shared" si="48"/>
        <v>T049751
10</v>
      </c>
      <c r="R184" s="13" t="b">
        <f t="shared" si="49"/>
        <v>0</v>
      </c>
      <c r="S184" s="13" t="str">
        <f t="shared" si="50"/>
        <v>11</v>
      </c>
      <c r="T184" s="13" t="str">
        <f t="shared" si="51"/>
        <v>CT</v>
      </c>
      <c r="U184" s="13" t="str">
        <f t="shared" si="52"/>
        <v>ct</v>
      </c>
      <c r="V184" s="13">
        <f t="shared" si="53"/>
        <v>2</v>
      </c>
      <c r="W184" s="13" t="str">
        <f t="shared" si="54"/>
        <v>T049751 10</v>
      </c>
      <c r="X184" s="13" t="str">
        <f t="shared" si="55"/>
        <v>S55378</v>
      </c>
      <c r="Y184" s="13" t="str">
        <f t="shared" si="56"/>
        <v>T04</v>
      </c>
      <c r="Z184" s="13" t="str">
        <f t="shared" si="57"/>
        <v>751</v>
      </c>
      <c r="AA184" s="13">
        <f t="shared" si="58"/>
        <v>2</v>
      </c>
      <c r="AB184" s="13">
        <f t="shared" si="59"/>
        <v>2</v>
      </c>
      <c r="AC184" s="13"/>
      <c r="AD184" s="13"/>
      <c r="AE184" s="13"/>
    </row>
    <row r="185" spans="1:31" ht="30" x14ac:dyDescent="0.25">
      <c r="A185" s="9" t="s">
        <v>31</v>
      </c>
      <c r="B185" s="9" t="s">
        <v>228</v>
      </c>
      <c r="C185" s="9" t="s">
        <v>784</v>
      </c>
      <c r="D185" s="9" t="s">
        <v>379</v>
      </c>
      <c r="E185" s="9" t="s">
        <v>138</v>
      </c>
      <c r="F185" s="9">
        <v>2</v>
      </c>
      <c r="G185" s="9" t="s">
        <v>176</v>
      </c>
      <c r="H185" s="9">
        <v>17</v>
      </c>
      <c r="I185" s="13">
        <f t="shared" si="40"/>
        <v>34</v>
      </c>
      <c r="J185" s="13">
        <f t="shared" si="41"/>
        <v>422.5</v>
      </c>
      <c r="K185" s="13">
        <f t="shared" si="42"/>
        <v>422</v>
      </c>
      <c r="L185" s="13">
        <f t="shared" si="43"/>
        <v>317</v>
      </c>
      <c r="M185" s="13">
        <f t="shared" si="44"/>
        <v>20</v>
      </c>
      <c r="N185" s="13" t="b">
        <f t="shared" si="45"/>
        <v>0</v>
      </c>
      <c r="O185" s="13" t="b">
        <f t="shared" si="46"/>
        <v>1</v>
      </c>
      <c r="P185" s="13" t="str">
        <f t="shared" si="47"/>
        <v>C006607-oz</v>
      </c>
      <c r="Q185" s="14" t="str">
        <f t="shared" si="48"/>
        <v>T086204
2</v>
      </c>
      <c r="R185" s="13" t="b">
        <f t="shared" si="49"/>
        <v>0</v>
      </c>
      <c r="S185" s="13" t="str">
        <f t="shared" si="50"/>
        <v>10</v>
      </c>
      <c r="T185" s="13" t="str">
        <f t="shared" si="51"/>
        <v>OZ</v>
      </c>
      <c r="U185" s="13" t="str">
        <f t="shared" si="52"/>
        <v>oz</v>
      </c>
      <c r="V185" s="13">
        <f t="shared" si="53"/>
        <v>2</v>
      </c>
      <c r="W185" s="13" t="str">
        <f t="shared" si="54"/>
        <v>T086204 2</v>
      </c>
      <c r="X185" s="13" t="str">
        <f t="shared" si="55"/>
        <v>S55658</v>
      </c>
      <c r="Y185" s="13" t="str">
        <f t="shared" si="56"/>
        <v>T08</v>
      </c>
      <c r="Z185" s="13" t="str">
        <f t="shared" si="57"/>
        <v>204</v>
      </c>
      <c r="AA185" s="13">
        <f t="shared" si="58"/>
        <v>2</v>
      </c>
      <c r="AB185" s="13">
        <f t="shared" si="59"/>
        <v>2</v>
      </c>
      <c r="AC185" s="13"/>
      <c r="AD185" s="13"/>
      <c r="AE185" s="13"/>
    </row>
    <row r="186" spans="1:31" ht="30" x14ac:dyDescent="0.25">
      <c r="A186" s="9" t="s">
        <v>79</v>
      </c>
      <c r="B186" s="9" t="s">
        <v>785</v>
      </c>
      <c r="C186" s="9" t="s">
        <v>786</v>
      </c>
      <c r="D186" s="9" t="s">
        <v>787</v>
      </c>
      <c r="E186" s="9" t="s">
        <v>788</v>
      </c>
      <c r="F186" s="9">
        <v>6</v>
      </c>
      <c r="G186" s="9" t="s">
        <v>278</v>
      </c>
      <c r="H186" s="9">
        <v>15</v>
      </c>
      <c r="I186" s="13">
        <f t="shared" si="40"/>
        <v>90</v>
      </c>
      <c r="J186" s="13">
        <f t="shared" si="41"/>
        <v>245</v>
      </c>
      <c r="K186" s="13">
        <f t="shared" si="42"/>
        <v>239</v>
      </c>
      <c r="L186" s="13">
        <f t="shared" si="43"/>
        <v>191</v>
      </c>
      <c r="M186" s="13">
        <f t="shared" si="44"/>
        <v>14</v>
      </c>
      <c r="N186" s="13" t="b">
        <f t="shared" si="45"/>
        <v>0</v>
      </c>
      <c r="O186" s="13" t="b">
        <f t="shared" si="46"/>
        <v>1</v>
      </c>
      <c r="P186" s="13" t="str">
        <f t="shared" si="47"/>
        <v>C007110-ct.</v>
      </c>
      <c r="Q186" s="14" t="str">
        <f t="shared" si="48"/>
        <v>T021185
6</v>
      </c>
      <c r="R186" s="13" t="b">
        <f t="shared" si="49"/>
        <v>0</v>
      </c>
      <c r="S186" s="13" t="str">
        <f t="shared" si="50"/>
        <v>17</v>
      </c>
      <c r="T186" s="13" t="str">
        <f t="shared" si="51"/>
        <v>CT.</v>
      </c>
      <c r="U186" s="13" t="str">
        <f t="shared" si="52"/>
        <v>ct.</v>
      </c>
      <c r="V186" s="13">
        <f t="shared" si="53"/>
        <v>2</v>
      </c>
      <c r="W186" s="13" t="str">
        <f t="shared" si="54"/>
        <v>T021185 6</v>
      </c>
      <c r="X186" s="13" t="str">
        <f t="shared" si="55"/>
        <v>S55473</v>
      </c>
      <c r="Y186" s="13" t="str">
        <f t="shared" si="56"/>
        <v>T02</v>
      </c>
      <c r="Z186" s="13" t="str">
        <f t="shared" si="57"/>
        <v>185</v>
      </c>
      <c r="AA186" s="13">
        <f t="shared" si="58"/>
        <v>2</v>
      </c>
      <c r="AB186" s="13">
        <f t="shared" si="59"/>
        <v>3</v>
      </c>
      <c r="AC186" s="13"/>
      <c r="AD186" s="13"/>
      <c r="AE186" s="13"/>
    </row>
    <row r="187" spans="1:31" ht="30" x14ac:dyDescent="0.25">
      <c r="A187" s="9" t="s">
        <v>155</v>
      </c>
      <c r="B187" s="9" t="s">
        <v>789</v>
      </c>
      <c r="C187" s="9" t="s">
        <v>790</v>
      </c>
      <c r="D187" s="9" t="s">
        <v>791</v>
      </c>
      <c r="E187" s="9" t="s">
        <v>162</v>
      </c>
      <c r="F187" s="9">
        <v>8</v>
      </c>
      <c r="G187" s="9" t="s">
        <v>14</v>
      </c>
      <c r="H187" s="9">
        <v>26</v>
      </c>
      <c r="I187" s="13">
        <f t="shared" si="40"/>
        <v>208</v>
      </c>
      <c r="J187" s="13">
        <f t="shared" si="41"/>
        <v>44</v>
      </c>
      <c r="K187" s="13">
        <f t="shared" si="42"/>
        <v>44</v>
      </c>
      <c r="L187" s="13">
        <f t="shared" si="43"/>
        <v>2250.5</v>
      </c>
      <c r="M187" s="13">
        <f t="shared" si="44"/>
        <v>113</v>
      </c>
      <c r="N187" s="13" t="b">
        <f t="shared" si="45"/>
        <v>1</v>
      </c>
      <c r="O187" s="13" t="b">
        <f t="shared" si="46"/>
        <v>1</v>
      </c>
      <c r="P187" s="13" t="str">
        <f t="shared" si="47"/>
        <v>C006397-ct</v>
      </c>
      <c r="Q187" s="14" t="str">
        <f t="shared" si="48"/>
        <v>T020301
8</v>
      </c>
      <c r="R187" s="13" t="b">
        <f t="shared" si="49"/>
        <v>0</v>
      </c>
      <c r="S187" s="13" t="str">
        <f t="shared" si="50"/>
        <v>18</v>
      </c>
      <c r="T187" s="13" t="str">
        <f t="shared" si="51"/>
        <v>CT</v>
      </c>
      <c r="U187" s="13" t="str">
        <f t="shared" si="52"/>
        <v>ct</v>
      </c>
      <c r="V187" s="13">
        <f t="shared" si="53"/>
        <v>2</v>
      </c>
      <c r="W187" s="13" t="str">
        <f t="shared" si="54"/>
        <v>T020301 8</v>
      </c>
      <c r="X187" s="13" t="str">
        <f t="shared" si="55"/>
        <v>S55465</v>
      </c>
      <c r="Y187" s="13" t="str">
        <f t="shared" si="56"/>
        <v>T02</v>
      </c>
      <c r="Z187" s="13" t="str">
        <f t="shared" si="57"/>
        <v>301</v>
      </c>
      <c r="AA187" s="13">
        <f t="shared" si="58"/>
        <v>2</v>
      </c>
      <c r="AB187" s="13">
        <f t="shared" si="59"/>
        <v>2</v>
      </c>
      <c r="AC187" s="13"/>
      <c r="AD187" s="13"/>
      <c r="AE187" s="13"/>
    </row>
    <row r="188" spans="1:31" ht="30" x14ac:dyDescent="0.25">
      <c r="A188" s="9" t="s">
        <v>532</v>
      </c>
      <c r="B188" s="9" t="s">
        <v>792</v>
      </c>
      <c r="C188" s="9" t="s">
        <v>793</v>
      </c>
      <c r="D188" s="9" t="s">
        <v>794</v>
      </c>
      <c r="E188" s="9" t="s">
        <v>795</v>
      </c>
      <c r="F188" s="9">
        <v>4</v>
      </c>
      <c r="G188" s="9" t="s">
        <v>14</v>
      </c>
      <c r="H188" s="9">
        <v>29</v>
      </c>
      <c r="I188" s="13">
        <f t="shared" si="40"/>
        <v>116</v>
      </c>
      <c r="J188" s="13">
        <f t="shared" si="41"/>
        <v>182</v>
      </c>
      <c r="K188" s="13">
        <f t="shared" si="42"/>
        <v>182</v>
      </c>
      <c r="L188" s="13">
        <f t="shared" si="43"/>
        <v>2224.5</v>
      </c>
      <c r="M188" s="13">
        <f t="shared" si="44"/>
        <v>112</v>
      </c>
      <c r="N188" s="13" t="b">
        <f t="shared" si="45"/>
        <v>1</v>
      </c>
      <c r="O188" s="13" t="b">
        <f t="shared" si="46"/>
        <v>1</v>
      </c>
      <c r="P188" s="13" t="str">
        <f t="shared" si="47"/>
        <v>C001432-ct</v>
      </c>
      <c r="Q188" s="14" t="str">
        <f t="shared" si="48"/>
        <v>T026282
4</v>
      </c>
      <c r="R188" s="13" t="b">
        <f t="shared" si="49"/>
        <v>0</v>
      </c>
      <c r="S188" s="13" t="str">
        <f t="shared" si="50"/>
        <v>14</v>
      </c>
      <c r="T188" s="13" t="str">
        <f t="shared" si="51"/>
        <v>CT</v>
      </c>
      <c r="U188" s="13" t="str">
        <f t="shared" si="52"/>
        <v>ct</v>
      </c>
      <c r="V188" s="13">
        <f t="shared" si="53"/>
        <v>2</v>
      </c>
      <c r="W188" s="13" t="str">
        <f t="shared" si="54"/>
        <v>T026282 4</v>
      </c>
      <c r="X188" s="13" t="str">
        <f t="shared" si="55"/>
        <v>S55177</v>
      </c>
      <c r="Y188" s="13" t="str">
        <f t="shared" si="56"/>
        <v>T02</v>
      </c>
      <c r="Z188" s="13" t="str">
        <f t="shared" si="57"/>
        <v>282</v>
      </c>
      <c r="AA188" s="13">
        <f t="shared" si="58"/>
        <v>2</v>
      </c>
      <c r="AB188" s="13">
        <f t="shared" si="59"/>
        <v>2</v>
      </c>
      <c r="AC188" s="13"/>
      <c r="AD188" s="13"/>
      <c r="AE188" s="13"/>
    </row>
    <row r="189" spans="1:31" ht="30" x14ac:dyDescent="0.25">
      <c r="A189" s="9" t="s">
        <v>79</v>
      </c>
      <c r="B189" s="9" t="s">
        <v>796</v>
      </c>
      <c r="C189" s="9" t="s">
        <v>797</v>
      </c>
      <c r="D189" s="9" t="s">
        <v>798</v>
      </c>
      <c r="E189" s="9" t="s">
        <v>799</v>
      </c>
      <c r="F189" s="9">
        <v>9</v>
      </c>
      <c r="G189" s="9" t="s">
        <v>36</v>
      </c>
      <c r="H189" s="9">
        <v>6.75</v>
      </c>
      <c r="I189" s="13">
        <f t="shared" si="40"/>
        <v>60.75</v>
      </c>
      <c r="J189" s="13">
        <f t="shared" si="41"/>
        <v>335.5</v>
      </c>
      <c r="K189" s="13">
        <f t="shared" si="42"/>
        <v>335</v>
      </c>
      <c r="L189" s="13">
        <f t="shared" si="43"/>
        <v>1336.75</v>
      </c>
      <c r="M189" s="13">
        <f t="shared" si="44"/>
        <v>76</v>
      </c>
      <c r="N189" s="13" t="b">
        <f t="shared" si="45"/>
        <v>0</v>
      </c>
      <c r="O189" s="13" t="b">
        <f t="shared" si="46"/>
        <v>1</v>
      </c>
      <c r="P189" s="13" t="str">
        <f t="shared" si="47"/>
        <v>C000360-cans</v>
      </c>
      <c r="Q189" s="14" t="str">
        <f t="shared" si="48"/>
        <v>T03072
9</v>
      </c>
      <c r="R189" s="13" t="b">
        <f t="shared" si="49"/>
        <v>0</v>
      </c>
      <c r="S189" s="13" t="str">
        <f t="shared" si="50"/>
        <v>02</v>
      </c>
      <c r="T189" s="13" t="str">
        <f t="shared" si="51"/>
        <v>CANS</v>
      </c>
      <c r="U189" s="13" t="str">
        <f t="shared" si="52"/>
        <v>cans</v>
      </c>
      <c r="V189" s="13">
        <f t="shared" si="53"/>
        <v>2</v>
      </c>
      <c r="W189" s="13" t="str">
        <f t="shared" si="54"/>
        <v>T03072 9</v>
      </c>
      <c r="X189" s="13" t="str">
        <f t="shared" si="55"/>
        <v>S55367</v>
      </c>
      <c r="Y189" s="13" t="str">
        <f t="shared" si="56"/>
        <v>T03</v>
      </c>
      <c r="Z189" s="13" t="str">
        <f t="shared" si="57"/>
        <v>072</v>
      </c>
      <c r="AA189" s="13">
        <f t="shared" si="58"/>
        <v>2</v>
      </c>
      <c r="AB189" s="13">
        <f t="shared" si="59"/>
        <v>4</v>
      </c>
      <c r="AC189" s="13"/>
      <c r="AD189" s="13"/>
      <c r="AE189" s="13"/>
    </row>
    <row r="190" spans="1:31" ht="30" x14ac:dyDescent="0.25">
      <c r="A190" s="9" t="s">
        <v>227</v>
      </c>
      <c r="B190" s="9" t="s">
        <v>800</v>
      </c>
      <c r="C190" s="9" t="s">
        <v>801</v>
      </c>
      <c r="D190" s="9" t="s">
        <v>802</v>
      </c>
      <c r="E190" s="9" t="s">
        <v>803</v>
      </c>
      <c r="F190" s="9">
        <v>6</v>
      </c>
      <c r="G190" s="9" t="s">
        <v>115</v>
      </c>
      <c r="H190" s="9">
        <v>17</v>
      </c>
      <c r="I190" s="13">
        <f t="shared" si="40"/>
        <v>102</v>
      </c>
      <c r="J190" s="13">
        <f t="shared" si="41"/>
        <v>210.5</v>
      </c>
      <c r="K190" s="13">
        <f t="shared" si="42"/>
        <v>210</v>
      </c>
      <c r="L190" s="13">
        <f t="shared" si="43"/>
        <v>334</v>
      </c>
      <c r="M190" s="13">
        <f t="shared" si="44"/>
        <v>20</v>
      </c>
      <c r="N190" s="13" t="b">
        <f t="shared" si="45"/>
        <v>0</v>
      </c>
      <c r="O190" s="13" t="b">
        <f t="shared" si="46"/>
        <v>1</v>
      </c>
      <c r="P190" s="13" t="str">
        <f t="shared" si="47"/>
        <v>C002796-bags</v>
      </c>
      <c r="Q190" s="14" t="str">
        <f t="shared" si="48"/>
        <v>T068914
6</v>
      </c>
      <c r="R190" s="13" t="b">
        <f t="shared" si="49"/>
        <v>0</v>
      </c>
      <c r="S190" s="13" t="str">
        <f t="shared" si="50"/>
        <v>16</v>
      </c>
      <c r="T190" s="13" t="str">
        <f t="shared" si="51"/>
        <v>BAGS</v>
      </c>
      <c r="U190" s="13" t="str">
        <f t="shared" si="52"/>
        <v>bags</v>
      </c>
      <c r="V190" s="13">
        <f t="shared" si="53"/>
        <v>2</v>
      </c>
      <c r="W190" s="13" t="str">
        <f t="shared" si="54"/>
        <v>T068914 6</v>
      </c>
      <c r="X190" s="13" t="str">
        <f t="shared" si="55"/>
        <v>S55624</v>
      </c>
      <c r="Y190" s="13" t="str">
        <f t="shared" si="56"/>
        <v>T06</v>
      </c>
      <c r="Z190" s="13" t="str">
        <f t="shared" si="57"/>
        <v>914</v>
      </c>
      <c r="AA190" s="13">
        <f t="shared" si="58"/>
        <v>2</v>
      </c>
      <c r="AB190" s="13">
        <f t="shared" si="59"/>
        <v>4</v>
      </c>
      <c r="AC190" s="13"/>
      <c r="AD190" s="13"/>
      <c r="AE190" s="13"/>
    </row>
    <row r="191" spans="1:31" ht="30" x14ac:dyDescent="0.25">
      <c r="A191" s="9" t="s">
        <v>26</v>
      </c>
      <c r="B191" s="9" t="s">
        <v>804</v>
      </c>
      <c r="C191" s="9" t="s">
        <v>805</v>
      </c>
      <c r="D191" s="9" t="s">
        <v>806</v>
      </c>
      <c r="E191" s="9" t="s">
        <v>807</v>
      </c>
      <c r="F191" s="9">
        <v>3</v>
      </c>
      <c r="G191" s="9" t="s">
        <v>14</v>
      </c>
      <c r="H191" s="9">
        <v>14</v>
      </c>
      <c r="I191" s="13">
        <f t="shared" si="40"/>
        <v>42</v>
      </c>
      <c r="J191" s="13">
        <f t="shared" si="41"/>
        <v>404</v>
      </c>
      <c r="K191" s="13">
        <f t="shared" si="42"/>
        <v>400</v>
      </c>
      <c r="L191" s="13">
        <f t="shared" si="43"/>
        <v>2195.5</v>
      </c>
      <c r="M191" s="13">
        <f t="shared" si="44"/>
        <v>111</v>
      </c>
      <c r="N191" s="13" t="b">
        <f t="shared" si="45"/>
        <v>0</v>
      </c>
      <c r="O191" s="13" t="b">
        <f t="shared" si="46"/>
        <v>1</v>
      </c>
      <c r="P191" s="13" t="str">
        <f t="shared" si="47"/>
        <v>C005519-ct</v>
      </c>
      <c r="Q191" s="14" t="str">
        <f t="shared" si="48"/>
        <v>T050958
3</v>
      </c>
      <c r="R191" s="13" t="b">
        <f t="shared" si="49"/>
        <v>0</v>
      </c>
      <c r="S191" s="13" t="str">
        <f t="shared" si="50"/>
        <v>16</v>
      </c>
      <c r="T191" s="13" t="str">
        <f t="shared" si="51"/>
        <v>CT</v>
      </c>
      <c r="U191" s="13" t="str">
        <f t="shared" si="52"/>
        <v>ct</v>
      </c>
      <c r="V191" s="13">
        <f t="shared" si="53"/>
        <v>2</v>
      </c>
      <c r="W191" s="13" t="str">
        <f t="shared" si="54"/>
        <v>T050958 3</v>
      </c>
      <c r="X191" s="13" t="str">
        <f t="shared" si="55"/>
        <v>S55549</v>
      </c>
      <c r="Y191" s="13" t="str">
        <f t="shared" si="56"/>
        <v>T05</v>
      </c>
      <c r="Z191" s="13" t="str">
        <f t="shared" si="57"/>
        <v>958</v>
      </c>
      <c r="AA191" s="13">
        <f t="shared" si="58"/>
        <v>2</v>
      </c>
      <c r="AB191" s="13">
        <f t="shared" si="59"/>
        <v>2</v>
      </c>
      <c r="AC191" s="13"/>
      <c r="AD191" s="13"/>
      <c r="AE191" s="13"/>
    </row>
    <row r="192" spans="1:31" ht="30" x14ac:dyDescent="0.25">
      <c r="A192" s="9" t="s">
        <v>368</v>
      </c>
      <c r="B192" s="9" t="s">
        <v>808</v>
      </c>
      <c r="C192" s="9" t="s">
        <v>809</v>
      </c>
      <c r="D192" s="9" t="s">
        <v>519</v>
      </c>
      <c r="E192" s="9" t="s">
        <v>810</v>
      </c>
      <c r="F192" s="9">
        <v>4</v>
      </c>
      <c r="G192" s="9" t="s">
        <v>176</v>
      </c>
      <c r="H192" s="9">
        <v>10</v>
      </c>
      <c r="I192" s="13">
        <f t="shared" si="40"/>
        <v>40</v>
      </c>
      <c r="J192" s="13">
        <f t="shared" si="41"/>
        <v>412.5</v>
      </c>
      <c r="K192" s="13">
        <f t="shared" si="42"/>
        <v>411</v>
      </c>
      <c r="L192" s="13">
        <f t="shared" si="43"/>
        <v>300</v>
      </c>
      <c r="M192" s="13">
        <f t="shared" si="44"/>
        <v>19</v>
      </c>
      <c r="N192" s="13" t="b">
        <f t="shared" si="45"/>
        <v>0</v>
      </c>
      <c r="O192" s="13" t="b">
        <f t="shared" si="46"/>
        <v>1</v>
      </c>
      <c r="P192" s="13" t="str">
        <f t="shared" si="47"/>
        <v>C003460-oz</v>
      </c>
      <c r="Q192" s="14" t="str">
        <f t="shared" si="48"/>
        <v>T025941
4</v>
      </c>
      <c r="R192" s="13" t="b">
        <f t="shared" si="49"/>
        <v>0</v>
      </c>
      <c r="S192" s="13" t="str">
        <f t="shared" si="50"/>
        <v>09</v>
      </c>
      <c r="T192" s="13" t="str">
        <f t="shared" si="51"/>
        <v>OZ</v>
      </c>
      <c r="U192" s="13" t="str">
        <f t="shared" si="52"/>
        <v>oz</v>
      </c>
      <c r="V192" s="13">
        <f t="shared" si="53"/>
        <v>2</v>
      </c>
      <c r="W192" s="13" t="str">
        <f t="shared" si="54"/>
        <v>T025941 4</v>
      </c>
      <c r="X192" s="13" t="str">
        <f t="shared" si="55"/>
        <v>S5534</v>
      </c>
      <c r="Y192" s="13" t="str">
        <f t="shared" si="56"/>
        <v>T02</v>
      </c>
      <c r="Z192" s="13" t="str">
        <f t="shared" si="57"/>
        <v>941</v>
      </c>
      <c r="AA192" s="13">
        <f t="shared" si="58"/>
        <v>2</v>
      </c>
      <c r="AB192" s="13">
        <f t="shared" si="59"/>
        <v>2</v>
      </c>
      <c r="AC192" s="13"/>
      <c r="AD192" s="13"/>
      <c r="AE192" s="13"/>
    </row>
    <row r="193" spans="1:31" ht="30" x14ac:dyDescent="0.25">
      <c r="A193" s="9" t="s">
        <v>63</v>
      </c>
      <c r="B193" s="9" t="s">
        <v>811</v>
      </c>
      <c r="C193" s="9" t="s">
        <v>812</v>
      </c>
      <c r="D193" s="9" t="s">
        <v>286</v>
      </c>
      <c r="E193" s="9" t="s">
        <v>813</v>
      </c>
      <c r="F193" s="9">
        <v>6</v>
      </c>
      <c r="G193" s="9" t="s">
        <v>14</v>
      </c>
      <c r="H193" s="9">
        <v>15</v>
      </c>
      <c r="I193" s="13">
        <f t="shared" si="40"/>
        <v>90</v>
      </c>
      <c r="J193" s="13">
        <f t="shared" si="41"/>
        <v>245</v>
      </c>
      <c r="K193" s="13">
        <f t="shared" si="42"/>
        <v>239</v>
      </c>
      <c r="L193" s="13">
        <f t="shared" si="43"/>
        <v>2181.5</v>
      </c>
      <c r="M193" s="13">
        <f t="shared" si="44"/>
        <v>110</v>
      </c>
      <c r="N193" s="13" t="b">
        <f t="shared" si="45"/>
        <v>0</v>
      </c>
      <c r="O193" s="13" t="b">
        <f t="shared" si="46"/>
        <v>1</v>
      </c>
      <c r="P193" s="13" t="str">
        <f t="shared" si="47"/>
        <v>C005672-ct</v>
      </c>
      <c r="Q193" s="14" t="str">
        <f t="shared" si="48"/>
        <v>T044432
6</v>
      </c>
      <c r="R193" s="13" t="b">
        <f t="shared" si="49"/>
        <v>0</v>
      </c>
      <c r="S193" s="13" t="str">
        <f t="shared" si="50"/>
        <v>12</v>
      </c>
      <c r="T193" s="13" t="str">
        <f t="shared" si="51"/>
        <v>CT</v>
      </c>
      <c r="U193" s="13" t="str">
        <f t="shared" si="52"/>
        <v>ct</v>
      </c>
      <c r="V193" s="13">
        <f t="shared" si="53"/>
        <v>2</v>
      </c>
      <c r="W193" s="13" t="str">
        <f t="shared" si="54"/>
        <v>T044432 6</v>
      </c>
      <c r="X193" s="13" t="str">
        <f t="shared" si="55"/>
        <v>S55248</v>
      </c>
      <c r="Y193" s="13" t="str">
        <f t="shared" si="56"/>
        <v>T04</v>
      </c>
      <c r="Z193" s="13" t="str">
        <f t="shared" si="57"/>
        <v>432</v>
      </c>
      <c r="AA193" s="13">
        <f t="shared" si="58"/>
        <v>2</v>
      </c>
      <c r="AB193" s="13">
        <f t="shared" si="59"/>
        <v>2</v>
      </c>
      <c r="AC193" s="13"/>
      <c r="AD193" s="13"/>
      <c r="AE193" s="13"/>
    </row>
    <row r="194" spans="1:31" ht="30" x14ac:dyDescent="0.25">
      <c r="A194" s="9" t="s">
        <v>283</v>
      </c>
      <c r="B194" s="9" t="s">
        <v>814</v>
      </c>
      <c r="C194" s="9" t="s">
        <v>815</v>
      </c>
      <c r="D194" s="9" t="s">
        <v>816</v>
      </c>
      <c r="E194" s="9" t="s">
        <v>817</v>
      </c>
      <c r="F194" s="9">
        <v>4</v>
      </c>
      <c r="G194" s="9" t="s">
        <v>14</v>
      </c>
      <c r="H194" s="9">
        <v>21</v>
      </c>
      <c r="I194" s="13">
        <f t="shared" si="40"/>
        <v>84</v>
      </c>
      <c r="J194" s="13">
        <f t="shared" si="41"/>
        <v>263.5</v>
      </c>
      <c r="K194" s="13">
        <f t="shared" si="42"/>
        <v>260</v>
      </c>
      <c r="L194" s="13">
        <f t="shared" si="43"/>
        <v>2166.5</v>
      </c>
      <c r="M194" s="13">
        <f t="shared" si="44"/>
        <v>109</v>
      </c>
      <c r="N194" s="13" t="b">
        <f t="shared" si="45"/>
        <v>1</v>
      </c>
      <c r="O194" s="13" t="b">
        <f t="shared" si="46"/>
        <v>1</v>
      </c>
      <c r="P194" s="13" t="str">
        <f t="shared" si="47"/>
        <v>C007281-ct</v>
      </c>
      <c r="Q194" s="14" t="str">
        <f t="shared" si="48"/>
        <v>T083858
4</v>
      </c>
      <c r="R194" s="13" t="b">
        <f t="shared" si="49"/>
        <v>0</v>
      </c>
      <c r="S194" s="13" t="str">
        <f t="shared" si="50"/>
        <v>25</v>
      </c>
      <c r="T194" s="13" t="str">
        <f t="shared" si="51"/>
        <v>CT</v>
      </c>
      <c r="U194" s="13" t="str">
        <f t="shared" si="52"/>
        <v>ct</v>
      </c>
      <c r="V194" s="13">
        <f t="shared" si="53"/>
        <v>2</v>
      </c>
      <c r="W194" s="13" t="str">
        <f t="shared" si="54"/>
        <v>T083858 4</v>
      </c>
      <c r="X194" s="13" t="str">
        <f t="shared" si="55"/>
        <v>S55451</v>
      </c>
      <c r="Y194" s="13" t="str">
        <f t="shared" si="56"/>
        <v>T08</v>
      </c>
      <c r="Z194" s="13" t="str">
        <f t="shared" si="57"/>
        <v>858</v>
      </c>
      <c r="AA194" s="13">
        <f t="shared" si="58"/>
        <v>2</v>
      </c>
      <c r="AB194" s="13">
        <f t="shared" si="59"/>
        <v>2</v>
      </c>
      <c r="AC194" s="13"/>
      <c r="AD194" s="13"/>
      <c r="AE194" s="13"/>
    </row>
    <row r="195" spans="1:31" ht="30" x14ac:dyDescent="0.25">
      <c r="A195" s="9" t="s">
        <v>468</v>
      </c>
      <c r="B195" s="9" t="s">
        <v>818</v>
      </c>
      <c r="C195" s="9" t="s">
        <v>819</v>
      </c>
      <c r="D195" s="9" t="s">
        <v>346</v>
      </c>
      <c r="E195" s="9" t="s">
        <v>598</v>
      </c>
      <c r="F195" s="9">
        <v>4</v>
      </c>
      <c r="G195" s="9" t="s">
        <v>36</v>
      </c>
      <c r="H195" s="9">
        <v>6.75</v>
      </c>
      <c r="I195" s="13">
        <f t="shared" si="40"/>
        <v>27</v>
      </c>
      <c r="J195" s="13">
        <f t="shared" si="41"/>
        <v>445.5</v>
      </c>
      <c r="K195" s="13">
        <f t="shared" si="42"/>
        <v>445</v>
      </c>
      <c r="L195" s="13">
        <f t="shared" si="43"/>
        <v>1330</v>
      </c>
      <c r="M195" s="13">
        <f t="shared" si="44"/>
        <v>75</v>
      </c>
      <c r="N195" s="13" t="b">
        <f t="shared" si="45"/>
        <v>0</v>
      </c>
      <c r="O195" s="13" t="b">
        <f t="shared" si="46"/>
        <v>1</v>
      </c>
      <c r="P195" s="13" t="str">
        <f t="shared" si="47"/>
        <v>C008944-cans</v>
      </c>
      <c r="Q195" s="14" t="str">
        <f t="shared" si="48"/>
        <v>T07376
4</v>
      </c>
      <c r="R195" s="13" t="b">
        <f t="shared" si="49"/>
        <v>0</v>
      </c>
      <c r="S195" s="13" t="str">
        <f t="shared" si="50"/>
        <v>02</v>
      </c>
      <c r="T195" s="13" t="str">
        <f t="shared" si="51"/>
        <v>CANS</v>
      </c>
      <c r="U195" s="13" t="str">
        <f t="shared" si="52"/>
        <v>cans</v>
      </c>
      <c r="V195" s="13">
        <f t="shared" si="53"/>
        <v>2</v>
      </c>
      <c r="W195" s="13" t="str">
        <f t="shared" si="54"/>
        <v>T07376 4</v>
      </c>
      <c r="X195" s="13" t="str">
        <f t="shared" si="55"/>
        <v>S55555</v>
      </c>
      <c r="Y195" s="13" t="str">
        <f t="shared" si="56"/>
        <v>T07</v>
      </c>
      <c r="Z195" s="13" t="str">
        <f t="shared" si="57"/>
        <v>376</v>
      </c>
      <c r="AA195" s="13">
        <f t="shared" si="58"/>
        <v>2</v>
      </c>
      <c r="AB195" s="13">
        <f t="shared" si="59"/>
        <v>4</v>
      </c>
      <c r="AC195" s="13"/>
      <c r="AD195" s="13"/>
      <c r="AE195" s="13"/>
    </row>
    <row r="196" spans="1:31" ht="30" x14ac:dyDescent="0.25">
      <c r="A196" s="9" t="s">
        <v>26</v>
      </c>
      <c r="B196" s="9" t="s">
        <v>820</v>
      </c>
      <c r="C196" s="9" t="s">
        <v>821</v>
      </c>
      <c r="D196" s="9" t="s">
        <v>526</v>
      </c>
      <c r="E196" s="9" t="s">
        <v>431</v>
      </c>
      <c r="F196" s="9">
        <v>3</v>
      </c>
      <c r="G196" s="9" t="s">
        <v>14</v>
      </c>
      <c r="H196" s="9">
        <v>20</v>
      </c>
      <c r="I196" s="13">
        <f t="shared" si="40"/>
        <v>60</v>
      </c>
      <c r="J196" s="13">
        <f t="shared" si="41"/>
        <v>344.5</v>
      </c>
      <c r="K196" s="13">
        <f t="shared" si="42"/>
        <v>337</v>
      </c>
      <c r="L196" s="13">
        <f t="shared" si="43"/>
        <v>2145.5</v>
      </c>
      <c r="M196" s="13">
        <f t="shared" si="44"/>
        <v>108</v>
      </c>
      <c r="N196" s="13" t="b">
        <f t="shared" si="45"/>
        <v>0</v>
      </c>
      <c r="O196" s="13" t="b">
        <f t="shared" si="46"/>
        <v>1</v>
      </c>
      <c r="P196" s="13" t="str">
        <f t="shared" si="47"/>
        <v>C007426-ct</v>
      </c>
      <c r="Q196" s="14" t="str">
        <f t="shared" si="48"/>
        <v>T045335
3</v>
      </c>
      <c r="R196" s="13" t="b">
        <f t="shared" si="49"/>
        <v>0</v>
      </c>
      <c r="S196" s="13" t="str">
        <f t="shared" si="50"/>
        <v>14</v>
      </c>
      <c r="T196" s="13" t="str">
        <f t="shared" si="51"/>
        <v>CT</v>
      </c>
      <c r="U196" s="13" t="str">
        <f t="shared" si="52"/>
        <v>ct</v>
      </c>
      <c r="V196" s="13">
        <f t="shared" si="53"/>
        <v>2</v>
      </c>
      <c r="W196" s="13" t="str">
        <f t="shared" si="54"/>
        <v>T045335 3</v>
      </c>
      <c r="X196" s="13" t="str">
        <f t="shared" si="55"/>
        <v>S55675</v>
      </c>
      <c r="Y196" s="13" t="str">
        <f t="shared" si="56"/>
        <v>T04</v>
      </c>
      <c r="Z196" s="13" t="str">
        <f t="shared" si="57"/>
        <v>335</v>
      </c>
      <c r="AA196" s="13">
        <f t="shared" si="58"/>
        <v>2</v>
      </c>
      <c r="AB196" s="13">
        <f t="shared" si="59"/>
        <v>2</v>
      </c>
      <c r="AC196" s="13"/>
      <c r="AD196" s="13"/>
      <c r="AE196" s="13"/>
    </row>
    <row r="197" spans="1:31" ht="30" x14ac:dyDescent="0.25">
      <c r="A197" s="9" t="s">
        <v>249</v>
      </c>
      <c r="B197" s="9" t="s">
        <v>822</v>
      </c>
      <c r="C197" s="9" t="s">
        <v>823</v>
      </c>
      <c r="D197" s="9" t="s">
        <v>335</v>
      </c>
      <c r="E197" s="9" t="s">
        <v>824</v>
      </c>
      <c r="F197" s="9">
        <v>10</v>
      </c>
      <c r="G197" s="9" t="s">
        <v>36</v>
      </c>
      <c r="H197" s="9">
        <v>40</v>
      </c>
      <c r="I197" s="13">
        <f t="shared" si="40"/>
        <v>400</v>
      </c>
      <c r="J197" s="13">
        <f t="shared" si="41"/>
        <v>8</v>
      </c>
      <c r="K197" s="13">
        <f t="shared" si="42"/>
        <v>8</v>
      </c>
      <c r="L197" s="13">
        <f t="shared" si="43"/>
        <v>1323.25</v>
      </c>
      <c r="M197" s="13">
        <f t="shared" si="44"/>
        <v>74</v>
      </c>
      <c r="N197" s="13" t="b">
        <f t="shared" si="45"/>
        <v>1</v>
      </c>
      <c r="O197" s="13" t="b">
        <f t="shared" si="46"/>
        <v>1</v>
      </c>
      <c r="P197" s="13" t="str">
        <f t="shared" si="47"/>
        <v>C004033-cans</v>
      </c>
      <c r="Q197" s="14" t="str">
        <f t="shared" si="48"/>
        <v>T068656
10</v>
      </c>
      <c r="R197" s="13" t="b">
        <f t="shared" si="49"/>
        <v>0</v>
      </c>
      <c r="S197" s="13" t="str">
        <f t="shared" si="50"/>
        <v>05</v>
      </c>
      <c r="T197" s="13" t="str">
        <f t="shared" si="51"/>
        <v>CANS</v>
      </c>
      <c r="U197" s="13" t="str">
        <f t="shared" si="52"/>
        <v>cans</v>
      </c>
      <c r="V197" s="13">
        <f t="shared" si="53"/>
        <v>2</v>
      </c>
      <c r="W197" s="13" t="str">
        <f t="shared" si="54"/>
        <v>T068656 10</v>
      </c>
      <c r="X197" s="13" t="str">
        <f t="shared" si="55"/>
        <v>S55515</v>
      </c>
      <c r="Y197" s="13" t="str">
        <f t="shared" si="56"/>
        <v>T06</v>
      </c>
      <c r="Z197" s="13" t="str">
        <f t="shared" si="57"/>
        <v>656</v>
      </c>
      <c r="AA197" s="13">
        <f t="shared" si="58"/>
        <v>2</v>
      </c>
      <c r="AB197" s="13">
        <f t="shared" si="59"/>
        <v>4</v>
      </c>
      <c r="AC197" s="13"/>
      <c r="AD197" s="13"/>
      <c r="AE197" s="13"/>
    </row>
    <row r="198" spans="1:31" ht="30" x14ac:dyDescent="0.25">
      <c r="A198" s="9" t="s">
        <v>79</v>
      </c>
      <c r="B198" s="9" t="s">
        <v>825</v>
      </c>
      <c r="C198" s="9" t="s">
        <v>826</v>
      </c>
      <c r="D198" s="9" t="s">
        <v>816</v>
      </c>
      <c r="E198" s="9" t="s">
        <v>358</v>
      </c>
      <c r="F198" s="9">
        <v>4</v>
      </c>
      <c r="G198" s="9" t="s">
        <v>14</v>
      </c>
      <c r="H198" s="9">
        <v>21</v>
      </c>
      <c r="I198" s="13">
        <f t="shared" ref="I198:I261" si="60">$F198*H198</f>
        <v>84</v>
      </c>
      <c r="J198" s="13">
        <f t="shared" ref="J198:J261" si="61">_xlfn.RANK.AVG(I198,$I$5:$I$550000)</f>
        <v>263.5</v>
      </c>
      <c r="K198" s="13">
        <f t="shared" ref="K198:K261" si="62">_xlfn.RANK.EQ(I198,$I$5:$I$550000)</f>
        <v>260</v>
      </c>
      <c r="L198" s="13">
        <f t="shared" ref="L198:L261" si="63">SUMIF(G198:G610,G198,H198:H693)</f>
        <v>2125.5</v>
      </c>
      <c r="M198" s="13">
        <f t="shared" ref="M198:M261" si="64">COUNTIF(G198:G610,G198)</f>
        <v>107</v>
      </c>
      <c r="N198" s="13" t="b">
        <f t="shared" ref="N198:N261" si="65">AND(H198&gt;20,H198&lt;70)</f>
        <v>1</v>
      </c>
      <c r="O198" s="13" t="b">
        <f t="shared" ref="O198:O261" si="66">OR(H198&gt;10,H198&lt;60)</f>
        <v>1</v>
      </c>
      <c r="P198" s="13" t="str">
        <f t="shared" ref="P198:P261" si="67">_xlfn.CONCAT(B198,"-",G198)</f>
        <v>C007308-ct</v>
      </c>
      <c r="Q198" s="14" t="str">
        <f t="shared" ref="Q198:Q261" si="68">_xlfn.CONCAT(C198,CHAR(10),F198)</f>
        <v>T065074
4</v>
      </c>
      <c r="R198" s="13" t="b">
        <f t="shared" ref="R198:R261" si="69">EXACT(D198,E198)</f>
        <v>0</v>
      </c>
      <c r="S198" s="13" t="str">
        <f t="shared" ref="S198:S261" si="70">MID(D198,4,2)</f>
        <v>25</v>
      </c>
      <c r="T198" s="13" t="str">
        <f t="shared" ref="T198:T261" si="71">UPPER(G198)</f>
        <v>CT</v>
      </c>
      <c r="U198" s="13" t="str">
        <f t="shared" ref="U198:U261" si="72">LOWER(G198)</f>
        <v>ct</v>
      </c>
      <c r="V198" s="13">
        <f t="shared" ref="V198:V261" si="73">SEARCH("0",E198)</f>
        <v>2</v>
      </c>
      <c r="W198" s="13" t="str">
        <f t="shared" ref="W198:W261" si="74">_xlfn.TEXTJOIN(" ",TRUE,C198,F198)</f>
        <v>T065074 4</v>
      </c>
      <c r="X198" s="13" t="str">
        <f t="shared" ref="X198:X261" si="75">SUBSTITUTE(E198,"0","5")</f>
        <v>S55362</v>
      </c>
      <c r="Y198" s="13" t="str">
        <f t="shared" ref="Y198:Y261" si="76">LEFT(C198,3)</f>
        <v>T06</v>
      </c>
      <c r="Z198" s="13" t="str">
        <f t="shared" ref="Z198:Z261" si="77">RIGHT(C198,3)</f>
        <v>074</v>
      </c>
      <c r="AA198" s="13">
        <f t="shared" ref="AA198:AA261" si="78">FIND("0",A198)</f>
        <v>2</v>
      </c>
      <c r="AB198" s="13">
        <f t="shared" ref="AB198:AB261" si="79">LEN(G198)</f>
        <v>2</v>
      </c>
      <c r="AC198" s="13"/>
      <c r="AD198" s="13"/>
      <c r="AE198" s="13"/>
    </row>
    <row r="199" spans="1:31" ht="30" x14ac:dyDescent="0.25">
      <c r="A199" s="9" t="s">
        <v>532</v>
      </c>
      <c r="B199" s="9" t="s">
        <v>827</v>
      </c>
      <c r="C199" s="9" t="s">
        <v>828</v>
      </c>
      <c r="D199" s="9" t="s">
        <v>492</v>
      </c>
      <c r="E199" s="9" t="s">
        <v>829</v>
      </c>
      <c r="F199" s="9">
        <v>11</v>
      </c>
      <c r="G199" s="9" t="s">
        <v>36</v>
      </c>
      <c r="H199" s="9">
        <v>8</v>
      </c>
      <c r="I199" s="13">
        <f t="shared" si="60"/>
        <v>88</v>
      </c>
      <c r="J199" s="13">
        <f t="shared" si="61"/>
        <v>253</v>
      </c>
      <c r="K199" s="13">
        <f t="shared" si="62"/>
        <v>252</v>
      </c>
      <c r="L199" s="13">
        <f t="shared" si="63"/>
        <v>1283.25</v>
      </c>
      <c r="M199" s="13">
        <f t="shared" si="64"/>
        <v>73</v>
      </c>
      <c r="N199" s="13" t="b">
        <f t="shared" si="65"/>
        <v>0</v>
      </c>
      <c r="O199" s="13" t="b">
        <f t="shared" si="66"/>
        <v>1</v>
      </c>
      <c r="P199" s="13" t="str">
        <f t="shared" si="67"/>
        <v>C008308-cans</v>
      </c>
      <c r="Q199" s="14" t="str">
        <f t="shared" si="68"/>
        <v>T027450
11</v>
      </c>
      <c r="R199" s="13" t="b">
        <f t="shared" si="69"/>
        <v>0</v>
      </c>
      <c r="S199" s="13" t="str">
        <f t="shared" si="70"/>
        <v>04</v>
      </c>
      <c r="T199" s="13" t="str">
        <f t="shared" si="71"/>
        <v>CANS</v>
      </c>
      <c r="U199" s="13" t="str">
        <f t="shared" si="72"/>
        <v>cans</v>
      </c>
      <c r="V199" s="13">
        <f t="shared" si="73"/>
        <v>2</v>
      </c>
      <c r="W199" s="13" t="str">
        <f t="shared" si="74"/>
        <v>T027450 11</v>
      </c>
      <c r="X199" s="13" t="str">
        <f t="shared" si="75"/>
        <v>S55214</v>
      </c>
      <c r="Y199" s="13" t="str">
        <f t="shared" si="76"/>
        <v>T02</v>
      </c>
      <c r="Z199" s="13" t="str">
        <f t="shared" si="77"/>
        <v>450</v>
      </c>
      <c r="AA199" s="13">
        <f t="shared" si="78"/>
        <v>2</v>
      </c>
      <c r="AB199" s="13">
        <f t="shared" si="79"/>
        <v>4</v>
      </c>
      <c r="AC199" s="13"/>
      <c r="AD199" s="13"/>
      <c r="AE199" s="13"/>
    </row>
    <row r="200" spans="1:31" ht="30" x14ac:dyDescent="0.25">
      <c r="A200" s="9" t="s">
        <v>297</v>
      </c>
      <c r="B200" s="9" t="s">
        <v>830</v>
      </c>
      <c r="C200" s="9" t="s">
        <v>831</v>
      </c>
      <c r="D200" s="9" t="s">
        <v>832</v>
      </c>
      <c r="E200" s="9" t="s">
        <v>833</v>
      </c>
      <c r="F200" s="9">
        <v>6</v>
      </c>
      <c r="G200" s="9" t="s">
        <v>68</v>
      </c>
      <c r="H200" s="9">
        <v>11</v>
      </c>
      <c r="I200" s="13">
        <f t="shared" si="60"/>
        <v>66</v>
      </c>
      <c r="J200" s="13">
        <f t="shared" si="61"/>
        <v>317</v>
      </c>
      <c r="K200" s="13">
        <f t="shared" si="62"/>
        <v>315</v>
      </c>
      <c r="L200" s="13">
        <f t="shared" si="63"/>
        <v>610.5</v>
      </c>
      <c r="M200" s="13">
        <f t="shared" si="64"/>
        <v>36</v>
      </c>
      <c r="N200" s="13" t="b">
        <f t="shared" si="65"/>
        <v>0</v>
      </c>
      <c r="O200" s="13" t="b">
        <f t="shared" si="66"/>
        <v>1</v>
      </c>
      <c r="P200" s="13" t="str">
        <f t="shared" si="67"/>
        <v>C000369-bottles</v>
      </c>
      <c r="Q200" s="14" t="str">
        <f t="shared" si="68"/>
        <v>T038151
6</v>
      </c>
      <c r="R200" s="13" t="b">
        <f t="shared" si="69"/>
        <v>0</v>
      </c>
      <c r="S200" s="13" t="str">
        <f t="shared" si="70"/>
        <v>09</v>
      </c>
      <c r="T200" s="13" t="str">
        <f t="shared" si="71"/>
        <v>BOTTLES</v>
      </c>
      <c r="U200" s="13" t="str">
        <f t="shared" si="72"/>
        <v>bottles</v>
      </c>
      <c r="V200" s="13">
        <f t="shared" si="73"/>
        <v>2</v>
      </c>
      <c r="W200" s="13" t="str">
        <f t="shared" si="74"/>
        <v>T038151 6</v>
      </c>
      <c r="X200" s="13" t="str">
        <f t="shared" si="75"/>
        <v>S55148</v>
      </c>
      <c r="Y200" s="13" t="str">
        <f t="shared" si="76"/>
        <v>T03</v>
      </c>
      <c r="Z200" s="13" t="str">
        <f t="shared" si="77"/>
        <v>151</v>
      </c>
      <c r="AA200" s="13">
        <f t="shared" si="78"/>
        <v>2</v>
      </c>
      <c r="AB200" s="13">
        <f t="shared" si="79"/>
        <v>7</v>
      </c>
      <c r="AC200" s="13"/>
      <c r="AD200" s="13"/>
      <c r="AE200" s="13"/>
    </row>
    <row r="201" spans="1:31" ht="30" x14ac:dyDescent="0.25">
      <c r="A201" s="9" t="s">
        <v>182</v>
      </c>
      <c r="B201" s="9" t="s">
        <v>834</v>
      </c>
      <c r="C201" s="9" t="s">
        <v>835</v>
      </c>
      <c r="D201" s="9" t="s">
        <v>583</v>
      </c>
      <c r="E201" s="9" t="s">
        <v>95</v>
      </c>
      <c r="F201" s="9">
        <v>6</v>
      </c>
      <c r="G201" s="9" t="s">
        <v>411</v>
      </c>
      <c r="H201" s="9">
        <v>20</v>
      </c>
      <c r="I201" s="13">
        <f t="shared" si="60"/>
        <v>120</v>
      </c>
      <c r="J201" s="13">
        <f t="shared" si="61"/>
        <v>169.5</v>
      </c>
      <c r="K201" s="13">
        <f t="shared" si="62"/>
        <v>162</v>
      </c>
      <c r="L201" s="13">
        <f t="shared" si="63"/>
        <v>141.5</v>
      </c>
      <c r="M201" s="13">
        <f t="shared" si="64"/>
        <v>7</v>
      </c>
      <c r="N201" s="13" t="b">
        <f t="shared" si="65"/>
        <v>0</v>
      </c>
      <c r="O201" s="13" t="b">
        <f t="shared" si="66"/>
        <v>1</v>
      </c>
      <c r="P201" s="13" t="str">
        <f t="shared" si="67"/>
        <v>C002064-pack</v>
      </c>
      <c r="Q201" s="14" t="str">
        <f t="shared" si="68"/>
        <v>T010382
6</v>
      </c>
      <c r="R201" s="13" t="b">
        <f t="shared" si="69"/>
        <v>0</v>
      </c>
      <c r="S201" s="13" t="str">
        <f t="shared" si="70"/>
        <v>25</v>
      </c>
      <c r="T201" s="13" t="str">
        <f t="shared" si="71"/>
        <v>PACK</v>
      </c>
      <c r="U201" s="13" t="str">
        <f t="shared" si="72"/>
        <v>pack</v>
      </c>
      <c r="V201" s="13">
        <f t="shared" si="73"/>
        <v>2</v>
      </c>
      <c r="W201" s="13" t="str">
        <f t="shared" si="74"/>
        <v>T010382 6</v>
      </c>
      <c r="X201" s="13" t="str">
        <f t="shared" si="75"/>
        <v>S55545</v>
      </c>
      <c r="Y201" s="13" t="str">
        <f t="shared" si="76"/>
        <v>T01</v>
      </c>
      <c r="Z201" s="13" t="str">
        <f t="shared" si="77"/>
        <v>382</v>
      </c>
      <c r="AA201" s="13">
        <f t="shared" si="78"/>
        <v>2</v>
      </c>
      <c r="AB201" s="13">
        <f t="shared" si="79"/>
        <v>4</v>
      </c>
      <c r="AC201" s="13"/>
      <c r="AD201" s="13"/>
      <c r="AE201" s="13"/>
    </row>
    <row r="202" spans="1:31" ht="30" x14ac:dyDescent="0.25">
      <c r="A202" s="9" t="s">
        <v>155</v>
      </c>
      <c r="B202" s="9" t="s">
        <v>836</v>
      </c>
      <c r="C202" s="9" t="s">
        <v>837</v>
      </c>
      <c r="D202" s="9" t="s">
        <v>838</v>
      </c>
      <c r="E202" s="9" t="s">
        <v>444</v>
      </c>
      <c r="F202" s="9">
        <v>9</v>
      </c>
      <c r="G202" s="9" t="s">
        <v>36</v>
      </c>
      <c r="H202" s="9">
        <v>16</v>
      </c>
      <c r="I202" s="13">
        <f t="shared" si="60"/>
        <v>144</v>
      </c>
      <c r="J202" s="13">
        <f t="shared" si="61"/>
        <v>118</v>
      </c>
      <c r="K202" s="13">
        <f t="shared" si="62"/>
        <v>115</v>
      </c>
      <c r="L202" s="13">
        <f t="shared" si="63"/>
        <v>1275.25</v>
      </c>
      <c r="M202" s="13">
        <f t="shared" si="64"/>
        <v>72</v>
      </c>
      <c r="N202" s="13" t="b">
        <f t="shared" si="65"/>
        <v>0</v>
      </c>
      <c r="O202" s="13" t="b">
        <f t="shared" si="66"/>
        <v>1</v>
      </c>
      <c r="P202" s="13" t="str">
        <f t="shared" si="67"/>
        <v>C007492-cans</v>
      </c>
      <c r="Q202" s="14" t="str">
        <f t="shared" si="68"/>
        <v>T037984
9</v>
      </c>
      <c r="R202" s="13" t="b">
        <f t="shared" si="69"/>
        <v>0</v>
      </c>
      <c r="S202" s="13" t="str">
        <f t="shared" si="70"/>
        <v>03</v>
      </c>
      <c r="T202" s="13" t="str">
        <f t="shared" si="71"/>
        <v>CANS</v>
      </c>
      <c r="U202" s="13" t="str">
        <f t="shared" si="72"/>
        <v>cans</v>
      </c>
      <c r="V202" s="13">
        <f t="shared" si="73"/>
        <v>2</v>
      </c>
      <c r="W202" s="13" t="str">
        <f t="shared" si="74"/>
        <v>T037984 9</v>
      </c>
      <c r="X202" s="13" t="str">
        <f t="shared" si="75"/>
        <v>S55685</v>
      </c>
      <c r="Y202" s="13" t="str">
        <f t="shared" si="76"/>
        <v>T03</v>
      </c>
      <c r="Z202" s="13" t="str">
        <f t="shared" si="77"/>
        <v>984</v>
      </c>
      <c r="AA202" s="13">
        <f t="shared" si="78"/>
        <v>2</v>
      </c>
      <c r="AB202" s="13">
        <f t="shared" si="79"/>
        <v>4</v>
      </c>
      <c r="AC202" s="13"/>
      <c r="AD202" s="13"/>
      <c r="AE202" s="13"/>
    </row>
    <row r="203" spans="1:31" ht="30" x14ac:dyDescent="0.25">
      <c r="A203" s="9" t="s">
        <v>528</v>
      </c>
      <c r="B203" s="9" t="s">
        <v>839</v>
      </c>
      <c r="C203" s="9" t="s">
        <v>840</v>
      </c>
      <c r="D203" s="9" t="s">
        <v>841</v>
      </c>
      <c r="E203" s="9" t="s">
        <v>842</v>
      </c>
      <c r="F203" s="9">
        <v>8</v>
      </c>
      <c r="G203" s="9" t="s">
        <v>14</v>
      </c>
      <c r="H203" s="9">
        <v>12</v>
      </c>
      <c r="I203" s="13">
        <f t="shared" si="60"/>
        <v>96</v>
      </c>
      <c r="J203" s="13">
        <f t="shared" si="61"/>
        <v>231.5</v>
      </c>
      <c r="K203" s="13">
        <f t="shared" si="62"/>
        <v>228</v>
      </c>
      <c r="L203" s="13">
        <f t="shared" si="63"/>
        <v>2104.5</v>
      </c>
      <c r="M203" s="13">
        <f t="shared" si="64"/>
        <v>106</v>
      </c>
      <c r="N203" s="13" t="b">
        <f t="shared" si="65"/>
        <v>0</v>
      </c>
      <c r="O203" s="13" t="b">
        <f t="shared" si="66"/>
        <v>1</v>
      </c>
      <c r="P203" s="13" t="str">
        <f t="shared" si="67"/>
        <v>C000758-ct</v>
      </c>
      <c r="Q203" s="14" t="str">
        <f t="shared" si="68"/>
        <v>T027289
8</v>
      </c>
      <c r="R203" s="13" t="b">
        <f t="shared" si="69"/>
        <v>0</v>
      </c>
      <c r="S203" s="13" t="str">
        <f t="shared" si="70"/>
        <v>23</v>
      </c>
      <c r="T203" s="13" t="str">
        <f t="shared" si="71"/>
        <v>CT</v>
      </c>
      <c r="U203" s="13" t="str">
        <f t="shared" si="72"/>
        <v>ct</v>
      </c>
      <c r="V203" s="13">
        <f t="shared" si="73"/>
        <v>2</v>
      </c>
      <c r="W203" s="13" t="str">
        <f t="shared" si="74"/>
        <v>T027289 8</v>
      </c>
      <c r="X203" s="13" t="str">
        <f t="shared" si="75"/>
        <v>S5552</v>
      </c>
      <c r="Y203" s="13" t="str">
        <f t="shared" si="76"/>
        <v>T02</v>
      </c>
      <c r="Z203" s="13" t="str">
        <f t="shared" si="77"/>
        <v>289</v>
      </c>
      <c r="AA203" s="13">
        <f t="shared" si="78"/>
        <v>2</v>
      </c>
      <c r="AB203" s="13">
        <f t="shared" si="79"/>
        <v>2</v>
      </c>
      <c r="AC203" s="13"/>
      <c r="AD203" s="13"/>
      <c r="AE203" s="13"/>
    </row>
    <row r="204" spans="1:31" ht="30" x14ac:dyDescent="0.25">
      <c r="A204" s="9" t="s">
        <v>218</v>
      </c>
      <c r="B204" s="9" t="s">
        <v>843</v>
      </c>
      <c r="C204" s="9" t="s">
        <v>844</v>
      </c>
      <c r="D204" s="9" t="s">
        <v>845</v>
      </c>
      <c r="E204" s="9" t="s">
        <v>846</v>
      </c>
      <c r="F204" s="9">
        <v>7</v>
      </c>
      <c r="G204" s="9" t="s">
        <v>36</v>
      </c>
      <c r="H204" s="9">
        <v>16.25</v>
      </c>
      <c r="I204" s="13">
        <f t="shared" si="60"/>
        <v>113.75</v>
      </c>
      <c r="J204" s="13">
        <f t="shared" si="61"/>
        <v>184</v>
      </c>
      <c r="K204" s="13">
        <f t="shared" si="62"/>
        <v>184</v>
      </c>
      <c r="L204" s="13">
        <f t="shared" si="63"/>
        <v>1259.25</v>
      </c>
      <c r="M204" s="13">
        <f t="shared" si="64"/>
        <v>71</v>
      </c>
      <c r="N204" s="13" t="b">
        <f t="shared" si="65"/>
        <v>0</v>
      </c>
      <c r="O204" s="13" t="b">
        <f t="shared" si="66"/>
        <v>1</v>
      </c>
      <c r="P204" s="13" t="str">
        <f t="shared" si="67"/>
        <v>C004895-cans</v>
      </c>
      <c r="Q204" s="14" t="str">
        <f t="shared" si="68"/>
        <v>T071088
7</v>
      </c>
      <c r="R204" s="13" t="b">
        <f t="shared" si="69"/>
        <v>0</v>
      </c>
      <c r="S204" s="13" t="str">
        <f t="shared" si="70"/>
        <v>00</v>
      </c>
      <c r="T204" s="13" t="str">
        <f t="shared" si="71"/>
        <v>CANS</v>
      </c>
      <c r="U204" s="13" t="str">
        <f t="shared" si="72"/>
        <v>cans</v>
      </c>
      <c r="V204" s="13">
        <f t="shared" si="73"/>
        <v>2</v>
      </c>
      <c r="W204" s="13" t="str">
        <f t="shared" si="74"/>
        <v>T071088 7</v>
      </c>
      <c r="X204" s="13" t="str">
        <f t="shared" si="75"/>
        <v>S55551</v>
      </c>
      <c r="Y204" s="13" t="str">
        <f t="shared" si="76"/>
        <v>T07</v>
      </c>
      <c r="Z204" s="13" t="str">
        <f t="shared" si="77"/>
        <v>088</v>
      </c>
      <c r="AA204" s="13">
        <f t="shared" si="78"/>
        <v>2</v>
      </c>
      <c r="AB204" s="13">
        <f t="shared" si="79"/>
        <v>4</v>
      </c>
      <c r="AC204" s="13"/>
      <c r="AD204" s="13"/>
      <c r="AE204" s="13"/>
    </row>
    <row r="205" spans="1:31" ht="30" x14ac:dyDescent="0.25">
      <c r="A205" s="9" t="s">
        <v>316</v>
      </c>
      <c r="B205" s="9" t="s">
        <v>847</v>
      </c>
      <c r="C205" s="9" t="s">
        <v>848</v>
      </c>
      <c r="D205" s="9" t="s">
        <v>849</v>
      </c>
      <c r="E205" s="9" t="s">
        <v>850</v>
      </c>
      <c r="F205" s="9">
        <v>9</v>
      </c>
      <c r="G205" s="9" t="s">
        <v>14</v>
      </c>
      <c r="H205" s="9">
        <v>14</v>
      </c>
      <c r="I205" s="13">
        <f t="shared" si="60"/>
        <v>126</v>
      </c>
      <c r="J205" s="13">
        <f t="shared" si="61"/>
        <v>157</v>
      </c>
      <c r="K205" s="13">
        <f t="shared" si="62"/>
        <v>154</v>
      </c>
      <c r="L205" s="13">
        <f t="shared" si="63"/>
        <v>2092.5</v>
      </c>
      <c r="M205" s="13">
        <f t="shared" si="64"/>
        <v>105</v>
      </c>
      <c r="N205" s="13" t="b">
        <f t="shared" si="65"/>
        <v>0</v>
      </c>
      <c r="O205" s="13" t="b">
        <f t="shared" si="66"/>
        <v>1</v>
      </c>
      <c r="P205" s="13" t="str">
        <f t="shared" si="67"/>
        <v>C006846-ct</v>
      </c>
      <c r="Q205" s="14" t="str">
        <f t="shared" si="68"/>
        <v>T00278
9</v>
      </c>
      <c r="R205" s="13" t="b">
        <f t="shared" si="69"/>
        <v>0</v>
      </c>
      <c r="S205" s="13" t="str">
        <f t="shared" si="70"/>
        <v>23</v>
      </c>
      <c r="T205" s="13" t="str">
        <f t="shared" si="71"/>
        <v>CT</v>
      </c>
      <c r="U205" s="13" t="str">
        <f t="shared" si="72"/>
        <v>ct</v>
      </c>
      <c r="V205" s="13">
        <f t="shared" si="73"/>
        <v>2</v>
      </c>
      <c r="W205" s="13" t="str">
        <f t="shared" si="74"/>
        <v>T00278 9</v>
      </c>
      <c r="X205" s="13" t="str">
        <f t="shared" si="75"/>
        <v>S55479</v>
      </c>
      <c r="Y205" s="13" t="str">
        <f t="shared" si="76"/>
        <v>T00</v>
      </c>
      <c r="Z205" s="13" t="str">
        <f t="shared" si="77"/>
        <v>278</v>
      </c>
      <c r="AA205" s="13">
        <f t="shared" si="78"/>
        <v>2</v>
      </c>
      <c r="AB205" s="13">
        <f t="shared" si="79"/>
        <v>2</v>
      </c>
      <c r="AC205" s="13"/>
      <c r="AD205" s="13"/>
      <c r="AE205" s="13"/>
    </row>
    <row r="206" spans="1:31" ht="30" x14ac:dyDescent="0.25">
      <c r="A206" s="9" t="s">
        <v>292</v>
      </c>
      <c r="B206" s="9" t="s">
        <v>851</v>
      </c>
      <c r="C206" s="9" t="s">
        <v>852</v>
      </c>
      <c r="D206" s="9" t="s">
        <v>853</v>
      </c>
      <c r="E206" s="9" t="s">
        <v>253</v>
      </c>
      <c r="F206" s="9">
        <v>6</v>
      </c>
      <c r="G206" s="9" t="s">
        <v>14</v>
      </c>
      <c r="H206" s="9">
        <v>11</v>
      </c>
      <c r="I206" s="13">
        <f t="shared" si="60"/>
        <v>66</v>
      </c>
      <c r="J206" s="13">
        <f t="shared" si="61"/>
        <v>317</v>
      </c>
      <c r="K206" s="13">
        <f t="shared" si="62"/>
        <v>315</v>
      </c>
      <c r="L206" s="13">
        <f t="shared" si="63"/>
        <v>2078.5</v>
      </c>
      <c r="M206" s="13">
        <f t="shared" si="64"/>
        <v>104</v>
      </c>
      <c r="N206" s="13" t="b">
        <f t="shared" si="65"/>
        <v>0</v>
      </c>
      <c r="O206" s="13" t="b">
        <f t="shared" si="66"/>
        <v>1</v>
      </c>
      <c r="P206" s="13" t="str">
        <f t="shared" si="67"/>
        <v>C007703-ct</v>
      </c>
      <c r="Q206" s="14" t="str">
        <f t="shared" si="68"/>
        <v>T028363
6</v>
      </c>
      <c r="R206" s="13" t="b">
        <f t="shared" si="69"/>
        <v>0</v>
      </c>
      <c r="S206" s="13" t="str">
        <f t="shared" si="70"/>
        <v>25</v>
      </c>
      <c r="T206" s="13" t="str">
        <f t="shared" si="71"/>
        <v>CT</v>
      </c>
      <c r="U206" s="13" t="str">
        <f t="shared" si="72"/>
        <v>ct</v>
      </c>
      <c r="V206" s="13">
        <f t="shared" si="73"/>
        <v>2</v>
      </c>
      <c r="W206" s="13" t="str">
        <f t="shared" si="74"/>
        <v>T028363 6</v>
      </c>
      <c r="X206" s="13" t="str">
        <f t="shared" si="75"/>
        <v>S55169</v>
      </c>
      <c r="Y206" s="13" t="str">
        <f t="shared" si="76"/>
        <v>T02</v>
      </c>
      <c r="Z206" s="13" t="str">
        <f t="shared" si="77"/>
        <v>363</v>
      </c>
      <c r="AA206" s="13">
        <f t="shared" si="78"/>
        <v>2</v>
      </c>
      <c r="AB206" s="13">
        <f t="shared" si="79"/>
        <v>2</v>
      </c>
      <c r="AC206" s="13"/>
      <c r="AD206" s="13"/>
      <c r="AE206" s="13"/>
    </row>
    <row r="207" spans="1:31" ht="30" x14ac:dyDescent="0.25">
      <c r="A207" s="9" t="s">
        <v>125</v>
      </c>
      <c r="B207" s="9" t="s">
        <v>238</v>
      </c>
      <c r="C207" s="9" t="s">
        <v>854</v>
      </c>
      <c r="D207" s="9" t="s">
        <v>855</v>
      </c>
      <c r="E207" s="9" t="s">
        <v>856</v>
      </c>
      <c r="F207" s="9">
        <v>8</v>
      </c>
      <c r="G207" s="9" t="s">
        <v>68</v>
      </c>
      <c r="H207" s="9">
        <v>23</v>
      </c>
      <c r="I207" s="13">
        <f t="shared" si="60"/>
        <v>184</v>
      </c>
      <c r="J207" s="13">
        <f t="shared" si="61"/>
        <v>57</v>
      </c>
      <c r="K207" s="13">
        <f t="shared" si="62"/>
        <v>57</v>
      </c>
      <c r="L207" s="13">
        <f t="shared" si="63"/>
        <v>599.5</v>
      </c>
      <c r="M207" s="13">
        <f t="shared" si="64"/>
        <v>35</v>
      </c>
      <c r="N207" s="13" t="b">
        <f t="shared" si="65"/>
        <v>1</v>
      </c>
      <c r="O207" s="13" t="b">
        <f t="shared" si="66"/>
        <v>1</v>
      </c>
      <c r="P207" s="13" t="str">
        <f t="shared" si="67"/>
        <v>C007584-bottles</v>
      </c>
      <c r="Q207" s="14" t="str">
        <f t="shared" si="68"/>
        <v>T043743
8</v>
      </c>
      <c r="R207" s="13" t="b">
        <f t="shared" si="69"/>
        <v>0</v>
      </c>
      <c r="S207" s="13" t="str">
        <f t="shared" si="70"/>
        <v>04</v>
      </c>
      <c r="T207" s="13" t="str">
        <f t="shared" si="71"/>
        <v>BOTTLES</v>
      </c>
      <c r="U207" s="13" t="str">
        <f t="shared" si="72"/>
        <v>bottles</v>
      </c>
      <c r="V207" s="13">
        <f t="shared" si="73"/>
        <v>2</v>
      </c>
      <c r="W207" s="13" t="str">
        <f t="shared" si="74"/>
        <v>T043743 8</v>
      </c>
      <c r="X207" s="13" t="str">
        <f t="shared" si="75"/>
        <v>S55283</v>
      </c>
      <c r="Y207" s="13" t="str">
        <f t="shared" si="76"/>
        <v>T04</v>
      </c>
      <c r="Z207" s="13" t="str">
        <f t="shared" si="77"/>
        <v>743</v>
      </c>
      <c r="AA207" s="13">
        <f t="shared" si="78"/>
        <v>2</v>
      </c>
      <c r="AB207" s="13">
        <f t="shared" si="79"/>
        <v>7</v>
      </c>
      <c r="AC207" s="13"/>
      <c r="AD207" s="13"/>
      <c r="AE207" s="13"/>
    </row>
    <row r="208" spans="1:31" ht="30" x14ac:dyDescent="0.25">
      <c r="A208" s="9" t="s">
        <v>468</v>
      </c>
      <c r="B208" s="9" t="s">
        <v>857</v>
      </c>
      <c r="C208" s="9" t="s">
        <v>858</v>
      </c>
      <c r="D208" s="9" t="s">
        <v>66</v>
      </c>
      <c r="E208" s="9" t="s">
        <v>773</v>
      </c>
      <c r="F208" s="9">
        <v>6</v>
      </c>
      <c r="G208" s="9" t="s">
        <v>68</v>
      </c>
      <c r="H208" s="9">
        <v>22</v>
      </c>
      <c r="I208" s="13">
        <f t="shared" si="60"/>
        <v>132</v>
      </c>
      <c r="J208" s="13">
        <f t="shared" si="61"/>
        <v>139.5</v>
      </c>
      <c r="K208" s="13">
        <f t="shared" si="62"/>
        <v>137</v>
      </c>
      <c r="L208" s="13">
        <f t="shared" si="63"/>
        <v>576.5</v>
      </c>
      <c r="M208" s="13">
        <f t="shared" si="64"/>
        <v>34</v>
      </c>
      <c r="N208" s="13" t="b">
        <f t="shared" si="65"/>
        <v>1</v>
      </c>
      <c r="O208" s="13" t="b">
        <f t="shared" si="66"/>
        <v>1</v>
      </c>
      <c r="P208" s="13" t="str">
        <f t="shared" si="67"/>
        <v>C001545-bottles</v>
      </c>
      <c r="Q208" s="14" t="str">
        <f t="shared" si="68"/>
        <v>T038381
6</v>
      </c>
      <c r="R208" s="13" t="b">
        <f t="shared" si="69"/>
        <v>0</v>
      </c>
      <c r="S208" s="13" t="str">
        <f t="shared" si="70"/>
        <v>05</v>
      </c>
      <c r="T208" s="13" t="str">
        <f t="shared" si="71"/>
        <v>BOTTLES</v>
      </c>
      <c r="U208" s="13" t="str">
        <f t="shared" si="72"/>
        <v>bottles</v>
      </c>
      <c r="V208" s="13">
        <f t="shared" si="73"/>
        <v>2</v>
      </c>
      <c r="W208" s="13" t="str">
        <f t="shared" si="74"/>
        <v>T038381 6</v>
      </c>
      <c r="X208" s="13" t="str">
        <f t="shared" si="75"/>
        <v>S5555</v>
      </c>
      <c r="Y208" s="13" t="str">
        <f t="shared" si="76"/>
        <v>T03</v>
      </c>
      <c r="Z208" s="13" t="str">
        <f t="shared" si="77"/>
        <v>381</v>
      </c>
      <c r="AA208" s="13">
        <f t="shared" si="78"/>
        <v>2</v>
      </c>
      <c r="AB208" s="13">
        <f t="shared" si="79"/>
        <v>7</v>
      </c>
      <c r="AC208" s="13"/>
      <c r="AD208" s="13"/>
      <c r="AE208" s="13"/>
    </row>
    <row r="209" spans="1:31" ht="30" x14ac:dyDescent="0.25">
      <c r="A209" s="9" t="s">
        <v>348</v>
      </c>
      <c r="B209" s="9" t="s">
        <v>859</v>
      </c>
      <c r="C209" s="9" t="s">
        <v>860</v>
      </c>
      <c r="D209" s="9" t="s">
        <v>766</v>
      </c>
      <c r="E209" s="9" t="s">
        <v>861</v>
      </c>
      <c r="F209" s="9">
        <v>5</v>
      </c>
      <c r="G209" s="9" t="s">
        <v>14</v>
      </c>
      <c r="H209" s="9">
        <v>19.5</v>
      </c>
      <c r="I209" s="13">
        <f t="shared" si="60"/>
        <v>97.5</v>
      </c>
      <c r="J209" s="13">
        <f t="shared" si="61"/>
        <v>225</v>
      </c>
      <c r="K209" s="13">
        <f t="shared" si="62"/>
        <v>223</v>
      </c>
      <c r="L209" s="13">
        <f t="shared" si="63"/>
        <v>2067.5</v>
      </c>
      <c r="M209" s="13">
        <f t="shared" si="64"/>
        <v>103</v>
      </c>
      <c r="N209" s="13" t="b">
        <f t="shared" si="65"/>
        <v>0</v>
      </c>
      <c r="O209" s="13" t="b">
        <f t="shared" si="66"/>
        <v>1</v>
      </c>
      <c r="P209" s="13" t="str">
        <f t="shared" si="67"/>
        <v>C006072-ct</v>
      </c>
      <c r="Q209" s="14" t="str">
        <f t="shared" si="68"/>
        <v>T085298
5</v>
      </c>
      <c r="R209" s="13" t="b">
        <f t="shared" si="69"/>
        <v>0</v>
      </c>
      <c r="S209" s="13" t="str">
        <f t="shared" si="70"/>
        <v>13</v>
      </c>
      <c r="T209" s="13" t="str">
        <f t="shared" si="71"/>
        <v>CT</v>
      </c>
      <c r="U209" s="13" t="str">
        <f t="shared" si="72"/>
        <v>ct</v>
      </c>
      <c r="V209" s="13">
        <f t="shared" si="73"/>
        <v>2</v>
      </c>
      <c r="W209" s="13" t="str">
        <f t="shared" si="74"/>
        <v>T085298 5</v>
      </c>
      <c r="X209" s="13" t="str">
        <f t="shared" si="75"/>
        <v>S55276</v>
      </c>
      <c r="Y209" s="13" t="str">
        <f t="shared" si="76"/>
        <v>T08</v>
      </c>
      <c r="Z209" s="13" t="str">
        <f t="shared" si="77"/>
        <v>298</v>
      </c>
      <c r="AA209" s="13">
        <f t="shared" si="78"/>
        <v>2</v>
      </c>
      <c r="AB209" s="13">
        <f t="shared" si="79"/>
        <v>2</v>
      </c>
      <c r="AC209" s="13"/>
      <c r="AD209" s="13"/>
      <c r="AE209" s="13"/>
    </row>
    <row r="210" spans="1:31" ht="30" x14ac:dyDescent="0.25">
      <c r="A210" s="9" t="s">
        <v>177</v>
      </c>
      <c r="B210" s="9" t="s">
        <v>862</v>
      </c>
      <c r="C210" s="9" t="s">
        <v>863</v>
      </c>
      <c r="D210" s="9" t="s">
        <v>864</v>
      </c>
      <c r="E210" s="9" t="s">
        <v>865</v>
      </c>
      <c r="F210" s="9">
        <v>8</v>
      </c>
      <c r="G210" s="9" t="s">
        <v>176</v>
      </c>
      <c r="H210" s="9">
        <v>22.5</v>
      </c>
      <c r="I210" s="13">
        <f t="shared" si="60"/>
        <v>180</v>
      </c>
      <c r="J210" s="13">
        <f t="shared" si="61"/>
        <v>61.5</v>
      </c>
      <c r="K210" s="13">
        <f t="shared" si="62"/>
        <v>60</v>
      </c>
      <c r="L210" s="13">
        <f t="shared" si="63"/>
        <v>290</v>
      </c>
      <c r="M210" s="13">
        <f t="shared" si="64"/>
        <v>18</v>
      </c>
      <c r="N210" s="13" t="b">
        <f t="shared" si="65"/>
        <v>1</v>
      </c>
      <c r="O210" s="13" t="b">
        <f t="shared" si="66"/>
        <v>1</v>
      </c>
      <c r="P210" s="13" t="str">
        <f t="shared" si="67"/>
        <v>C007037-oz</v>
      </c>
      <c r="Q210" s="14" t="str">
        <f t="shared" si="68"/>
        <v>T026396
8</v>
      </c>
      <c r="R210" s="13" t="b">
        <f t="shared" si="69"/>
        <v>0</v>
      </c>
      <c r="S210" s="13" t="str">
        <f t="shared" si="70"/>
        <v>11</v>
      </c>
      <c r="T210" s="13" t="str">
        <f t="shared" si="71"/>
        <v>OZ</v>
      </c>
      <c r="U210" s="13" t="str">
        <f t="shared" si="72"/>
        <v>oz</v>
      </c>
      <c r="V210" s="13">
        <f t="shared" si="73"/>
        <v>2</v>
      </c>
      <c r="W210" s="13" t="str">
        <f t="shared" si="74"/>
        <v>T026396 8</v>
      </c>
      <c r="X210" s="13" t="str">
        <f t="shared" si="75"/>
        <v>S55221</v>
      </c>
      <c r="Y210" s="13" t="str">
        <f t="shared" si="76"/>
        <v>T02</v>
      </c>
      <c r="Z210" s="13" t="str">
        <f t="shared" si="77"/>
        <v>396</v>
      </c>
      <c r="AA210" s="13">
        <f t="shared" si="78"/>
        <v>2</v>
      </c>
      <c r="AB210" s="13">
        <f t="shared" si="79"/>
        <v>2</v>
      </c>
      <c r="AC210" s="13"/>
      <c r="AD210" s="13"/>
      <c r="AE210" s="13"/>
    </row>
    <row r="211" spans="1:31" ht="30" x14ac:dyDescent="0.25">
      <c r="A211" s="9" t="s">
        <v>125</v>
      </c>
      <c r="B211" s="9" t="s">
        <v>866</v>
      </c>
      <c r="C211" s="9" t="s">
        <v>867</v>
      </c>
      <c r="D211" s="9" t="s">
        <v>868</v>
      </c>
      <c r="E211" s="9" t="s">
        <v>78</v>
      </c>
      <c r="F211" s="9">
        <v>10</v>
      </c>
      <c r="G211" s="9" t="s">
        <v>36</v>
      </c>
      <c r="H211" s="9">
        <v>16</v>
      </c>
      <c r="I211" s="13">
        <f t="shared" si="60"/>
        <v>160</v>
      </c>
      <c r="J211" s="13">
        <f t="shared" si="61"/>
        <v>90.5</v>
      </c>
      <c r="K211" s="13">
        <f t="shared" si="62"/>
        <v>84</v>
      </c>
      <c r="L211" s="13">
        <f t="shared" si="63"/>
        <v>1243</v>
      </c>
      <c r="M211" s="13">
        <f t="shared" si="64"/>
        <v>70</v>
      </c>
      <c r="N211" s="13" t="b">
        <f t="shared" si="65"/>
        <v>0</v>
      </c>
      <c r="O211" s="13" t="b">
        <f t="shared" si="66"/>
        <v>1</v>
      </c>
      <c r="P211" s="13" t="str">
        <f t="shared" si="67"/>
        <v>C005164-cans</v>
      </c>
      <c r="Q211" s="14" t="str">
        <f t="shared" si="68"/>
        <v>T082585
10</v>
      </c>
      <c r="R211" s="13" t="b">
        <f t="shared" si="69"/>
        <v>0</v>
      </c>
      <c r="S211" s="13" t="str">
        <f t="shared" si="70"/>
        <v>03</v>
      </c>
      <c r="T211" s="13" t="str">
        <f t="shared" si="71"/>
        <v>CANS</v>
      </c>
      <c r="U211" s="13" t="str">
        <f t="shared" si="72"/>
        <v>cans</v>
      </c>
      <c r="V211" s="13">
        <f t="shared" si="73"/>
        <v>2</v>
      </c>
      <c r="W211" s="13" t="str">
        <f t="shared" si="74"/>
        <v>T082585 10</v>
      </c>
      <c r="X211" s="13" t="str">
        <f t="shared" si="75"/>
        <v>S5515</v>
      </c>
      <c r="Y211" s="13" t="str">
        <f t="shared" si="76"/>
        <v>T08</v>
      </c>
      <c r="Z211" s="13" t="str">
        <f t="shared" si="77"/>
        <v>585</v>
      </c>
      <c r="AA211" s="13">
        <f t="shared" si="78"/>
        <v>2</v>
      </c>
      <c r="AB211" s="13">
        <f t="shared" si="79"/>
        <v>4</v>
      </c>
      <c r="AC211" s="13"/>
      <c r="AD211" s="13"/>
      <c r="AE211" s="13"/>
    </row>
    <row r="212" spans="1:31" ht="30" x14ac:dyDescent="0.25">
      <c r="A212" s="9" t="s">
        <v>125</v>
      </c>
      <c r="B212" s="9" t="s">
        <v>869</v>
      </c>
      <c r="C212" s="9" t="s">
        <v>870</v>
      </c>
      <c r="D212" s="9" t="s">
        <v>383</v>
      </c>
      <c r="E212" s="9" t="s">
        <v>364</v>
      </c>
      <c r="F212" s="9">
        <v>9</v>
      </c>
      <c r="G212" s="9" t="s">
        <v>68</v>
      </c>
      <c r="H212" s="9">
        <v>20</v>
      </c>
      <c r="I212" s="13">
        <f t="shared" si="60"/>
        <v>180</v>
      </c>
      <c r="J212" s="13">
        <f t="shared" si="61"/>
        <v>61.5</v>
      </c>
      <c r="K212" s="13">
        <f t="shared" si="62"/>
        <v>60</v>
      </c>
      <c r="L212" s="13">
        <f t="shared" si="63"/>
        <v>554.5</v>
      </c>
      <c r="M212" s="13">
        <f t="shared" si="64"/>
        <v>33</v>
      </c>
      <c r="N212" s="13" t="b">
        <f t="shared" si="65"/>
        <v>0</v>
      </c>
      <c r="O212" s="13" t="b">
        <f t="shared" si="66"/>
        <v>1</v>
      </c>
      <c r="P212" s="13" t="str">
        <f t="shared" si="67"/>
        <v>C001344-bottles</v>
      </c>
      <c r="Q212" s="14" t="str">
        <f t="shared" si="68"/>
        <v>T051293
9</v>
      </c>
      <c r="R212" s="13" t="b">
        <f t="shared" si="69"/>
        <v>0</v>
      </c>
      <c r="S212" s="13" t="str">
        <f t="shared" si="70"/>
        <v>07</v>
      </c>
      <c r="T212" s="13" t="str">
        <f t="shared" si="71"/>
        <v>BOTTLES</v>
      </c>
      <c r="U212" s="13" t="str">
        <f t="shared" si="72"/>
        <v>bottles</v>
      </c>
      <c r="V212" s="13">
        <f t="shared" si="73"/>
        <v>2</v>
      </c>
      <c r="W212" s="13" t="str">
        <f t="shared" si="74"/>
        <v>T051293 9</v>
      </c>
      <c r="X212" s="13" t="str">
        <f t="shared" si="75"/>
        <v>S55635</v>
      </c>
      <c r="Y212" s="13" t="str">
        <f t="shared" si="76"/>
        <v>T05</v>
      </c>
      <c r="Z212" s="13" t="str">
        <f t="shared" si="77"/>
        <v>293</v>
      </c>
      <c r="AA212" s="13">
        <f t="shared" si="78"/>
        <v>2</v>
      </c>
      <c r="AB212" s="13">
        <f t="shared" si="79"/>
        <v>7</v>
      </c>
      <c r="AC212" s="13"/>
      <c r="AD212" s="13"/>
      <c r="AE212" s="13"/>
    </row>
    <row r="213" spans="1:31" ht="30" x14ac:dyDescent="0.25">
      <c r="A213" s="9" t="s">
        <v>283</v>
      </c>
      <c r="B213" s="9" t="s">
        <v>871</v>
      </c>
      <c r="C213" s="9" t="s">
        <v>872</v>
      </c>
      <c r="D213" s="9" t="s">
        <v>806</v>
      </c>
      <c r="E213" s="9" t="s">
        <v>873</v>
      </c>
      <c r="F213" s="9">
        <v>3</v>
      </c>
      <c r="G213" s="9" t="s">
        <v>14</v>
      </c>
      <c r="H213" s="9">
        <v>14</v>
      </c>
      <c r="I213" s="13">
        <f t="shared" si="60"/>
        <v>42</v>
      </c>
      <c r="J213" s="13">
        <f t="shared" si="61"/>
        <v>404</v>
      </c>
      <c r="K213" s="13">
        <f t="shared" si="62"/>
        <v>400</v>
      </c>
      <c r="L213" s="13">
        <f t="shared" si="63"/>
        <v>2048</v>
      </c>
      <c r="M213" s="13">
        <f t="shared" si="64"/>
        <v>102</v>
      </c>
      <c r="N213" s="13" t="b">
        <f t="shared" si="65"/>
        <v>0</v>
      </c>
      <c r="O213" s="13" t="b">
        <f t="shared" si="66"/>
        <v>1</v>
      </c>
      <c r="P213" s="13" t="str">
        <f t="shared" si="67"/>
        <v>C004922-ct</v>
      </c>
      <c r="Q213" s="14" t="str">
        <f t="shared" si="68"/>
        <v>T064798
3</v>
      </c>
      <c r="R213" s="13" t="b">
        <f t="shared" si="69"/>
        <v>0</v>
      </c>
      <c r="S213" s="13" t="str">
        <f t="shared" si="70"/>
        <v>16</v>
      </c>
      <c r="T213" s="13" t="str">
        <f t="shared" si="71"/>
        <v>CT</v>
      </c>
      <c r="U213" s="13" t="str">
        <f t="shared" si="72"/>
        <v>ct</v>
      </c>
      <c r="V213" s="13">
        <f t="shared" si="73"/>
        <v>2</v>
      </c>
      <c r="W213" s="13" t="str">
        <f t="shared" si="74"/>
        <v>T064798 3</v>
      </c>
      <c r="X213" s="13" t="str">
        <f t="shared" si="75"/>
        <v>S55111</v>
      </c>
      <c r="Y213" s="13" t="str">
        <f t="shared" si="76"/>
        <v>T06</v>
      </c>
      <c r="Z213" s="13" t="str">
        <f t="shared" si="77"/>
        <v>798</v>
      </c>
      <c r="AA213" s="13">
        <f t="shared" si="78"/>
        <v>2</v>
      </c>
      <c r="AB213" s="13">
        <f t="shared" si="79"/>
        <v>2</v>
      </c>
      <c r="AC213" s="13"/>
      <c r="AD213" s="13"/>
      <c r="AE213" s="13"/>
    </row>
    <row r="214" spans="1:31" ht="30" x14ac:dyDescent="0.25">
      <c r="A214" s="9" t="s">
        <v>348</v>
      </c>
      <c r="B214" s="9" t="s">
        <v>874</v>
      </c>
      <c r="C214" s="9" t="s">
        <v>875</v>
      </c>
      <c r="D214" s="9" t="s">
        <v>458</v>
      </c>
      <c r="E214" s="9" t="s">
        <v>438</v>
      </c>
      <c r="F214" s="9">
        <v>2</v>
      </c>
      <c r="G214" s="9" t="s">
        <v>278</v>
      </c>
      <c r="H214" s="9">
        <v>13</v>
      </c>
      <c r="I214" s="13">
        <f t="shared" si="60"/>
        <v>26</v>
      </c>
      <c r="J214" s="13">
        <f t="shared" si="61"/>
        <v>448.5</v>
      </c>
      <c r="K214" s="13">
        <f t="shared" si="62"/>
        <v>447</v>
      </c>
      <c r="L214" s="13">
        <f t="shared" si="63"/>
        <v>176</v>
      </c>
      <c r="M214" s="13">
        <f t="shared" si="64"/>
        <v>13</v>
      </c>
      <c r="N214" s="13" t="b">
        <f t="shared" si="65"/>
        <v>0</v>
      </c>
      <c r="O214" s="13" t="b">
        <f t="shared" si="66"/>
        <v>1</v>
      </c>
      <c r="P214" s="13" t="str">
        <f t="shared" si="67"/>
        <v>C001275-ct.</v>
      </c>
      <c r="Q214" s="14" t="str">
        <f t="shared" si="68"/>
        <v>T032532
2</v>
      </c>
      <c r="R214" s="13" t="b">
        <f t="shared" si="69"/>
        <v>0</v>
      </c>
      <c r="S214" s="13" t="str">
        <f t="shared" si="70"/>
        <v>18</v>
      </c>
      <c r="T214" s="13" t="str">
        <f t="shared" si="71"/>
        <v>CT.</v>
      </c>
      <c r="U214" s="13" t="str">
        <f t="shared" si="72"/>
        <v>ct.</v>
      </c>
      <c r="V214" s="13">
        <f t="shared" si="73"/>
        <v>2</v>
      </c>
      <c r="W214" s="13" t="str">
        <f t="shared" si="74"/>
        <v>T032532 2</v>
      </c>
      <c r="X214" s="13" t="str">
        <f t="shared" si="75"/>
        <v>S55651</v>
      </c>
      <c r="Y214" s="13" t="str">
        <f t="shared" si="76"/>
        <v>T03</v>
      </c>
      <c r="Z214" s="13" t="str">
        <f t="shared" si="77"/>
        <v>532</v>
      </c>
      <c r="AA214" s="13">
        <f t="shared" si="78"/>
        <v>2</v>
      </c>
      <c r="AB214" s="13">
        <f t="shared" si="79"/>
        <v>3</v>
      </c>
      <c r="AC214" s="13"/>
      <c r="AD214" s="13"/>
      <c r="AE214" s="13"/>
    </row>
    <row r="215" spans="1:31" ht="30" x14ac:dyDescent="0.25">
      <c r="A215" s="9" t="s">
        <v>116</v>
      </c>
      <c r="B215" s="9" t="s">
        <v>876</v>
      </c>
      <c r="C215" s="9" t="s">
        <v>877</v>
      </c>
      <c r="D215" s="9" t="s">
        <v>394</v>
      </c>
      <c r="E215" s="9" t="s">
        <v>547</v>
      </c>
      <c r="F215" s="9">
        <v>4</v>
      </c>
      <c r="G215" s="9" t="s">
        <v>278</v>
      </c>
      <c r="H215" s="9">
        <v>14</v>
      </c>
      <c r="I215" s="13">
        <f t="shared" si="60"/>
        <v>56</v>
      </c>
      <c r="J215" s="13">
        <f t="shared" si="61"/>
        <v>360.5</v>
      </c>
      <c r="K215" s="13">
        <f t="shared" si="62"/>
        <v>357</v>
      </c>
      <c r="L215" s="13">
        <f t="shared" si="63"/>
        <v>163</v>
      </c>
      <c r="M215" s="13">
        <f t="shared" si="64"/>
        <v>12</v>
      </c>
      <c r="N215" s="13" t="b">
        <f t="shared" si="65"/>
        <v>0</v>
      </c>
      <c r="O215" s="13" t="b">
        <f t="shared" si="66"/>
        <v>1</v>
      </c>
      <c r="P215" s="13" t="str">
        <f t="shared" si="67"/>
        <v>C003776-ct.</v>
      </c>
      <c r="Q215" s="14" t="str">
        <f t="shared" si="68"/>
        <v>T082823
4</v>
      </c>
      <c r="R215" s="13" t="b">
        <f t="shared" si="69"/>
        <v>0</v>
      </c>
      <c r="S215" s="13" t="str">
        <f t="shared" si="70"/>
        <v>21</v>
      </c>
      <c r="T215" s="13" t="str">
        <f t="shared" si="71"/>
        <v>CT.</v>
      </c>
      <c r="U215" s="13" t="str">
        <f t="shared" si="72"/>
        <v>ct.</v>
      </c>
      <c r="V215" s="13">
        <f t="shared" si="73"/>
        <v>2</v>
      </c>
      <c r="W215" s="13" t="str">
        <f t="shared" si="74"/>
        <v>T082823 4</v>
      </c>
      <c r="X215" s="13" t="str">
        <f t="shared" si="75"/>
        <v>S55289</v>
      </c>
      <c r="Y215" s="13" t="str">
        <f t="shared" si="76"/>
        <v>T08</v>
      </c>
      <c r="Z215" s="13" t="str">
        <f t="shared" si="77"/>
        <v>823</v>
      </c>
      <c r="AA215" s="13">
        <f t="shared" si="78"/>
        <v>2</v>
      </c>
      <c r="AB215" s="13">
        <f t="shared" si="79"/>
        <v>3</v>
      </c>
      <c r="AC215" s="13"/>
      <c r="AD215" s="13"/>
      <c r="AE215" s="13"/>
    </row>
    <row r="216" spans="1:31" ht="30" x14ac:dyDescent="0.25">
      <c r="A216" s="9" t="s">
        <v>171</v>
      </c>
      <c r="B216" s="9" t="s">
        <v>878</v>
      </c>
      <c r="C216" s="9" t="s">
        <v>879</v>
      </c>
      <c r="D216" s="9" t="s">
        <v>609</v>
      </c>
      <c r="E216" s="9" t="s">
        <v>880</v>
      </c>
      <c r="F216" s="9">
        <v>6</v>
      </c>
      <c r="G216" s="9" t="s">
        <v>36</v>
      </c>
      <c r="H216" s="9">
        <v>40</v>
      </c>
      <c r="I216" s="13">
        <f t="shared" si="60"/>
        <v>240</v>
      </c>
      <c r="J216" s="13">
        <f t="shared" si="61"/>
        <v>29</v>
      </c>
      <c r="K216" s="13">
        <f t="shared" si="62"/>
        <v>29</v>
      </c>
      <c r="L216" s="13">
        <f t="shared" si="63"/>
        <v>1227</v>
      </c>
      <c r="M216" s="13">
        <f t="shared" si="64"/>
        <v>69</v>
      </c>
      <c r="N216" s="13" t="b">
        <f t="shared" si="65"/>
        <v>1</v>
      </c>
      <c r="O216" s="13" t="b">
        <f t="shared" si="66"/>
        <v>1</v>
      </c>
      <c r="P216" s="13" t="str">
        <f t="shared" si="67"/>
        <v>C000793-cans</v>
      </c>
      <c r="Q216" s="14" t="str">
        <f t="shared" si="68"/>
        <v>T061423
6</v>
      </c>
      <c r="R216" s="13" t="b">
        <f t="shared" si="69"/>
        <v>0</v>
      </c>
      <c r="S216" s="13" t="str">
        <f t="shared" si="70"/>
        <v>06</v>
      </c>
      <c r="T216" s="13" t="str">
        <f t="shared" si="71"/>
        <v>CANS</v>
      </c>
      <c r="U216" s="13" t="str">
        <f t="shared" si="72"/>
        <v>cans</v>
      </c>
      <c r="V216" s="13">
        <f t="shared" si="73"/>
        <v>2</v>
      </c>
      <c r="W216" s="13" t="str">
        <f t="shared" si="74"/>
        <v>T061423 6</v>
      </c>
      <c r="X216" s="13" t="str">
        <f t="shared" si="75"/>
        <v>S55215</v>
      </c>
      <c r="Y216" s="13" t="str">
        <f t="shared" si="76"/>
        <v>T06</v>
      </c>
      <c r="Z216" s="13" t="str">
        <f t="shared" si="77"/>
        <v>423</v>
      </c>
      <c r="AA216" s="13">
        <f t="shared" si="78"/>
        <v>2</v>
      </c>
      <c r="AB216" s="13">
        <f t="shared" si="79"/>
        <v>4</v>
      </c>
      <c r="AC216" s="13"/>
      <c r="AD216" s="13"/>
      <c r="AE216" s="13"/>
    </row>
    <row r="217" spans="1:31" ht="30" x14ac:dyDescent="0.25">
      <c r="A217" s="9" t="s">
        <v>468</v>
      </c>
      <c r="B217" s="9" t="s">
        <v>881</v>
      </c>
      <c r="C217" s="9" t="s">
        <v>882</v>
      </c>
      <c r="D217" s="9" t="s">
        <v>535</v>
      </c>
      <c r="E217" s="9" t="s">
        <v>186</v>
      </c>
      <c r="F217" s="9">
        <v>1</v>
      </c>
      <c r="G217" s="9" t="s">
        <v>14</v>
      </c>
      <c r="H217" s="9">
        <v>13</v>
      </c>
      <c r="I217" s="13">
        <f t="shared" si="60"/>
        <v>13</v>
      </c>
      <c r="J217" s="13">
        <f t="shared" si="61"/>
        <v>486</v>
      </c>
      <c r="K217" s="13">
        <f t="shared" si="62"/>
        <v>485</v>
      </c>
      <c r="L217" s="13">
        <f t="shared" si="63"/>
        <v>2034</v>
      </c>
      <c r="M217" s="13">
        <f t="shared" si="64"/>
        <v>101</v>
      </c>
      <c r="N217" s="13" t="b">
        <f t="shared" si="65"/>
        <v>0</v>
      </c>
      <c r="O217" s="13" t="b">
        <f t="shared" si="66"/>
        <v>1</v>
      </c>
      <c r="P217" s="13" t="str">
        <f t="shared" si="67"/>
        <v>C007650-ct</v>
      </c>
      <c r="Q217" s="14" t="str">
        <f t="shared" si="68"/>
        <v>T036396
1</v>
      </c>
      <c r="R217" s="13" t="b">
        <f t="shared" si="69"/>
        <v>0</v>
      </c>
      <c r="S217" s="13" t="str">
        <f t="shared" si="70"/>
        <v>18</v>
      </c>
      <c r="T217" s="13" t="str">
        <f t="shared" si="71"/>
        <v>CT</v>
      </c>
      <c r="U217" s="13" t="str">
        <f t="shared" si="72"/>
        <v>ct</v>
      </c>
      <c r="V217" s="13">
        <f t="shared" si="73"/>
        <v>2</v>
      </c>
      <c r="W217" s="13" t="str">
        <f t="shared" si="74"/>
        <v>T036396 1</v>
      </c>
      <c r="X217" s="13" t="str">
        <f t="shared" si="75"/>
        <v>S5595</v>
      </c>
      <c r="Y217" s="13" t="str">
        <f t="shared" si="76"/>
        <v>T03</v>
      </c>
      <c r="Z217" s="13" t="str">
        <f t="shared" si="77"/>
        <v>396</v>
      </c>
      <c r="AA217" s="13">
        <f t="shared" si="78"/>
        <v>2</v>
      </c>
      <c r="AB217" s="13">
        <f t="shared" si="79"/>
        <v>2</v>
      </c>
      <c r="AC217" s="13"/>
      <c r="AD217" s="13"/>
      <c r="AE217" s="13"/>
    </row>
    <row r="218" spans="1:31" ht="30" x14ac:dyDescent="0.25">
      <c r="A218" s="9" t="s">
        <v>21</v>
      </c>
      <c r="B218" s="9" t="s">
        <v>883</v>
      </c>
      <c r="C218" s="9" t="s">
        <v>884</v>
      </c>
      <c r="D218" s="9" t="s">
        <v>806</v>
      </c>
      <c r="E218" s="9" t="s">
        <v>885</v>
      </c>
      <c r="F218" s="9">
        <v>4</v>
      </c>
      <c r="G218" s="9" t="s">
        <v>14</v>
      </c>
      <c r="H218" s="9">
        <v>14</v>
      </c>
      <c r="I218" s="13">
        <f t="shared" si="60"/>
        <v>56</v>
      </c>
      <c r="J218" s="13">
        <f t="shared" si="61"/>
        <v>360.5</v>
      </c>
      <c r="K218" s="13">
        <f t="shared" si="62"/>
        <v>357</v>
      </c>
      <c r="L218" s="13">
        <f t="shared" si="63"/>
        <v>2021</v>
      </c>
      <c r="M218" s="13">
        <f t="shared" si="64"/>
        <v>100</v>
      </c>
      <c r="N218" s="13" t="b">
        <f t="shared" si="65"/>
        <v>0</v>
      </c>
      <c r="O218" s="13" t="b">
        <f t="shared" si="66"/>
        <v>1</v>
      </c>
      <c r="P218" s="13" t="str">
        <f t="shared" si="67"/>
        <v>C001380-ct</v>
      </c>
      <c r="Q218" s="14" t="str">
        <f t="shared" si="68"/>
        <v>T022770
4</v>
      </c>
      <c r="R218" s="13" t="b">
        <f t="shared" si="69"/>
        <v>0</v>
      </c>
      <c r="S218" s="13" t="str">
        <f t="shared" si="70"/>
        <v>16</v>
      </c>
      <c r="T218" s="13" t="str">
        <f t="shared" si="71"/>
        <v>CT</v>
      </c>
      <c r="U218" s="13" t="str">
        <f t="shared" si="72"/>
        <v>ct</v>
      </c>
      <c r="V218" s="13">
        <f t="shared" si="73"/>
        <v>2</v>
      </c>
      <c r="W218" s="13" t="str">
        <f t="shared" si="74"/>
        <v>T022770 4</v>
      </c>
      <c r="X218" s="13" t="str">
        <f t="shared" si="75"/>
        <v>S55336</v>
      </c>
      <c r="Y218" s="13" t="str">
        <f t="shared" si="76"/>
        <v>T02</v>
      </c>
      <c r="Z218" s="13" t="str">
        <f t="shared" si="77"/>
        <v>770</v>
      </c>
      <c r="AA218" s="13">
        <f t="shared" si="78"/>
        <v>2</v>
      </c>
      <c r="AB218" s="13">
        <f t="shared" si="79"/>
        <v>2</v>
      </c>
      <c r="AC218" s="13"/>
      <c r="AD218" s="13"/>
      <c r="AE218" s="13"/>
    </row>
    <row r="219" spans="1:31" ht="30" x14ac:dyDescent="0.25">
      <c r="A219" s="9" t="s">
        <v>209</v>
      </c>
      <c r="B219" s="9" t="s">
        <v>886</v>
      </c>
      <c r="C219" s="9" t="s">
        <v>887</v>
      </c>
      <c r="D219" s="9" t="s">
        <v>616</v>
      </c>
      <c r="E219" s="9" t="s">
        <v>888</v>
      </c>
      <c r="F219" s="9">
        <v>10</v>
      </c>
      <c r="G219" s="9" t="s">
        <v>14</v>
      </c>
      <c r="H219" s="9">
        <v>25</v>
      </c>
      <c r="I219" s="13">
        <f t="shared" si="60"/>
        <v>250</v>
      </c>
      <c r="J219" s="13">
        <f t="shared" si="61"/>
        <v>27</v>
      </c>
      <c r="K219" s="13">
        <f t="shared" si="62"/>
        <v>27</v>
      </c>
      <c r="L219" s="13">
        <f t="shared" si="63"/>
        <v>2007</v>
      </c>
      <c r="M219" s="13">
        <f t="shared" si="64"/>
        <v>99</v>
      </c>
      <c r="N219" s="13" t="b">
        <f t="shared" si="65"/>
        <v>1</v>
      </c>
      <c r="O219" s="13" t="b">
        <f t="shared" si="66"/>
        <v>1</v>
      </c>
      <c r="P219" s="13" t="str">
        <f t="shared" si="67"/>
        <v>C007918-ct</v>
      </c>
      <c r="Q219" s="14" t="str">
        <f t="shared" si="68"/>
        <v>T089048
10</v>
      </c>
      <c r="R219" s="13" t="b">
        <f t="shared" si="69"/>
        <v>0</v>
      </c>
      <c r="S219" s="13" t="str">
        <f t="shared" si="70"/>
        <v>12</v>
      </c>
      <c r="T219" s="13" t="str">
        <f t="shared" si="71"/>
        <v>CT</v>
      </c>
      <c r="U219" s="13" t="str">
        <f t="shared" si="72"/>
        <v>ct</v>
      </c>
      <c r="V219" s="13">
        <f t="shared" si="73"/>
        <v>2</v>
      </c>
      <c r="W219" s="13" t="str">
        <f t="shared" si="74"/>
        <v>T089048 10</v>
      </c>
      <c r="X219" s="13" t="str">
        <f t="shared" si="75"/>
        <v>S55646</v>
      </c>
      <c r="Y219" s="13" t="str">
        <f t="shared" si="76"/>
        <v>T08</v>
      </c>
      <c r="Z219" s="13" t="str">
        <f t="shared" si="77"/>
        <v>048</v>
      </c>
      <c r="AA219" s="13">
        <f t="shared" si="78"/>
        <v>2</v>
      </c>
      <c r="AB219" s="13">
        <f t="shared" si="79"/>
        <v>2</v>
      </c>
      <c r="AC219" s="13"/>
      <c r="AD219" s="13"/>
      <c r="AE219" s="13"/>
    </row>
    <row r="220" spans="1:31" ht="30" x14ac:dyDescent="0.25">
      <c r="A220" s="9" t="s">
        <v>297</v>
      </c>
      <c r="B220" s="9" t="s">
        <v>889</v>
      </c>
      <c r="C220" s="9" t="s">
        <v>890</v>
      </c>
      <c r="D220" s="9" t="s">
        <v>268</v>
      </c>
      <c r="E220" s="9" t="s">
        <v>891</v>
      </c>
      <c r="F220" s="9">
        <v>7</v>
      </c>
      <c r="G220" s="9" t="s">
        <v>115</v>
      </c>
      <c r="H220" s="9">
        <v>17</v>
      </c>
      <c r="I220" s="13">
        <f t="shared" si="60"/>
        <v>119</v>
      </c>
      <c r="J220" s="13">
        <f t="shared" si="61"/>
        <v>179.5</v>
      </c>
      <c r="K220" s="13">
        <f t="shared" si="62"/>
        <v>178</v>
      </c>
      <c r="L220" s="13">
        <f t="shared" si="63"/>
        <v>317</v>
      </c>
      <c r="M220" s="13">
        <f t="shared" si="64"/>
        <v>19</v>
      </c>
      <c r="N220" s="13" t="b">
        <f t="shared" si="65"/>
        <v>0</v>
      </c>
      <c r="O220" s="13" t="b">
        <f t="shared" si="66"/>
        <v>1</v>
      </c>
      <c r="P220" s="13" t="str">
        <f t="shared" si="67"/>
        <v>C007540-bags</v>
      </c>
      <c r="Q220" s="14" t="str">
        <f t="shared" si="68"/>
        <v>T067515
7</v>
      </c>
      <c r="R220" s="13" t="b">
        <f t="shared" si="69"/>
        <v>0</v>
      </c>
      <c r="S220" s="13" t="str">
        <f t="shared" si="70"/>
        <v>15</v>
      </c>
      <c r="T220" s="13" t="str">
        <f t="shared" si="71"/>
        <v>BAGS</v>
      </c>
      <c r="U220" s="13" t="str">
        <f t="shared" si="72"/>
        <v>bags</v>
      </c>
      <c r="V220" s="13">
        <f t="shared" si="73"/>
        <v>2</v>
      </c>
      <c r="W220" s="13" t="str">
        <f t="shared" si="74"/>
        <v>T067515 7</v>
      </c>
      <c r="X220" s="13" t="str">
        <f t="shared" si="75"/>
        <v>S55259</v>
      </c>
      <c r="Y220" s="13" t="str">
        <f t="shared" si="76"/>
        <v>T06</v>
      </c>
      <c r="Z220" s="13" t="str">
        <f t="shared" si="77"/>
        <v>515</v>
      </c>
      <c r="AA220" s="13">
        <f t="shared" si="78"/>
        <v>2</v>
      </c>
      <c r="AB220" s="13">
        <f t="shared" si="79"/>
        <v>4</v>
      </c>
      <c r="AC220" s="13"/>
      <c r="AD220" s="13"/>
      <c r="AE220" s="13"/>
    </row>
    <row r="221" spans="1:31" ht="30" x14ac:dyDescent="0.25">
      <c r="A221" s="9" t="s">
        <v>79</v>
      </c>
      <c r="B221" s="9" t="s">
        <v>892</v>
      </c>
      <c r="C221" s="9" t="s">
        <v>893</v>
      </c>
      <c r="D221" s="9" t="s">
        <v>894</v>
      </c>
      <c r="E221" s="9" t="s">
        <v>895</v>
      </c>
      <c r="F221" s="9">
        <v>11</v>
      </c>
      <c r="G221" s="9" t="s">
        <v>416</v>
      </c>
      <c r="H221" s="9">
        <v>16</v>
      </c>
      <c r="I221" s="13">
        <f t="shared" si="60"/>
        <v>176</v>
      </c>
      <c r="J221" s="13">
        <f t="shared" si="61"/>
        <v>67</v>
      </c>
      <c r="K221" s="13">
        <f t="shared" si="62"/>
        <v>65</v>
      </c>
      <c r="L221" s="13">
        <f t="shared" si="63"/>
        <v>151.5</v>
      </c>
      <c r="M221" s="13">
        <f t="shared" si="64"/>
        <v>10</v>
      </c>
      <c r="N221" s="13" t="b">
        <f t="shared" si="65"/>
        <v>0</v>
      </c>
      <c r="O221" s="13" t="b">
        <f t="shared" si="66"/>
        <v>1</v>
      </c>
      <c r="P221" s="13" t="str">
        <f t="shared" si="67"/>
        <v>C002403-pk</v>
      </c>
      <c r="Q221" s="14" t="str">
        <f t="shared" si="68"/>
        <v>T035707
11</v>
      </c>
      <c r="R221" s="13" t="b">
        <f t="shared" si="69"/>
        <v>0</v>
      </c>
      <c r="S221" s="13" t="str">
        <f t="shared" si="70"/>
        <v>12</v>
      </c>
      <c r="T221" s="13" t="str">
        <f t="shared" si="71"/>
        <v>PK</v>
      </c>
      <c r="U221" s="13" t="str">
        <f t="shared" si="72"/>
        <v>pk</v>
      </c>
      <c r="V221" s="13">
        <f t="shared" si="73"/>
        <v>2</v>
      </c>
      <c r="W221" s="13" t="str">
        <f t="shared" si="74"/>
        <v>T035707 11</v>
      </c>
      <c r="X221" s="13" t="str">
        <f t="shared" si="75"/>
        <v>S5559</v>
      </c>
      <c r="Y221" s="13" t="str">
        <f t="shared" si="76"/>
        <v>T03</v>
      </c>
      <c r="Z221" s="13" t="str">
        <f t="shared" si="77"/>
        <v>707</v>
      </c>
      <c r="AA221" s="13">
        <f t="shared" si="78"/>
        <v>2</v>
      </c>
      <c r="AB221" s="13">
        <f t="shared" si="79"/>
        <v>2</v>
      </c>
      <c r="AC221" s="13"/>
      <c r="AD221" s="13"/>
      <c r="AE221" s="13"/>
    </row>
    <row r="222" spans="1:31" ht="30" x14ac:dyDescent="0.25">
      <c r="A222" s="9" t="s">
        <v>297</v>
      </c>
      <c r="B222" s="9" t="s">
        <v>896</v>
      </c>
      <c r="C222" s="9" t="s">
        <v>897</v>
      </c>
      <c r="D222" s="9" t="s">
        <v>583</v>
      </c>
      <c r="E222" s="9" t="s">
        <v>898</v>
      </c>
      <c r="F222" s="9">
        <v>4</v>
      </c>
      <c r="G222" s="9" t="s">
        <v>411</v>
      </c>
      <c r="H222" s="9">
        <v>20</v>
      </c>
      <c r="I222" s="13">
        <f t="shared" si="60"/>
        <v>80</v>
      </c>
      <c r="J222" s="13">
        <f t="shared" si="61"/>
        <v>275</v>
      </c>
      <c r="K222" s="13">
        <f t="shared" si="62"/>
        <v>272</v>
      </c>
      <c r="L222" s="13">
        <f t="shared" si="63"/>
        <v>121.5</v>
      </c>
      <c r="M222" s="13">
        <f t="shared" si="64"/>
        <v>6</v>
      </c>
      <c r="N222" s="13" t="b">
        <f t="shared" si="65"/>
        <v>0</v>
      </c>
      <c r="O222" s="13" t="b">
        <f t="shared" si="66"/>
        <v>1</v>
      </c>
      <c r="P222" s="13" t="str">
        <f t="shared" si="67"/>
        <v>C008334-pack</v>
      </c>
      <c r="Q222" s="14" t="str">
        <f t="shared" si="68"/>
        <v>T03819
4</v>
      </c>
      <c r="R222" s="13" t="b">
        <f t="shared" si="69"/>
        <v>0</v>
      </c>
      <c r="S222" s="13" t="str">
        <f t="shared" si="70"/>
        <v>25</v>
      </c>
      <c r="T222" s="13" t="str">
        <f t="shared" si="71"/>
        <v>PACK</v>
      </c>
      <c r="U222" s="13" t="str">
        <f t="shared" si="72"/>
        <v>pack</v>
      </c>
      <c r="V222" s="13">
        <f t="shared" si="73"/>
        <v>2</v>
      </c>
      <c r="W222" s="13" t="str">
        <f t="shared" si="74"/>
        <v>T03819 4</v>
      </c>
      <c r="X222" s="13" t="str">
        <f t="shared" si="75"/>
        <v>S55721</v>
      </c>
      <c r="Y222" s="13" t="str">
        <f t="shared" si="76"/>
        <v>T03</v>
      </c>
      <c r="Z222" s="13" t="str">
        <f t="shared" si="77"/>
        <v>819</v>
      </c>
      <c r="AA222" s="13">
        <f t="shared" si="78"/>
        <v>2</v>
      </c>
      <c r="AB222" s="13">
        <f t="shared" si="79"/>
        <v>4</v>
      </c>
      <c r="AC222" s="13"/>
      <c r="AD222" s="13"/>
      <c r="AE222" s="13"/>
    </row>
    <row r="223" spans="1:31" ht="30" x14ac:dyDescent="0.25">
      <c r="A223" s="9" t="s">
        <v>26</v>
      </c>
      <c r="B223" s="9" t="s">
        <v>274</v>
      </c>
      <c r="C223" s="9" t="s">
        <v>275</v>
      </c>
      <c r="D223" s="9" t="s">
        <v>276</v>
      </c>
      <c r="E223" s="9" t="s">
        <v>277</v>
      </c>
      <c r="F223" s="9">
        <v>10</v>
      </c>
      <c r="G223" s="9" t="s">
        <v>278</v>
      </c>
      <c r="H223" s="9">
        <v>13</v>
      </c>
      <c r="I223" s="13">
        <f t="shared" si="60"/>
        <v>130</v>
      </c>
      <c r="J223" s="13">
        <f t="shared" si="61"/>
        <v>145</v>
      </c>
      <c r="K223" s="13">
        <f t="shared" si="62"/>
        <v>143</v>
      </c>
      <c r="L223" s="13">
        <f t="shared" si="63"/>
        <v>149</v>
      </c>
      <c r="M223" s="13">
        <f t="shared" si="64"/>
        <v>11</v>
      </c>
      <c r="N223" s="13" t="b">
        <f t="shared" si="65"/>
        <v>0</v>
      </c>
      <c r="O223" s="13" t="b">
        <f t="shared" si="66"/>
        <v>1</v>
      </c>
      <c r="P223" s="13" t="str">
        <f t="shared" si="67"/>
        <v>C002273-ct.</v>
      </c>
      <c r="Q223" s="14" t="str">
        <f t="shared" si="68"/>
        <v>T084158
10</v>
      </c>
      <c r="R223" s="13" t="b">
        <f t="shared" si="69"/>
        <v>0</v>
      </c>
      <c r="S223" s="13" t="str">
        <f t="shared" si="70"/>
        <v>18</v>
      </c>
      <c r="T223" s="13" t="str">
        <f t="shared" si="71"/>
        <v>CT.</v>
      </c>
      <c r="U223" s="13" t="str">
        <f t="shared" si="72"/>
        <v>ct.</v>
      </c>
      <c r="V223" s="13">
        <f t="shared" si="73"/>
        <v>2</v>
      </c>
      <c r="W223" s="13" t="str">
        <f t="shared" si="74"/>
        <v>T084158 10</v>
      </c>
      <c r="X223" s="13" t="str">
        <f t="shared" si="75"/>
        <v>S55455</v>
      </c>
      <c r="Y223" s="13" t="str">
        <f t="shared" si="76"/>
        <v>T08</v>
      </c>
      <c r="Z223" s="13" t="str">
        <f t="shared" si="77"/>
        <v>158</v>
      </c>
      <c r="AA223" s="13">
        <f t="shared" si="78"/>
        <v>2</v>
      </c>
      <c r="AB223" s="13">
        <f t="shared" si="79"/>
        <v>3</v>
      </c>
      <c r="AC223" s="13"/>
      <c r="AD223" s="13"/>
      <c r="AE223" s="13"/>
    </row>
    <row r="224" spans="1:31" ht="30" x14ac:dyDescent="0.25">
      <c r="A224" s="9" t="s">
        <v>233</v>
      </c>
      <c r="B224" s="9" t="s">
        <v>279</v>
      </c>
      <c r="C224" s="9" t="s">
        <v>280</v>
      </c>
      <c r="D224" s="9" t="s">
        <v>281</v>
      </c>
      <c r="E224" s="9" t="s">
        <v>282</v>
      </c>
      <c r="F224" s="9">
        <v>5</v>
      </c>
      <c r="G224" s="9" t="s">
        <v>36</v>
      </c>
      <c r="H224" s="9">
        <v>6.75</v>
      </c>
      <c r="I224" s="13">
        <f t="shared" si="60"/>
        <v>33.75</v>
      </c>
      <c r="J224" s="13">
        <f t="shared" si="61"/>
        <v>426</v>
      </c>
      <c r="K224" s="13">
        <f t="shared" si="62"/>
        <v>424</v>
      </c>
      <c r="L224" s="13">
        <f t="shared" si="63"/>
        <v>1187</v>
      </c>
      <c r="M224" s="13">
        <f t="shared" si="64"/>
        <v>68</v>
      </c>
      <c r="N224" s="13" t="b">
        <f t="shared" si="65"/>
        <v>0</v>
      </c>
      <c r="O224" s="13" t="b">
        <f t="shared" si="66"/>
        <v>1</v>
      </c>
      <c r="P224" s="13" t="str">
        <f t="shared" si="67"/>
        <v>C003291-cans</v>
      </c>
      <c r="Q224" s="14" t="str">
        <f t="shared" si="68"/>
        <v>T079034
5</v>
      </c>
      <c r="R224" s="13" t="b">
        <f t="shared" si="69"/>
        <v>0</v>
      </c>
      <c r="S224" s="13" t="str">
        <f t="shared" si="70"/>
        <v>07</v>
      </c>
      <c r="T224" s="13" t="str">
        <f t="shared" si="71"/>
        <v>CANS</v>
      </c>
      <c r="U224" s="13" t="str">
        <f t="shared" si="72"/>
        <v>cans</v>
      </c>
      <c r="V224" s="13">
        <f t="shared" si="73"/>
        <v>2</v>
      </c>
      <c r="W224" s="13" t="str">
        <f t="shared" si="74"/>
        <v>T079034 5</v>
      </c>
      <c r="X224" s="13" t="str">
        <f t="shared" si="75"/>
        <v>S5574</v>
      </c>
      <c r="Y224" s="13" t="str">
        <f t="shared" si="76"/>
        <v>T07</v>
      </c>
      <c r="Z224" s="13" t="str">
        <f t="shared" si="77"/>
        <v>034</v>
      </c>
      <c r="AA224" s="13">
        <f t="shared" si="78"/>
        <v>2</v>
      </c>
      <c r="AB224" s="13">
        <f t="shared" si="79"/>
        <v>4</v>
      </c>
      <c r="AC224" s="13"/>
      <c r="AD224" s="13"/>
      <c r="AE224" s="13"/>
    </row>
    <row r="225" spans="1:31" ht="30" x14ac:dyDescent="0.25">
      <c r="A225" s="9" t="s">
        <v>283</v>
      </c>
      <c r="B225" s="9" t="s">
        <v>284</v>
      </c>
      <c r="C225" s="9" t="s">
        <v>285</v>
      </c>
      <c r="D225" s="9" t="s">
        <v>286</v>
      </c>
      <c r="E225" s="9" t="s">
        <v>287</v>
      </c>
      <c r="F225" s="9">
        <v>5</v>
      </c>
      <c r="G225" s="9" t="s">
        <v>14</v>
      </c>
      <c r="H225" s="9">
        <v>15</v>
      </c>
      <c r="I225" s="13">
        <f t="shared" si="60"/>
        <v>75</v>
      </c>
      <c r="J225" s="13">
        <f t="shared" si="61"/>
        <v>285</v>
      </c>
      <c r="K225" s="13">
        <f t="shared" si="62"/>
        <v>283</v>
      </c>
      <c r="L225" s="13">
        <f t="shared" si="63"/>
        <v>1982</v>
      </c>
      <c r="M225" s="13">
        <f t="shared" si="64"/>
        <v>98</v>
      </c>
      <c r="N225" s="13" t="b">
        <f t="shared" si="65"/>
        <v>0</v>
      </c>
      <c r="O225" s="13" t="b">
        <f t="shared" si="66"/>
        <v>1</v>
      </c>
      <c r="P225" s="13" t="str">
        <f t="shared" si="67"/>
        <v>C008759-ct</v>
      </c>
      <c r="Q225" s="14" t="str">
        <f t="shared" si="68"/>
        <v>T022074
5</v>
      </c>
      <c r="R225" s="13" t="b">
        <f t="shared" si="69"/>
        <v>0</v>
      </c>
      <c r="S225" s="13" t="str">
        <f t="shared" si="70"/>
        <v>12</v>
      </c>
      <c r="T225" s="13" t="str">
        <f t="shared" si="71"/>
        <v>CT</v>
      </c>
      <c r="U225" s="13" t="str">
        <f t="shared" si="72"/>
        <v>ct</v>
      </c>
      <c r="V225" s="13">
        <f t="shared" si="73"/>
        <v>2</v>
      </c>
      <c r="W225" s="13" t="str">
        <f t="shared" si="74"/>
        <v>T022074 5</v>
      </c>
      <c r="X225" s="13" t="str">
        <f t="shared" si="75"/>
        <v>S55559</v>
      </c>
      <c r="Y225" s="13" t="str">
        <f t="shared" si="76"/>
        <v>T02</v>
      </c>
      <c r="Z225" s="13" t="str">
        <f t="shared" si="77"/>
        <v>074</v>
      </c>
      <c r="AA225" s="13">
        <f t="shared" si="78"/>
        <v>2</v>
      </c>
      <c r="AB225" s="13">
        <f t="shared" si="79"/>
        <v>2</v>
      </c>
      <c r="AC225" s="13"/>
      <c r="AD225" s="13"/>
      <c r="AE225" s="13"/>
    </row>
    <row r="226" spans="1:31" ht="30" x14ac:dyDescent="0.25">
      <c r="A226" s="9" t="s">
        <v>249</v>
      </c>
      <c r="B226" s="9" t="s">
        <v>288</v>
      </c>
      <c r="C226" s="9" t="s">
        <v>289</v>
      </c>
      <c r="D226" s="9" t="s">
        <v>290</v>
      </c>
      <c r="E226" s="9" t="s">
        <v>291</v>
      </c>
      <c r="F226" s="9">
        <v>11</v>
      </c>
      <c r="G226" s="9" t="s">
        <v>14</v>
      </c>
      <c r="H226" s="9">
        <v>35</v>
      </c>
      <c r="I226" s="13">
        <f t="shared" si="60"/>
        <v>385</v>
      </c>
      <c r="J226" s="13">
        <f t="shared" si="61"/>
        <v>9.5</v>
      </c>
      <c r="K226" s="13">
        <f t="shared" si="62"/>
        <v>9</v>
      </c>
      <c r="L226" s="13">
        <f t="shared" si="63"/>
        <v>1967</v>
      </c>
      <c r="M226" s="13">
        <f t="shared" si="64"/>
        <v>97</v>
      </c>
      <c r="N226" s="13" t="b">
        <f t="shared" si="65"/>
        <v>1</v>
      </c>
      <c r="O226" s="13" t="b">
        <f t="shared" si="66"/>
        <v>1</v>
      </c>
      <c r="P226" s="13" t="str">
        <f t="shared" si="67"/>
        <v>C007688-ct</v>
      </c>
      <c r="Q226" s="14" t="str">
        <f t="shared" si="68"/>
        <v>T028134
11</v>
      </c>
      <c r="R226" s="13" t="b">
        <f t="shared" si="69"/>
        <v>0</v>
      </c>
      <c r="S226" s="13" t="str">
        <f t="shared" si="70"/>
        <v>18</v>
      </c>
      <c r="T226" s="13" t="str">
        <f t="shared" si="71"/>
        <v>CT</v>
      </c>
      <c r="U226" s="13" t="str">
        <f t="shared" si="72"/>
        <v>ct</v>
      </c>
      <c r="V226" s="13">
        <f t="shared" si="73"/>
        <v>2</v>
      </c>
      <c r="W226" s="13" t="str">
        <f t="shared" si="74"/>
        <v>T028134 11</v>
      </c>
      <c r="X226" s="13" t="str">
        <f t="shared" si="75"/>
        <v>S55194</v>
      </c>
      <c r="Y226" s="13" t="str">
        <f t="shared" si="76"/>
        <v>T02</v>
      </c>
      <c r="Z226" s="13" t="str">
        <f t="shared" si="77"/>
        <v>134</v>
      </c>
      <c r="AA226" s="13">
        <f t="shared" si="78"/>
        <v>2</v>
      </c>
      <c r="AB226" s="13">
        <f t="shared" si="79"/>
        <v>2</v>
      </c>
      <c r="AC226" s="13"/>
      <c r="AD226" s="13"/>
      <c r="AE226" s="13"/>
    </row>
    <row r="227" spans="1:31" ht="30" x14ac:dyDescent="0.25">
      <c r="A227" s="9" t="s">
        <v>292</v>
      </c>
      <c r="B227" s="9" t="s">
        <v>293</v>
      </c>
      <c r="C227" s="9" t="s">
        <v>294</v>
      </c>
      <c r="D227" s="9" t="s">
        <v>295</v>
      </c>
      <c r="E227" s="9" t="s">
        <v>296</v>
      </c>
      <c r="F227" s="9">
        <v>2</v>
      </c>
      <c r="G227" s="9" t="s">
        <v>115</v>
      </c>
      <c r="H227" s="9">
        <v>16</v>
      </c>
      <c r="I227" s="13">
        <f t="shared" si="60"/>
        <v>32</v>
      </c>
      <c r="J227" s="13">
        <f t="shared" si="61"/>
        <v>435</v>
      </c>
      <c r="K227" s="13">
        <f t="shared" si="62"/>
        <v>433</v>
      </c>
      <c r="L227" s="13">
        <f t="shared" si="63"/>
        <v>300</v>
      </c>
      <c r="M227" s="13">
        <f t="shared" si="64"/>
        <v>18</v>
      </c>
      <c r="N227" s="13" t="b">
        <f t="shared" si="65"/>
        <v>0</v>
      </c>
      <c r="O227" s="13" t="b">
        <f t="shared" si="66"/>
        <v>1</v>
      </c>
      <c r="P227" s="13" t="str">
        <f t="shared" si="67"/>
        <v>C001301-bags</v>
      </c>
      <c r="Q227" s="14" t="str">
        <f t="shared" si="68"/>
        <v>T033815
2</v>
      </c>
      <c r="R227" s="13" t="b">
        <f t="shared" si="69"/>
        <v>0</v>
      </c>
      <c r="S227" s="13" t="str">
        <f t="shared" si="70"/>
        <v>16</v>
      </c>
      <c r="T227" s="13" t="str">
        <f t="shared" si="71"/>
        <v>BAGS</v>
      </c>
      <c r="U227" s="13" t="str">
        <f t="shared" si="72"/>
        <v>bags</v>
      </c>
      <c r="V227" s="13">
        <f t="shared" si="73"/>
        <v>2</v>
      </c>
      <c r="W227" s="13" t="str">
        <f t="shared" si="74"/>
        <v>T033815 2</v>
      </c>
      <c r="X227" s="13" t="str">
        <f t="shared" si="75"/>
        <v>S55251</v>
      </c>
      <c r="Y227" s="13" t="str">
        <f t="shared" si="76"/>
        <v>T03</v>
      </c>
      <c r="Z227" s="13" t="str">
        <f t="shared" si="77"/>
        <v>815</v>
      </c>
      <c r="AA227" s="13">
        <f t="shared" si="78"/>
        <v>2</v>
      </c>
      <c r="AB227" s="13">
        <f t="shared" si="79"/>
        <v>4</v>
      </c>
      <c r="AC227" s="13"/>
      <c r="AD227" s="13"/>
      <c r="AE227" s="13"/>
    </row>
    <row r="228" spans="1:31" ht="30" x14ac:dyDescent="0.25">
      <c r="A228" s="9" t="s">
        <v>297</v>
      </c>
      <c r="B228" s="9" t="s">
        <v>298</v>
      </c>
      <c r="C228" s="9" t="s">
        <v>299</v>
      </c>
      <c r="D228" s="9" t="s">
        <v>153</v>
      </c>
      <c r="E228" s="9" t="s">
        <v>300</v>
      </c>
      <c r="F228" s="9">
        <v>8</v>
      </c>
      <c r="G228" s="9" t="s">
        <v>14</v>
      </c>
      <c r="H228" s="9">
        <v>42</v>
      </c>
      <c r="I228" s="13">
        <f t="shared" si="60"/>
        <v>336</v>
      </c>
      <c r="J228" s="13">
        <f t="shared" si="61"/>
        <v>14</v>
      </c>
      <c r="K228" s="13">
        <f t="shared" si="62"/>
        <v>14</v>
      </c>
      <c r="L228" s="13">
        <f t="shared" si="63"/>
        <v>1932</v>
      </c>
      <c r="M228" s="13">
        <f t="shared" si="64"/>
        <v>96</v>
      </c>
      <c r="N228" s="13" t="b">
        <f t="shared" si="65"/>
        <v>1</v>
      </c>
      <c r="O228" s="13" t="b">
        <f t="shared" si="66"/>
        <v>1</v>
      </c>
      <c r="P228" s="13" t="str">
        <f t="shared" si="67"/>
        <v>C004865-ct</v>
      </c>
      <c r="Q228" s="14" t="str">
        <f t="shared" si="68"/>
        <v>T044907
8</v>
      </c>
      <c r="R228" s="13" t="b">
        <f t="shared" si="69"/>
        <v>0</v>
      </c>
      <c r="S228" s="13" t="str">
        <f t="shared" si="70"/>
        <v>11</v>
      </c>
      <c r="T228" s="13" t="str">
        <f t="shared" si="71"/>
        <v>CT</v>
      </c>
      <c r="U228" s="13" t="str">
        <f t="shared" si="72"/>
        <v>ct</v>
      </c>
      <c r="V228" s="13">
        <f t="shared" si="73"/>
        <v>2</v>
      </c>
      <c r="W228" s="13" t="str">
        <f t="shared" si="74"/>
        <v>T044907 8</v>
      </c>
      <c r="X228" s="13" t="str">
        <f t="shared" si="75"/>
        <v>S55353</v>
      </c>
      <c r="Y228" s="13" t="str">
        <f t="shared" si="76"/>
        <v>T04</v>
      </c>
      <c r="Z228" s="13" t="str">
        <f t="shared" si="77"/>
        <v>907</v>
      </c>
      <c r="AA228" s="13">
        <f t="shared" si="78"/>
        <v>2</v>
      </c>
      <c r="AB228" s="13">
        <f t="shared" si="79"/>
        <v>2</v>
      </c>
      <c r="AC228" s="13"/>
      <c r="AD228" s="13"/>
      <c r="AE228" s="13"/>
    </row>
    <row r="229" spans="1:31" ht="30" x14ac:dyDescent="0.25">
      <c r="A229" s="9" t="s">
        <v>105</v>
      </c>
      <c r="B229" s="9" t="s">
        <v>301</v>
      </c>
      <c r="C229" s="9" t="s">
        <v>302</v>
      </c>
      <c r="D229" s="9" t="s">
        <v>303</v>
      </c>
      <c r="E229" s="9" t="s">
        <v>304</v>
      </c>
      <c r="F229" s="9">
        <v>2</v>
      </c>
      <c r="G229" s="9" t="s">
        <v>14</v>
      </c>
      <c r="H229" s="9">
        <v>12</v>
      </c>
      <c r="I229" s="13">
        <f t="shared" si="60"/>
        <v>24</v>
      </c>
      <c r="J229" s="13">
        <f t="shared" si="61"/>
        <v>453</v>
      </c>
      <c r="K229" s="13">
        <f t="shared" si="62"/>
        <v>451</v>
      </c>
      <c r="L229" s="13">
        <f t="shared" si="63"/>
        <v>1890</v>
      </c>
      <c r="M229" s="13">
        <f t="shared" si="64"/>
        <v>95</v>
      </c>
      <c r="N229" s="13" t="b">
        <f t="shared" si="65"/>
        <v>0</v>
      </c>
      <c r="O229" s="13" t="b">
        <f t="shared" si="66"/>
        <v>1</v>
      </c>
      <c r="P229" s="13" t="str">
        <f t="shared" si="67"/>
        <v>C000956-ct</v>
      </c>
      <c r="Q229" s="14" t="str">
        <f t="shared" si="68"/>
        <v>T072906
2</v>
      </c>
      <c r="R229" s="13" t="b">
        <f t="shared" si="69"/>
        <v>0</v>
      </c>
      <c r="S229" s="13" t="str">
        <f t="shared" si="70"/>
        <v>21</v>
      </c>
      <c r="T229" s="13" t="str">
        <f t="shared" si="71"/>
        <v>CT</v>
      </c>
      <c r="U229" s="13" t="str">
        <f t="shared" si="72"/>
        <v>ct</v>
      </c>
      <c r="V229" s="13">
        <f t="shared" si="73"/>
        <v>2</v>
      </c>
      <c r="W229" s="13" t="str">
        <f t="shared" si="74"/>
        <v>T072906 2</v>
      </c>
      <c r="X229" s="13" t="str">
        <f t="shared" si="75"/>
        <v>S55139</v>
      </c>
      <c r="Y229" s="13" t="str">
        <f t="shared" si="76"/>
        <v>T07</v>
      </c>
      <c r="Z229" s="13" t="str">
        <f t="shared" si="77"/>
        <v>906</v>
      </c>
      <c r="AA229" s="13">
        <f t="shared" si="78"/>
        <v>2</v>
      </c>
      <c r="AB229" s="13">
        <f t="shared" si="79"/>
        <v>2</v>
      </c>
      <c r="AC229" s="13"/>
      <c r="AD229" s="13"/>
      <c r="AE229" s="13"/>
    </row>
    <row r="230" spans="1:31" ht="30" x14ac:dyDescent="0.25">
      <c r="A230" s="9" t="s">
        <v>218</v>
      </c>
      <c r="B230" s="9" t="s">
        <v>305</v>
      </c>
      <c r="C230" s="9" t="s">
        <v>306</v>
      </c>
      <c r="D230" s="9" t="s">
        <v>24</v>
      </c>
      <c r="E230" s="9" t="s">
        <v>307</v>
      </c>
      <c r="F230" s="9">
        <v>7</v>
      </c>
      <c r="G230" s="9" t="s">
        <v>14</v>
      </c>
      <c r="H230" s="9">
        <v>12.5</v>
      </c>
      <c r="I230" s="13">
        <f t="shared" si="60"/>
        <v>87.5</v>
      </c>
      <c r="J230" s="13">
        <f t="shared" si="61"/>
        <v>255.5</v>
      </c>
      <c r="K230" s="13">
        <f t="shared" si="62"/>
        <v>255</v>
      </c>
      <c r="L230" s="13">
        <f t="shared" si="63"/>
        <v>1878</v>
      </c>
      <c r="M230" s="13">
        <f t="shared" si="64"/>
        <v>94</v>
      </c>
      <c r="N230" s="13" t="b">
        <f t="shared" si="65"/>
        <v>0</v>
      </c>
      <c r="O230" s="13" t="b">
        <f t="shared" si="66"/>
        <v>1</v>
      </c>
      <c r="P230" s="13" t="str">
        <f t="shared" si="67"/>
        <v>C003334-ct</v>
      </c>
      <c r="Q230" s="14" t="str">
        <f t="shared" si="68"/>
        <v>T02647
7</v>
      </c>
      <c r="R230" s="13" t="b">
        <f t="shared" si="69"/>
        <v>0</v>
      </c>
      <c r="S230" s="13" t="str">
        <f t="shared" si="70"/>
        <v>19</v>
      </c>
      <c r="T230" s="13" t="str">
        <f t="shared" si="71"/>
        <v>CT</v>
      </c>
      <c r="U230" s="13" t="str">
        <f t="shared" si="72"/>
        <v>ct</v>
      </c>
      <c r="V230" s="13">
        <f t="shared" si="73"/>
        <v>2</v>
      </c>
      <c r="W230" s="13" t="str">
        <f t="shared" si="74"/>
        <v>T02647 7</v>
      </c>
      <c r="X230" s="13" t="str">
        <f t="shared" si="75"/>
        <v>S55338</v>
      </c>
      <c r="Y230" s="13" t="str">
        <f t="shared" si="76"/>
        <v>T02</v>
      </c>
      <c r="Z230" s="13" t="str">
        <f t="shared" si="77"/>
        <v>647</v>
      </c>
      <c r="AA230" s="13">
        <f t="shared" si="78"/>
        <v>2</v>
      </c>
      <c r="AB230" s="13">
        <f t="shared" si="79"/>
        <v>2</v>
      </c>
      <c r="AC230" s="13"/>
      <c r="AD230" s="13"/>
      <c r="AE230" s="13"/>
    </row>
    <row r="231" spans="1:31" ht="30" x14ac:dyDescent="0.25">
      <c r="A231" s="9" t="s">
        <v>9</v>
      </c>
      <c r="B231" s="9" t="s">
        <v>308</v>
      </c>
      <c r="C231" s="9" t="s">
        <v>309</v>
      </c>
      <c r="D231" s="9" t="s">
        <v>310</v>
      </c>
      <c r="E231" s="9" t="s">
        <v>311</v>
      </c>
      <c r="F231" s="9">
        <v>7</v>
      </c>
      <c r="G231" s="9" t="s">
        <v>36</v>
      </c>
      <c r="H231" s="9">
        <v>55</v>
      </c>
      <c r="I231" s="13">
        <f t="shared" si="60"/>
        <v>385</v>
      </c>
      <c r="J231" s="13">
        <f t="shared" si="61"/>
        <v>9.5</v>
      </c>
      <c r="K231" s="13">
        <f t="shared" si="62"/>
        <v>9</v>
      </c>
      <c r="L231" s="13">
        <f t="shared" si="63"/>
        <v>1180.25</v>
      </c>
      <c r="M231" s="13">
        <f t="shared" si="64"/>
        <v>67</v>
      </c>
      <c r="N231" s="13" t="b">
        <f t="shared" si="65"/>
        <v>1</v>
      </c>
      <c r="O231" s="13" t="b">
        <f t="shared" si="66"/>
        <v>1</v>
      </c>
      <c r="P231" s="13" t="str">
        <f t="shared" si="67"/>
        <v>C007896-cans</v>
      </c>
      <c r="Q231" s="14" t="str">
        <f t="shared" si="68"/>
        <v>T077414
7</v>
      </c>
      <c r="R231" s="13" t="b">
        <f t="shared" si="69"/>
        <v>0</v>
      </c>
      <c r="S231" s="13" t="str">
        <f t="shared" si="70"/>
        <v>06</v>
      </c>
      <c r="T231" s="13" t="str">
        <f t="shared" si="71"/>
        <v>CANS</v>
      </c>
      <c r="U231" s="13" t="str">
        <f t="shared" si="72"/>
        <v>cans</v>
      </c>
      <c r="V231" s="13">
        <f t="shared" si="73"/>
        <v>2</v>
      </c>
      <c r="W231" s="13" t="str">
        <f t="shared" si="74"/>
        <v>T077414 7</v>
      </c>
      <c r="X231" s="13" t="str">
        <f t="shared" si="75"/>
        <v>S55617</v>
      </c>
      <c r="Y231" s="13" t="str">
        <f t="shared" si="76"/>
        <v>T07</v>
      </c>
      <c r="Z231" s="13" t="str">
        <f t="shared" si="77"/>
        <v>414</v>
      </c>
      <c r="AA231" s="13">
        <f t="shared" si="78"/>
        <v>2</v>
      </c>
      <c r="AB231" s="13">
        <f t="shared" si="79"/>
        <v>4</v>
      </c>
      <c r="AC231" s="13"/>
      <c r="AD231" s="13"/>
      <c r="AE231" s="13"/>
    </row>
    <row r="232" spans="1:31" ht="30" x14ac:dyDescent="0.25">
      <c r="A232" s="9" t="s">
        <v>116</v>
      </c>
      <c r="B232" s="9" t="s">
        <v>312</v>
      </c>
      <c r="C232" s="9" t="s">
        <v>313</v>
      </c>
      <c r="D232" s="9" t="s">
        <v>314</v>
      </c>
      <c r="E232" s="9" t="s">
        <v>315</v>
      </c>
      <c r="F232" s="9">
        <v>4</v>
      </c>
      <c r="G232" s="9" t="s">
        <v>36</v>
      </c>
      <c r="H232" s="9">
        <v>8</v>
      </c>
      <c r="I232" s="13">
        <f t="shared" si="60"/>
        <v>32</v>
      </c>
      <c r="J232" s="13">
        <f t="shared" si="61"/>
        <v>435</v>
      </c>
      <c r="K232" s="13">
        <f t="shared" si="62"/>
        <v>433</v>
      </c>
      <c r="L232" s="13">
        <f t="shared" si="63"/>
        <v>1125.25</v>
      </c>
      <c r="M232" s="13">
        <f t="shared" si="64"/>
        <v>66</v>
      </c>
      <c r="N232" s="13" t="b">
        <f t="shared" si="65"/>
        <v>0</v>
      </c>
      <c r="O232" s="13" t="b">
        <f t="shared" si="66"/>
        <v>1</v>
      </c>
      <c r="P232" s="13" t="str">
        <f t="shared" si="67"/>
        <v>C007055-cans</v>
      </c>
      <c r="Q232" s="14" t="str">
        <f t="shared" si="68"/>
        <v>T015735
4</v>
      </c>
      <c r="R232" s="13" t="b">
        <f t="shared" si="69"/>
        <v>0</v>
      </c>
      <c r="S232" s="13" t="str">
        <f t="shared" si="70"/>
        <v>04</v>
      </c>
      <c r="T232" s="13" t="str">
        <f t="shared" si="71"/>
        <v>CANS</v>
      </c>
      <c r="U232" s="13" t="str">
        <f t="shared" si="72"/>
        <v>cans</v>
      </c>
      <c r="V232" s="13">
        <f t="shared" si="73"/>
        <v>2</v>
      </c>
      <c r="W232" s="13" t="str">
        <f t="shared" si="74"/>
        <v>T015735 4</v>
      </c>
      <c r="X232" s="13" t="str">
        <f t="shared" si="75"/>
        <v>S55218</v>
      </c>
      <c r="Y232" s="13" t="str">
        <f t="shared" si="76"/>
        <v>T01</v>
      </c>
      <c r="Z232" s="13" t="str">
        <f t="shared" si="77"/>
        <v>735</v>
      </c>
      <c r="AA232" s="13">
        <f t="shared" si="78"/>
        <v>2</v>
      </c>
      <c r="AB232" s="13">
        <f t="shared" si="79"/>
        <v>4</v>
      </c>
      <c r="AC232" s="13"/>
      <c r="AD232" s="13"/>
      <c r="AE232" s="13"/>
    </row>
    <row r="233" spans="1:31" ht="30" x14ac:dyDescent="0.25">
      <c r="A233" s="9" t="s">
        <v>316</v>
      </c>
      <c r="B233" s="9" t="s">
        <v>317</v>
      </c>
      <c r="C233" s="9" t="s">
        <v>318</v>
      </c>
      <c r="D233" s="9" t="s">
        <v>319</v>
      </c>
      <c r="E233" s="9" t="s">
        <v>320</v>
      </c>
      <c r="F233" s="9">
        <v>8</v>
      </c>
      <c r="G233" s="9" t="s">
        <v>36</v>
      </c>
      <c r="H233" s="9">
        <v>40</v>
      </c>
      <c r="I233" s="13">
        <f t="shared" si="60"/>
        <v>320</v>
      </c>
      <c r="J233" s="13">
        <f t="shared" si="61"/>
        <v>16</v>
      </c>
      <c r="K233" s="13">
        <f t="shared" si="62"/>
        <v>15</v>
      </c>
      <c r="L233" s="13">
        <f t="shared" si="63"/>
        <v>1117.25</v>
      </c>
      <c r="M233" s="13">
        <f t="shared" si="64"/>
        <v>65</v>
      </c>
      <c r="N233" s="13" t="b">
        <f t="shared" si="65"/>
        <v>1</v>
      </c>
      <c r="O233" s="13" t="b">
        <f t="shared" si="66"/>
        <v>1</v>
      </c>
      <c r="P233" s="13" t="str">
        <f t="shared" si="67"/>
        <v>C001641-cans</v>
      </c>
      <c r="Q233" s="14" t="str">
        <f t="shared" si="68"/>
        <v>T010429
8</v>
      </c>
      <c r="R233" s="13" t="b">
        <f t="shared" si="69"/>
        <v>0</v>
      </c>
      <c r="S233" s="13" t="str">
        <f t="shared" si="70"/>
        <v>05</v>
      </c>
      <c r="T233" s="13" t="str">
        <f t="shared" si="71"/>
        <v>CANS</v>
      </c>
      <c r="U233" s="13" t="str">
        <f t="shared" si="72"/>
        <v>cans</v>
      </c>
      <c r="V233" s="13">
        <f t="shared" si="73"/>
        <v>2</v>
      </c>
      <c r="W233" s="13" t="str">
        <f t="shared" si="74"/>
        <v>T010429 8</v>
      </c>
      <c r="X233" s="13" t="str">
        <f t="shared" si="75"/>
        <v>S55167</v>
      </c>
      <c r="Y233" s="13" t="str">
        <f t="shared" si="76"/>
        <v>T01</v>
      </c>
      <c r="Z233" s="13" t="str">
        <f t="shared" si="77"/>
        <v>429</v>
      </c>
      <c r="AA233" s="13">
        <f t="shared" si="78"/>
        <v>2</v>
      </c>
      <c r="AB233" s="13">
        <f t="shared" si="79"/>
        <v>4</v>
      </c>
      <c r="AC233" s="13"/>
      <c r="AD233" s="13"/>
      <c r="AE233" s="13"/>
    </row>
    <row r="234" spans="1:31" ht="30" x14ac:dyDescent="0.25">
      <c r="A234" s="9" t="s">
        <v>100</v>
      </c>
      <c r="B234" s="9" t="s">
        <v>321</v>
      </c>
      <c r="C234" s="9" t="s">
        <v>322</v>
      </c>
      <c r="D234" s="9" t="s">
        <v>323</v>
      </c>
      <c r="E234" s="9" t="s">
        <v>324</v>
      </c>
      <c r="F234" s="9">
        <v>4</v>
      </c>
      <c r="G234" s="9" t="s">
        <v>14</v>
      </c>
      <c r="H234" s="9">
        <v>19</v>
      </c>
      <c r="I234" s="13">
        <f t="shared" si="60"/>
        <v>76</v>
      </c>
      <c r="J234" s="13">
        <f t="shared" si="61"/>
        <v>282</v>
      </c>
      <c r="K234" s="13">
        <f t="shared" si="62"/>
        <v>282</v>
      </c>
      <c r="L234" s="13">
        <f t="shared" si="63"/>
        <v>1865.5</v>
      </c>
      <c r="M234" s="13">
        <f t="shared" si="64"/>
        <v>93</v>
      </c>
      <c r="N234" s="13" t="b">
        <f t="shared" si="65"/>
        <v>0</v>
      </c>
      <c r="O234" s="13" t="b">
        <f t="shared" si="66"/>
        <v>1</v>
      </c>
      <c r="P234" s="13" t="str">
        <f t="shared" si="67"/>
        <v>C004228-ct</v>
      </c>
      <c r="Q234" s="14" t="str">
        <f t="shared" si="68"/>
        <v>T054067
4</v>
      </c>
      <c r="R234" s="13" t="b">
        <f t="shared" si="69"/>
        <v>0</v>
      </c>
      <c r="S234" s="13" t="str">
        <f t="shared" si="70"/>
        <v>17</v>
      </c>
      <c r="T234" s="13" t="str">
        <f t="shared" si="71"/>
        <v>CT</v>
      </c>
      <c r="U234" s="13" t="str">
        <f t="shared" si="72"/>
        <v>ct</v>
      </c>
      <c r="V234" s="13">
        <f t="shared" si="73"/>
        <v>2</v>
      </c>
      <c r="W234" s="13" t="str">
        <f t="shared" si="74"/>
        <v>T054067 4</v>
      </c>
      <c r="X234" s="13" t="str">
        <f t="shared" si="75"/>
        <v>S55265</v>
      </c>
      <c r="Y234" s="13" t="str">
        <f t="shared" si="76"/>
        <v>T05</v>
      </c>
      <c r="Z234" s="13" t="str">
        <f t="shared" si="77"/>
        <v>067</v>
      </c>
      <c r="AA234" s="13">
        <f t="shared" si="78"/>
        <v>2</v>
      </c>
      <c r="AB234" s="13">
        <f t="shared" si="79"/>
        <v>2</v>
      </c>
      <c r="AC234" s="13"/>
      <c r="AD234" s="13"/>
      <c r="AE234" s="13"/>
    </row>
    <row r="235" spans="1:31" ht="30" x14ac:dyDescent="0.25">
      <c r="A235" s="9" t="s">
        <v>146</v>
      </c>
      <c r="B235" s="9" t="s">
        <v>325</v>
      </c>
      <c r="C235" s="9" t="s">
        <v>326</v>
      </c>
      <c r="D235" s="9" t="s">
        <v>327</v>
      </c>
      <c r="E235" s="9" t="s">
        <v>328</v>
      </c>
      <c r="F235" s="9">
        <v>3</v>
      </c>
      <c r="G235" s="9" t="s">
        <v>68</v>
      </c>
      <c r="H235" s="9">
        <v>17</v>
      </c>
      <c r="I235" s="13">
        <f t="shared" si="60"/>
        <v>51</v>
      </c>
      <c r="J235" s="13">
        <f t="shared" si="61"/>
        <v>374</v>
      </c>
      <c r="K235" s="13">
        <f t="shared" si="62"/>
        <v>373</v>
      </c>
      <c r="L235" s="13">
        <f t="shared" si="63"/>
        <v>534.5</v>
      </c>
      <c r="M235" s="13">
        <f t="shared" si="64"/>
        <v>32</v>
      </c>
      <c r="N235" s="13" t="b">
        <f t="shared" si="65"/>
        <v>0</v>
      </c>
      <c r="O235" s="13" t="b">
        <f t="shared" si="66"/>
        <v>1</v>
      </c>
      <c r="P235" s="13" t="str">
        <f t="shared" si="67"/>
        <v>C003178-bottles</v>
      </c>
      <c r="Q235" s="14" t="str">
        <f t="shared" si="68"/>
        <v>T079891
3</v>
      </c>
      <c r="R235" s="13" t="b">
        <f t="shared" si="69"/>
        <v>0</v>
      </c>
      <c r="S235" s="13" t="str">
        <f t="shared" si="70"/>
        <v>08</v>
      </c>
      <c r="T235" s="13" t="str">
        <f t="shared" si="71"/>
        <v>BOTTLES</v>
      </c>
      <c r="U235" s="13" t="str">
        <f t="shared" si="72"/>
        <v>bottles</v>
      </c>
      <c r="V235" s="13">
        <f t="shared" si="73"/>
        <v>2</v>
      </c>
      <c r="W235" s="13" t="str">
        <f t="shared" si="74"/>
        <v>T079891 3</v>
      </c>
      <c r="X235" s="13" t="str">
        <f t="shared" si="75"/>
        <v>S55385</v>
      </c>
      <c r="Y235" s="13" t="str">
        <f t="shared" si="76"/>
        <v>T07</v>
      </c>
      <c r="Z235" s="13" t="str">
        <f t="shared" si="77"/>
        <v>891</v>
      </c>
      <c r="AA235" s="13">
        <f t="shared" si="78"/>
        <v>2</v>
      </c>
      <c r="AB235" s="13">
        <f t="shared" si="79"/>
        <v>7</v>
      </c>
      <c r="AC235" s="13"/>
      <c r="AD235" s="13"/>
      <c r="AE235" s="13"/>
    </row>
    <row r="236" spans="1:31" ht="30" x14ac:dyDescent="0.25">
      <c r="A236" s="9" t="s">
        <v>182</v>
      </c>
      <c r="B236" s="9" t="s">
        <v>329</v>
      </c>
      <c r="C236" s="9" t="s">
        <v>330</v>
      </c>
      <c r="D236" s="9" t="s">
        <v>331</v>
      </c>
      <c r="E236" s="9" t="s">
        <v>332</v>
      </c>
      <c r="F236" s="9">
        <v>5</v>
      </c>
      <c r="G236" s="9" t="s">
        <v>36</v>
      </c>
      <c r="H236" s="9">
        <v>8</v>
      </c>
      <c r="I236" s="13">
        <f t="shared" si="60"/>
        <v>40</v>
      </c>
      <c r="J236" s="13">
        <f t="shared" si="61"/>
        <v>412.5</v>
      </c>
      <c r="K236" s="13">
        <f t="shared" si="62"/>
        <v>411</v>
      </c>
      <c r="L236" s="13">
        <f t="shared" si="63"/>
        <v>1077.25</v>
      </c>
      <c r="M236" s="13">
        <f t="shared" si="64"/>
        <v>64</v>
      </c>
      <c r="N236" s="13" t="b">
        <f t="shared" si="65"/>
        <v>0</v>
      </c>
      <c r="O236" s="13" t="b">
        <f t="shared" si="66"/>
        <v>1</v>
      </c>
      <c r="P236" s="13" t="str">
        <f t="shared" si="67"/>
        <v>C000730-cans</v>
      </c>
      <c r="Q236" s="14" t="str">
        <f t="shared" si="68"/>
        <v>T02743
5</v>
      </c>
      <c r="R236" s="13" t="b">
        <f t="shared" si="69"/>
        <v>0</v>
      </c>
      <c r="S236" s="13" t="str">
        <f t="shared" si="70"/>
        <v>04</v>
      </c>
      <c r="T236" s="13" t="str">
        <f t="shared" si="71"/>
        <v>CANS</v>
      </c>
      <c r="U236" s="13" t="str">
        <f t="shared" si="72"/>
        <v>cans</v>
      </c>
      <c r="V236" s="13">
        <f t="shared" si="73"/>
        <v>2</v>
      </c>
      <c r="W236" s="13" t="str">
        <f t="shared" si="74"/>
        <v>T02743 5</v>
      </c>
      <c r="X236" s="13" t="str">
        <f t="shared" si="75"/>
        <v>S55152</v>
      </c>
      <c r="Y236" s="13" t="str">
        <f t="shared" si="76"/>
        <v>T02</v>
      </c>
      <c r="Z236" s="13" t="str">
        <f t="shared" si="77"/>
        <v>743</v>
      </c>
      <c r="AA236" s="13">
        <f t="shared" si="78"/>
        <v>2</v>
      </c>
      <c r="AB236" s="13">
        <f t="shared" si="79"/>
        <v>4</v>
      </c>
      <c r="AC236" s="13"/>
      <c r="AD236" s="13"/>
      <c r="AE236" s="13"/>
    </row>
    <row r="237" spans="1:31" ht="30" x14ac:dyDescent="0.25">
      <c r="A237" s="9" t="s">
        <v>155</v>
      </c>
      <c r="B237" s="9" t="s">
        <v>333</v>
      </c>
      <c r="C237" s="9" t="s">
        <v>334</v>
      </c>
      <c r="D237" s="9" t="s">
        <v>335</v>
      </c>
      <c r="E237" s="9" t="s">
        <v>336</v>
      </c>
      <c r="F237" s="9">
        <v>3</v>
      </c>
      <c r="G237" s="9" t="s">
        <v>36</v>
      </c>
      <c r="H237" s="9">
        <v>40</v>
      </c>
      <c r="I237" s="13">
        <f t="shared" si="60"/>
        <v>120</v>
      </c>
      <c r="J237" s="13">
        <f t="shared" si="61"/>
        <v>169.5</v>
      </c>
      <c r="K237" s="13">
        <f t="shared" si="62"/>
        <v>162</v>
      </c>
      <c r="L237" s="13">
        <f t="shared" si="63"/>
        <v>1069.25</v>
      </c>
      <c r="M237" s="13">
        <f t="shared" si="64"/>
        <v>63</v>
      </c>
      <c r="N237" s="13" t="b">
        <f t="shared" si="65"/>
        <v>1</v>
      </c>
      <c r="O237" s="13" t="b">
        <f t="shared" si="66"/>
        <v>1</v>
      </c>
      <c r="P237" s="13" t="str">
        <f t="shared" si="67"/>
        <v>C008065-cans</v>
      </c>
      <c r="Q237" s="14" t="str">
        <f t="shared" si="68"/>
        <v>T039330
3</v>
      </c>
      <c r="R237" s="13" t="b">
        <f t="shared" si="69"/>
        <v>0</v>
      </c>
      <c r="S237" s="13" t="str">
        <f t="shared" si="70"/>
        <v>05</v>
      </c>
      <c r="T237" s="13" t="str">
        <f t="shared" si="71"/>
        <v>CANS</v>
      </c>
      <c r="U237" s="13" t="str">
        <f t="shared" si="72"/>
        <v>cans</v>
      </c>
      <c r="V237" s="13">
        <f t="shared" si="73"/>
        <v>2</v>
      </c>
      <c r="W237" s="13" t="str">
        <f t="shared" si="74"/>
        <v>T039330 3</v>
      </c>
      <c r="X237" s="13" t="str">
        <f t="shared" si="75"/>
        <v>S55324</v>
      </c>
      <c r="Y237" s="13" t="str">
        <f t="shared" si="76"/>
        <v>T03</v>
      </c>
      <c r="Z237" s="13" t="str">
        <f t="shared" si="77"/>
        <v>330</v>
      </c>
      <c r="AA237" s="13">
        <f t="shared" si="78"/>
        <v>2</v>
      </c>
      <c r="AB237" s="13">
        <f t="shared" si="79"/>
        <v>4</v>
      </c>
      <c r="AC237" s="13"/>
      <c r="AD237" s="13"/>
      <c r="AE237" s="13"/>
    </row>
    <row r="238" spans="1:31" ht="30" x14ac:dyDescent="0.25">
      <c r="A238" s="9" t="s">
        <v>182</v>
      </c>
      <c r="B238" s="9" t="s">
        <v>337</v>
      </c>
      <c r="C238" s="9" t="s">
        <v>338</v>
      </c>
      <c r="D238" s="9" t="s">
        <v>339</v>
      </c>
      <c r="E238" s="9" t="s">
        <v>340</v>
      </c>
      <c r="F238" s="9">
        <v>10</v>
      </c>
      <c r="G238" s="9" t="s">
        <v>14</v>
      </c>
      <c r="H238" s="9">
        <v>17</v>
      </c>
      <c r="I238" s="13">
        <f t="shared" si="60"/>
        <v>170</v>
      </c>
      <c r="J238" s="13">
        <f t="shared" si="61"/>
        <v>74</v>
      </c>
      <c r="K238" s="13">
        <f t="shared" si="62"/>
        <v>72</v>
      </c>
      <c r="L238" s="13">
        <f t="shared" si="63"/>
        <v>1846.5</v>
      </c>
      <c r="M238" s="13">
        <f t="shared" si="64"/>
        <v>92</v>
      </c>
      <c r="N238" s="13" t="b">
        <f t="shared" si="65"/>
        <v>0</v>
      </c>
      <c r="O238" s="13" t="b">
        <f t="shared" si="66"/>
        <v>1</v>
      </c>
      <c r="P238" s="13" t="str">
        <f t="shared" si="67"/>
        <v>C004292-ct</v>
      </c>
      <c r="Q238" s="14" t="str">
        <f t="shared" si="68"/>
        <v>T020735
10</v>
      </c>
      <c r="R238" s="13" t="b">
        <f t="shared" si="69"/>
        <v>0</v>
      </c>
      <c r="S238" s="13" t="str">
        <f t="shared" si="70"/>
        <v>12</v>
      </c>
      <c r="T238" s="13" t="str">
        <f t="shared" si="71"/>
        <v>CT</v>
      </c>
      <c r="U238" s="13" t="str">
        <f t="shared" si="72"/>
        <v>ct</v>
      </c>
      <c r="V238" s="13">
        <f t="shared" si="73"/>
        <v>2</v>
      </c>
      <c r="W238" s="13" t="str">
        <f t="shared" si="74"/>
        <v>T020735 10</v>
      </c>
      <c r="X238" s="13" t="str">
        <f t="shared" si="75"/>
        <v>S55694</v>
      </c>
      <c r="Y238" s="13" t="str">
        <f t="shared" si="76"/>
        <v>T02</v>
      </c>
      <c r="Z238" s="13" t="str">
        <f t="shared" si="77"/>
        <v>735</v>
      </c>
      <c r="AA238" s="13">
        <f t="shared" si="78"/>
        <v>2</v>
      </c>
      <c r="AB238" s="13">
        <f t="shared" si="79"/>
        <v>2</v>
      </c>
      <c r="AC238" s="13"/>
      <c r="AD238" s="13"/>
      <c r="AE238" s="13"/>
    </row>
    <row r="239" spans="1:31" ht="30" x14ac:dyDescent="0.25">
      <c r="A239" s="9" t="s">
        <v>100</v>
      </c>
      <c r="B239" s="9" t="s">
        <v>341</v>
      </c>
      <c r="C239" s="9" t="s">
        <v>342</v>
      </c>
      <c r="D239" s="9" t="s">
        <v>207</v>
      </c>
      <c r="E239" s="9" t="s">
        <v>343</v>
      </c>
      <c r="F239" s="9">
        <v>3</v>
      </c>
      <c r="G239" s="9" t="s">
        <v>68</v>
      </c>
      <c r="H239" s="9">
        <v>20</v>
      </c>
      <c r="I239" s="13">
        <f t="shared" si="60"/>
        <v>60</v>
      </c>
      <c r="J239" s="13">
        <f t="shared" si="61"/>
        <v>344.5</v>
      </c>
      <c r="K239" s="13">
        <f t="shared" si="62"/>
        <v>337</v>
      </c>
      <c r="L239" s="13">
        <f t="shared" si="63"/>
        <v>517.5</v>
      </c>
      <c r="M239" s="13">
        <f t="shared" si="64"/>
        <v>31</v>
      </c>
      <c r="N239" s="13" t="b">
        <f t="shared" si="65"/>
        <v>0</v>
      </c>
      <c r="O239" s="13" t="b">
        <f t="shared" si="66"/>
        <v>1</v>
      </c>
      <c r="P239" s="13" t="str">
        <f t="shared" si="67"/>
        <v>C008389-bottles</v>
      </c>
      <c r="Q239" s="14" t="str">
        <f t="shared" si="68"/>
        <v>T069983
3</v>
      </c>
      <c r="R239" s="13" t="b">
        <f t="shared" si="69"/>
        <v>0</v>
      </c>
      <c r="S239" s="13" t="str">
        <f t="shared" si="70"/>
        <v>06</v>
      </c>
      <c r="T239" s="13" t="str">
        <f t="shared" si="71"/>
        <v>BOTTLES</v>
      </c>
      <c r="U239" s="13" t="str">
        <f t="shared" si="72"/>
        <v>bottles</v>
      </c>
      <c r="V239" s="13">
        <f t="shared" si="73"/>
        <v>2</v>
      </c>
      <c r="W239" s="13" t="str">
        <f t="shared" si="74"/>
        <v>T069983 3</v>
      </c>
      <c r="X239" s="13" t="str">
        <f t="shared" si="75"/>
        <v>S55555</v>
      </c>
      <c r="Y239" s="13" t="str">
        <f t="shared" si="76"/>
        <v>T06</v>
      </c>
      <c r="Z239" s="13" t="str">
        <f t="shared" si="77"/>
        <v>983</v>
      </c>
      <c r="AA239" s="13">
        <f t="shared" si="78"/>
        <v>2</v>
      </c>
      <c r="AB239" s="13">
        <f t="shared" si="79"/>
        <v>7</v>
      </c>
      <c r="AC239" s="13"/>
      <c r="AD239" s="13"/>
      <c r="AE239" s="13"/>
    </row>
    <row r="240" spans="1:31" ht="30" x14ac:dyDescent="0.25">
      <c r="A240" s="9" t="s">
        <v>283</v>
      </c>
      <c r="B240" s="9" t="s">
        <v>899</v>
      </c>
      <c r="C240" s="9" t="s">
        <v>900</v>
      </c>
      <c r="D240" s="9" t="s">
        <v>137</v>
      </c>
      <c r="E240" s="9" t="s">
        <v>901</v>
      </c>
      <c r="F240" s="9">
        <v>5</v>
      </c>
      <c r="G240" s="9" t="s">
        <v>115</v>
      </c>
      <c r="H240" s="9">
        <v>15</v>
      </c>
      <c r="I240" s="13">
        <f t="shared" si="60"/>
        <v>75</v>
      </c>
      <c r="J240" s="13">
        <f t="shared" si="61"/>
        <v>285</v>
      </c>
      <c r="K240" s="13">
        <f t="shared" si="62"/>
        <v>283</v>
      </c>
      <c r="L240" s="13">
        <f t="shared" si="63"/>
        <v>284</v>
      </c>
      <c r="M240" s="13">
        <f t="shared" si="64"/>
        <v>17</v>
      </c>
      <c r="N240" s="13" t="b">
        <f t="shared" si="65"/>
        <v>0</v>
      </c>
      <c r="O240" s="13" t="b">
        <f t="shared" si="66"/>
        <v>1</v>
      </c>
      <c r="P240" s="13" t="str">
        <f t="shared" si="67"/>
        <v>C004994-bags</v>
      </c>
      <c r="Q240" s="14" t="str">
        <f t="shared" si="68"/>
        <v>T077509
5</v>
      </c>
      <c r="R240" s="13" t="b">
        <f t="shared" si="69"/>
        <v>0</v>
      </c>
      <c r="S240" s="13" t="str">
        <f t="shared" si="70"/>
        <v>15</v>
      </c>
      <c r="T240" s="13" t="str">
        <f t="shared" si="71"/>
        <v>BAGS</v>
      </c>
      <c r="U240" s="13" t="str">
        <f t="shared" si="72"/>
        <v>bags</v>
      </c>
      <c r="V240" s="13">
        <f t="shared" si="73"/>
        <v>2</v>
      </c>
      <c r="W240" s="13" t="str">
        <f t="shared" si="74"/>
        <v>T077509 5</v>
      </c>
      <c r="X240" s="13" t="str">
        <f t="shared" si="75"/>
        <v>S55238</v>
      </c>
      <c r="Y240" s="13" t="str">
        <f t="shared" si="76"/>
        <v>T07</v>
      </c>
      <c r="Z240" s="13" t="str">
        <f t="shared" si="77"/>
        <v>509</v>
      </c>
      <c r="AA240" s="13">
        <f t="shared" si="78"/>
        <v>2</v>
      </c>
      <c r="AB240" s="13">
        <f t="shared" si="79"/>
        <v>4</v>
      </c>
      <c r="AC240" s="13"/>
      <c r="AD240" s="13"/>
      <c r="AE240" s="13"/>
    </row>
    <row r="241" spans="1:31" ht="30" x14ac:dyDescent="0.25">
      <c r="A241" s="9" t="s">
        <v>182</v>
      </c>
      <c r="B241" s="9" t="s">
        <v>902</v>
      </c>
      <c r="C241" s="9" t="s">
        <v>903</v>
      </c>
      <c r="D241" s="9" t="s">
        <v>904</v>
      </c>
      <c r="E241" s="9" t="s">
        <v>905</v>
      </c>
      <c r="F241" s="9">
        <v>10</v>
      </c>
      <c r="G241" s="9" t="s">
        <v>68</v>
      </c>
      <c r="H241" s="9">
        <v>9</v>
      </c>
      <c r="I241" s="13">
        <f t="shared" si="60"/>
        <v>90</v>
      </c>
      <c r="J241" s="13">
        <f t="shared" si="61"/>
        <v>245</v>
      </c>
      <c r="K241" s="13">
        <f t="shared" si="62"/>
        <v>239</v>
      </c>
      <c r="L241" s="13">
        <f t="shared" si="63"/>
        <v>497.5</v>
      </c>
      <c r="M241" s="13">
        <f t="shared" si="64"/>
        <v>30</v>
      </c>
      <c r="N241" s="13" t="b">
        <f t="shared" si="65"/>
        <v>0</v>
      </c>
      <c r="O241" s="13" t="b">
        <f t="shared" si="66"/>
        <v>1</v>
      </c>
      <c r="P241" s="13" t="str">
        <f t="shared" si="67"/>
        <v>C004062-bottles</v>
      </c>
      <c r="Q241" s="14" t="str">
        <f t="shared" si="68"/>
        <v>T051773
10</v>
      </c>
      <c r="R241" s="13" t="b">
        <f t="shared" si="69"/>
        <v>0</v>
      </c>
      <c r="S241" s="13" t="str">
        <f t="shared" si="70"/>
        <v>08</v>
      </c>
      <c r="T241" s="13" t="str">
        <f t="shared" si="71"/>
        <v>BOTTLES</v>
      </c>
      <c r="U241" s="13" t="str">
        <f t="shared" si="72"/>
        <v>bottles</v>
      </c>
      <c r="V241" s="13">
        <f t="shared" si="73"/>
        <v>2</v>
      </c>
      <c r="W241" s="13" t="str">
        <f t="shared" si="74"/>
        <v>T051773 10</v>
      </c>
      <c r="X241" s="13" t="str">
        <f t="shared" si="75"/>
        <v>S5584</v>
      </c>
      <c r="Y241" s="13" t="str">
        <f t="shared" si="76"/>
        <v>T05</v>
      </c>
      <c r="Z241" s="13" t="str">
        <f t="shared" si="77"/>
        <v>773</v>
      </c>
      <c r="AA241" s="13">
        <f t="shared" si="78"/>
        <v>2</v>
      </c>
      <c r="AB241" s="13">
        <f t="shared" si="79"/>
        <v>7</v>
      </c>
      <c r="AC241" s="13"/>
      <c r="AD241" s="13"/>
      <c r="AE241" s="13"/>
    </row>
    <row r="242" spans="1:31" ht="30" x14ac:dyDescent="0.25">
      <c r="A242" s="9" t="s">
        <v>316</v>
      </c>
      <c r="B242" s="9" t="s">
        <v>906</v>
      </c>
      <c r="C242" s="9" t="s">
        <v>907</v>
      </c>
      <c r="D242" s="9" t="s">
        <v>375</v>
      </c>
      <c r="E242" s="9" t="s">
        <v>908</v>
      </c>
      <c r="F242" s="9">
        <v>4</v>
      </c>
      <c r="G242" s="9" t="s">
        <v>68</v>
      </c>
      <c r="H242" s="9">
        <v>17.5</v>
      </c>
      <c r="I242" s="13">
        <f t="shared" si="60"/>
        <v>70</v>
      </c>
      <c r="J242" s="13">
        <f t="shared" si="61"/>
        <v>301.5</v>
      </c>
      <c r="K242" s="13">
        <f t="shared" si="62"/>
        <v>300</v>
      </c>
      <c r="L242" s="13">
        <f t="shared" si="63"/>
        <v>488.5</v>
      </c>
      <c r="M242" s="13">
        <f t="shared" si="64"/>
        <v>29</v>
      </c>
      <c r="N242" s="13" t="b">
        <f t="shared" si="65"/>
        <v>0</v>
      </c>
      <c r="O242" s="13" t="b">
        <f t="shared" si="66"/>
        <v>1</v>
      </c>
      <c r="P242" s="13" t="str">
        <f t="shared" si="67"/>
        <v>C008732-bottles</v>
      </c>
      <c r="Q242" s="14" t="str">
        <f t="shared" si="68"/>
        <v>T072207
4</v>
      </c>
      <c r="R242" s="13" t="b">
        <f t="shared" si="69"/>
        <v>0</v>
      </c>
      <c r="S242" s="13" t="str">
        <f t="shared" si="70"/>
        <v>07</v>
      </c>
      <c r="T242" s="13" t="str">
        <f t="shared" si="71"/>
        <v>BOTTLES</v>
      </c>
      <c r="U242" s="13" t="str">
        <f t="shared" si="72"/>
        <v>bottles</v>
      </c>
      <c r="V242" s="13">
        <f t="shared" si="73"/>
        <v>2</v>
      </c>
      <c r="W242" s="13" t="str">
        <f t="shared" si="74"/>
        <v>T072207 4</v>
      </c>
      <c r="X242" s="13" t="str">
        <f t="shared" si="75"/>
        <v>S55659</v>
      </c>
      <c r="Y242" s="13" t="str">
        <f t="shared" si="76"/>
        <v>T07</v>
      </c>
      <c r="Z242" s="13" t="str">
        <f t="shared" si="77"/>
        <v>207</v>
      </c>
      <c r="AA242" s="13">
        <f t="shared" si="78"/>
        <v>2</v>
      </c>
      <c r="AB242" s="13">
        <f t="shared" si="79"/>
        <v>7</v>
      </c>
      <c r="AC242" s="13"/>
      <c r="AD242" s="13"/>
      <c r="AE242" s="13"/>
    </row>
    <row r="243" spans="1:31" ht="30" x14ac:dyDescent="0.25">
      <c r="A243" s="9" t="s">
        <v>182</v>
      </c>
      <c r="B243" s="9" t="s">
        <v>909</v>
      </c>
      <c r="C243" s="9" t="s">
        <v>910</v>
      </c>
      <c r="D243" s="9" t="s">
        <v>911</v>
      </c>
      <c r="E243" s="9" t="s">
        <v>912</v>
      </c>
      <c r="F243" s="9">
        <v>10</v>
      </c>
      <c r="G243" s="9" t="s">
        <v>913</v>
      </c>
      <c r="H243" s="9">
        <v>23</v>
      </c>
      <c r="I243" s="13">
        <f t="shared" si="60"/>
        <v>230</v>
      </c>
      <c r="J243" s="13">
        <f t="shared" si="61"/>
        <v>32</v>
      </c>
      <c r="K243" s="13">
        <f t="shared" si="62"/>
        <v>32</v>
      </c>
      <c r="L243" s="13">
        <f t="shared" si="63"/>
        <v>84</v>
      </c>
      <c r="M243" s="13">
        <f t="shared" si="64"/>
        <v>4</v>
      </c>
      <c r="N243" s="13" t="b">
        <f t="shared" si="65"/>
        <v>1</v>
      </c>
      <c r="O243" s="13" t="b">
        <f t="shared" si="66"/>
        <v>1</v>
      </c>
      <c r="P243" s="13" t="str">
        <f t="shared" si="67"/>
        <v>C004010-bars</v>
      </c>
      <c r="Q243" s="14" t="str">
        <f t="shared" si="68"/>
        <v>T015895
10</v>
      </c>
      <c r="R243" s="13" t="b">
        <f t="shared" si="69"/>
        <v>0</v>
      </c>
      <c r="S243" s="13" t="str">
        <f t="shared" si="70"/>
        <v>19</v>
      </c>
      <c r="T243" s="13" t="str">
        <f t="shared" si="71"/>
        <v>BARS</v>
      </c>
      <c r="U243" s="13" t="str">
        <f t="shared" si="72"/>
        <v>bars</v>
      </c>
      <c r="V243" s="13">
        <f t="shared" si="73"/>
        <v>2</v>
      </c>
      <c r="W243" s="13" t="str">
        <f t="shared" si="74"/>
        <v>T015895 10</v>
      </c>
      <c r="X243" s="13" t="str">
        <f t="shared" si="75"/>
        <v>S55649</v>
      </c>
      <c r="Y243" s="13" t="str">
        <f t="shared" si="76"/>
        <v>T01</v>
      </c>
      <c r="Z243" s="13" t="str">
        <f t="shared" si="77"/>
        <v>895</v>
      </c>
      <c r="AA243" s="13">
        <f t="shared" si="78"/>
        <v>2</v>
      </c>
      <c r="AB243" s="13">
        <f t="shared" si="79"/>
        <v>4</v>
      </c>
      <c r="AC243" s="13"/>
      <c r="AD243" s="13"/>
      <c r="AE243" s="13"/>
    </row>
    <row r="244" spans="1:31" ht="30" x14ac:dyDescent="0.25">
      <c r="A244" s="9" t="s">
        <v>79</v>
      </c>
      <c r="B244" s="9" t="s">
        <v>914</v>
      </c>
      <c r="C244" s="9" t="s">
        <v>915</v>
      </c>
      <c r="D244" s="9" t="s">
        <v>402</v>
      </c>
      <c r="E244" s="9" t="s">
        <v>916</v>
      </c>
      <c r="F244" s="9">
        <v>2</v>
      </c>
      <c r="G244" s="9" t="s">
        <v>176</v>
      </c>
      <c r="H244" s="9">
        <v>15</v>
      </c>
      <c r="I244" s="13">
        <f t="shared" si="60"/>
        <v>30</v>
      </c>
      <c r="J244" s="13">
        <f t="shared" si="61"/>
        <v>440.5</v>
      </c>
      <c r="K244" s="13">
        <f t="shared" si="62"/>
        <v>439</v>
      </c>
      <c r="L244" s="13">
        <f t="shared" si="63"/>
        <v>267.5</v>
      </c>
      <c r="M244" s="13">
        <f t="shared" si="64"/>
        <v>17</v>
      </c>
      <c r="N244" s="13" t="b">
        <f t="shared" si="65"/>
        <v>0</v>
      </c>
      <c r="O244" s="13" t="b">
        <f t="shared" si="66"/>
        <v>1</v>
      </c>
      <c r="P244" s="13" t="str">
        <f t="shared" si="67"/>
        <v>C003404-oz</v>
      </c>
      <c r="Q244" s="14" t="str">
        <f t="shared" si="68"/>
        <v>T087793
2</v>
      </c>
      <c r="R244" s="13" t="b">
        <f t="shared" si="69"/>
        <v>0</v>
      </c>
      <c r="S244" s="13" t="str">
        <f t="shared" si="70"/>
        <v>24</v>
      </c>
      <c r="T244" s="13" t="str">
        <f t="shared" si="71"/>
        <v>OZ</v>
      </c>
      <c r="U244" s="13" t="str">
        <f t="shared" si="72"/>
        <v>oz</v>
      </c>
      <c r="V244" s="13">
        <f t="shared" si="73"/>
        <v>2</v>
      </c>
      <c r="W244" s="13" t="str">
        <f t="shared" si="74"/>
        <v>T087793 2</v>
      </c>
      <c r="X244" s="13" t="str">
        <f t="shared" si="75"/>
        <v>S5515</v>
      </c>
      <c r="Y244" s="13" t="str">
        <f t="shared" si="76"/>
        <v>T08</v>
      </c>
      <c r="Z244" s="13" t="str">
        <f t="shared" si="77"/>
        <v>793</v>
      </c>
      <c r="AA244" s="13">
        <f t="shared" si="78"/>
        <v>2</v>
      </c>
      <c r="AB244" s="13">
        <f t="shared" si="79"/>
        <v>2</v>
      </c>
      <c r="AC244" s="13"/>
      <c r="AD244" s="13"/>
      <c r="AE244" s="13"/>
    </row>
    <row r="245" spans="1:31" ht="30" x14ac:dyDescent="0.25">
      <c r="A245" s="9" t="s">
        <v>74</v>
      </c>
      <c r="B245" s="9" t="s">
        <v>917</v>
      </c>
      <c r="C245" s="9" t="s">
        <v>918</v>
      </c>
      <c r="D245" s="9" t="s">
        <v>323</v>
      </c>
      <c r="E245" s="9" t="s">
        <v>919</v>
      </c>
      <c r="F245" s="9">
        <v>3</v>
      </c>
      <c r="G245" s="9" t="s">
        <v>14</v>
      </c>
      <c r="H245" s="9">
        <v>19</v>
      </c>
      <c r="I245" s="13">
        <f t="shared" si="60"/>
        <v>57</v>
      </c>
      <c r="J245" s="13">
        <f t="shared" si="61"/>
        <v>355</v>
      </c>
      <c r="K245" s="13">
        <f t="shared" si="62"/>
        <v>354</v>
      </c>
      <c r="L245" s="13">
        <f t="shared" si="63"/>
        <v>1829.5</v>
      </c>
      <c r="M245" s="13">
        <f t="shared" si="64"/>
        <v>91</v>
      </c>
      <c r="N245" s="13" t="b">
        <f t="shared" si="65"/>
        <v>0</v>
      </c>
      <c r="O245" s="13" t="b">
        <f t="shared" si="66"/>
        <v>1</v>
      </c>
      <c r="P245" s="13" t="str">
        <f t="shared" si="67"/>
        <v>C008558-ct</v>
      </c>
      <c r="Q245" s="14" t="str">
        <f t="shared" si="68"/>
        <v>T024637
3</v>
      </c>
      <c r="R245" s="13" t="b">
        <f t="shared" si="69"/>
        <v>0</v>
      </c>
      <c r="S245" s="13" t="str">
        <f t="shared" si="70"/>
        <v>17</v>
      </c>
      <c r="T245" s="13" t="str">
        <f t="shared" si="71"/>
        <v>CT</v>
      </c>
      <c r="U245" s="13" t="str">
        <f t="shared" si="72"/>
        <v>ct</v>
      </c>
      <c r="V245" s="13">
        <f t="shared" si="73"/>
        <v>2</v>
      </c>
      <c r="W245" s="13" t="str">
        <f t="shared" si="74"/>
        <v>T024637 3</v>
      </c>
      <c r="X245" s="13" t="str">
        <f t="shared" si="75"/>
        <v>S55559</v>
      </c>
      <c r="Y245" s="13" t="str">
        <f t="shared" si="76"/>
        <v>T02</v>
      </c>
      <c r="Z245" s="13" t="str">
        <f t="shared" si="77"/>
        <v>637</v>
      </c>
      <c r="AA245" s="13">
        <f t="shared" si="78"/>
        <v>2</v>
      </c>
      <c r="AB245" s="13">
        <f t="shared" si="79"/>
        <v>2</v>
      </c>
      <c r="AC245" s="13"/>
      <c r="AD245" s="13"/>
      <c r="AE245" s="13"/>
    </row>
    <row r="246" spans="1:31" ht="30" x14ac:dyDescent="0.25">
      <c r="A246" s="9" t="s">
        <v>182</v>
      </c>
      <c r="B246" s="9" t="s">
        <v>920</v>
      </c>
      <c r="C246" s="9" t="s">
        <v>921</v>
      </c>
      <c r="D246" s="9" t="s">
        <v>922</v>
      </c>
      <c r="E246" s="9" t="s">
        <v>923</v>
      </c>
      <c r="F246" s="9">
        <v>1</v>
      </c>
      <c r="G246" s="9" t="s">
        <v>36</v>
      </c>
      <c r="H246" s="9">
        <v>6.75</v>
      </c>
      <c r="I246" s="13">
        <f t="shared" si="60"/>
        <v>6.75</v>
      </c>
      <c r="J246" s="13">
        <f t="shared" si="61"/>
        <v>495</v>
      </c>
      <c r="K246" s="13">
        <f t="shared" si="62"/>
        <v>494</v>
      </c>
      <c r="L246" s="13">
        <f t="shared" si="63"/>
        <v>1029.25</v>
      </c>
      <c r="M246" s="13">
        <f t="shared" si="64"/>
        <v>62</v>
      </c>
      <c r="N246" s="13" t="b">
        <f t="shared" si="65"/>
        <v>0</v>
      </c>
      <c r="O246" s="13" t="b">
        <f t="shared" si="66"/>
        <v>1</v>
      </c>
      <c r="P246" s="13" t="str">
        <f t="shared" si="67"/>
        <v>C004462-cans</v>
      </c>
      <c r="Q246" s="14" t="str">
        <f t="shared" si="68"/>
        <v>T07750
1</v>
      </c>
      <c r="R246" s="13" t="b">
        <f t="shared" si="69"/>
        <v>0</v>
      </c>
      <c r="S246" s="13" t="str">
        <f t="shared" si="70"/>
        <v>01</v>
      </c>
      <c r="T246" s="13" t="str">
        <f t="shared" si="71"/>
        <v>CANS</v>
      </c>
      <c r="U246" s="13" t="str">
        <f t="shared" si="72"/>
        <v>cans</v>
      </c>
      <c r="V246" s="13">
        <f t="shared" si="73"/>
        <v>2</v>
      </c>
      <c r="W246" s="13" t="str">
        <f t="shared" si="74"/>
        <v>T07750 1</v>
      </c>
      <c r="X246" s="13" t="str">
        <f t="shared" si="75"/>
        <v>S5563</v>
      </c>
      <c r="Y246" s="13" t="str">
        <f t="shared" si="76"/>
        <v>T07</v>
      </c>
      <c r="Z246" s="13" t="str">
        <f t="shared" si="77"/>
        <v>750</v>
      </c>
      <c r="AA246" s="13">
        <f t="shared" si="78"/>
        <v>2</v>
      </c>
      <c r="AB246" s="13">
        <f t="shared" si="79"/>
        <v>4</v>
      </c>
      <c r="AC246" s="13"/>
      <c r="AD246" s="13"/>
      <c r="AE246" s="13"/>
    </row>
    <row r="247" spans="1:31" ht="30" x14ac:dyDescent="0.25">
      <c r="A247" s="9" t="s">
        <v>105</v>
      </c>
      <c r="B247" s="9" t="s">
        <v>924</v>
      </c>
      <c r="C247" s="9" t="s">
        <v>925</v>
      </c>
      <c r="D247" s="9" t="s">
        <v>153</v>
      </c>
      <c r="E247" s="9" t="s">
        <v>926</v>
      </c>
      <c r="F247" s="9">
        <v>9</v>
      </c>
      <c r="G247" s="9" t="s">
        <v>14</v>
      </c>
      <c r="H247" s="9">
        <v>42</v>
      </c>
      <c r="I247" s="13">
        <f t="shared" si="60"/>
        <v>378</v>
      </c>
      <c r="J247" s="13">
        <f t="shared" si="61"/>
        <v>12</v>
      </c>
      <c r="K247" s="13">
        <f t="shared" si="62"/>
        <v>12</v>
      </c>
      <c r="L247" s="13">
        <f t="shared" si="63"/>
        <v>1810.5</v>
      </c>
      <c r="M247" s="13">
        <f t="shared" si="64"/>
        <v>90</v>
      </c>
      <c r="N247" s="13" t="b">
        <f t="shared" si="65"/>
        <v>1</v>
      </c>
      <c r="O247" s="13" t="b">
        <f t="shared" si="66"/>
        <v>1</v>
      </c>
      <c r="P247" s="13" t="str">
        <f t="shared" si="67"/>
        <v>C003760-ct</v>
      </c>
      <c r="Q247" s="14" t="str">
        <f t="shared" si="68"/>
        <v>T037494
9</v>
      </c>
      <c r="R247" s="13" t="b">
        <f t="shared" si="69"/>
        <v>0</v>
      </c>
      <c r="S247" s="13" t="str">
        <f t="shared" si="70"/>
        <v>11</v>
      </c>
      <c r="T247" s="13" t="str">
        <f t="shared" si="71"/>
        <v>CT</v>
      </c>
      <c r="U247" s="13" t="str">
        <f t="shared" si="72"/>
        <v>ct</v>
      </c>
      <c r="V247" s="13">
        <f t="shared" si="73"/>
        <v>2</v>
      </c>
      <c r="W247" s="13" t="str">
        <f t="shared" si="74"/>
        <v>T037494 9</v>
      </c>
      <c r="X247" s="13" t="str">
        <f t="shared" si="75"/>
        <v>S55126</v>
      </c>
      <c r="Y247" s="13" t="str">
        <f t="shared" si="76"/>
        <v>T03</v>
      </c>
      <c r="Z247" s="13" t="str">
        <f t="shared" si="77"/>
        <v>494</v>
      </c>
      <c r="AA247" s="13">
        <f t="shared" si="78"/>
        <v>2</v>
      </c>
      <c r="AB247" s="13">
        <f t="shared" si="79"/>
        <v>2</v>
      </c>
      <c r="AC247" s="13"/>
      <c r="AD247" s="13"/>
      <c r="AE247" s="13"/>
    </row>
    <row r="248" spans="1:31" ht="30" x14ac:dyDescent="0.25">
      <c r="A248" s="9" t="s">
        <v>105</v>
      </c>
      <c r="B248" s="9" t="s">
        <v>927</v>
      </c>
      <c r="C248" s="9" t="s">
        <v>928</v>
      </c>
      <c r="D248" s="9" t="s">
        <v>929</v>
      </c>
      <c r="E248" s="9" t="s">
        <v>930</v>
      </c>
      <c r="F248" s="9">
        <v>5</v>
      </c>
      <c r="G248" s="9" t="s">
        <v>913</v>
      </c>
      <c r="H248" s="9">
        <v>15</v>
      </c>
      <c r="I248" s="13">
        <f t="shared" si="60"/>
        <v>75</v>
      </c>
      <c r="J248" s="13">
        <f t="shared" si="61"/>
        <v>285</v>
      </c>
      <c r="K248" s="13">
        <f t="shared" si="62"/>
        <v>283</v>
      </c>
      <c r="L248" s="13">
        <f t="shared" si="63"/>
        <v>61</v>
      </c>
      <c r="M248" s="13">
        <f t="shared" si="64"/>
        <v>3</v>
      </c>
      <c r="N248" s="13" t="b">
        <f t="shared" si="65"/>
        <v>0</v>
      </c>
      <c r="O248" s="13" t="b">
        <f t="shared" si="66"/>
        <v>1</v>
      </c>
      <c r="P248" s="13" t="str">
        <f t="shared" si="67"/>
        <v>C002286-bars</v>
      </c>
      <c r="Q248" s="14" t="str">
        <f t="shared" si="68"/>
        <v>T038418
5</v>
      </c>
      <c r="R248" s="13" t="b">
        <f t="shared" si="69"/>
        <v>0</v>
      </c>
      <c r="S248" s="13" t="str">
        <f t="shared" si="70"/>
        <v>19</v>
      </c>
      <c r="T248" s="13" t="str">
        <f t="shared" si="71"/>
        <v>BARS</v>
      </c>
      <c r="U248" s="13" t="str">
        <f t="shared" si="72"/>
        <v>bars</v>
      </c>
      <c r="V248" s="13">
        <f t="shared" si="73"/>
        <v>2</v>
      </c>
      <c r="W248" s="13" t="str">
        <f t="shared" si="74"/>
        <v>T038418 5</v>
      </c>
      <c r="X248" s="13" t="str">
        <f t="shared" si="75"/>
        <v>S55295</v>
      </c>
      <c r="Y248" s="13" t="str">
        <f t="shared" si="76"/>
        <v>T03</v>
      </c>
      <c r="Z248" s="13" t="str">
        <f t="shared" si="77"/>
        <v>418</v>
      </c>
      <c r="AA248" s="13">
        <f t="shared" si="78"/>
        <v>2</v>
      </c>
      <c r="AB248" s="13">
        <f t="shared" si="79"/>
        <v>4</v>
      </c>
      <c r="AC248" s="13"/>
      <c r="AD248" s="13"/>
      <c r="AE248" s="13"/>
    </row>
    <row r="249" spans="1:31" ht="30" x14ac:dyDescent="0.25">
      <c r="A249" s="9" t="s">
        <v>209</v>
      </c>
      <c r="B249" s="9" t="s">
        <v>931</v>
      </c>
      <c r="C249" s="9" t="s">
        <v>932</v>
      </c>
      <c r="D249" s="9" t="s">
        <v>423</v>
      </c>
      <c r="E249" s="9" t="s">
        <v>933</v>
      </c>
      <c r="F249" s="9">
        <v>9</v>
      </c>
      <c r="G249" s="9" t="s">
        <v>416</v>
      </c>
      <c r="H249" s="9">
        <v>15</v>
      </c>
      <c r="I249" s="13">
        <f t="shared" si="60"/>
        <v>135</v>
      </c>
      <c r="J249" s="13">
        <f t="shared" si="61"/>
        <v>134.5</v>
      </c>
      <c r="K249" s="13">
        <f t="shared" si="62"/>
        <v>133</v>
      </c>
      <c r="L249" s="13">
        <f t="shared" si="63"/>
        <v>135.5</v>
      </c>
      <c r="M249" s="13">
        <f t="shared" si="64"/>
        <v>9</v>
      </c>
      <c r="N249" s="13" t="b">
        <f t="shared" si="65"/>
        <v>0</v>
      </c>
      <c r="O249" s="13" t="b">
        <f t="shared" si="66"/>
        <v>1</v>
      </c>
      <c r="P249" s="13" t="str">
        <f t="shared" si="67"/>
        <v>C007463-pk</v>
      </c>
      <c r="Q249" s="14" t="str">
        <f t="shared" si="68"/>
        <v>T00022
9</v>
      </c>
      <c r="R249" s="13" t="b">
        <f t="shared" si="69"/>
        <v>0</v>
      </c>
      <c r="S249" s="13" t="str">
        <f t="shared" si="70"/>
        <v>23</v>
      </c>
      <c r="T249" s="13" t="str">
        <f t="shared" si="71"/>
        <v>PK</v>
      </c>
      <c r="U249" s="13" t="str">
        <f t="shared" si="72"/>
        <v>pk</v>
      </c>
      <c r="V249" s="13">
        <f t="shared" si="73"/>
        <v>2</v>
      </c>
      <c r="W249" s="13" t="str">
        <f t="shared" si="74"/>
        <v>T00022 9</v>
      </c>
      <c r="X249" s="13" t="str">
        <f t="shared" si="75"/>
        <v>S55296</v>
      </c>
      <c r="Y249" s="13" t="str">
        <f t="shared" si="76"/>
        <v>T00</v>
      </c>
      <c r="Z249" s="13" t="str">
        <f t="shared" si="77"/>
        <v>022</v>
      </c>
      <c r="AA249" s="13">
        <f t="shared" si="78"/>
        <v>2</v>
      </c>
      <c r="AB249" s="13">
        <f t="shared" si="79"/>
        <v>2</v>
      </c>
      <c r="AC249" s="13"/>
      <c r="AD249" s="13"/>
      <c r="AE249" s="13"/>
    </row>
    <row r="250" spans="1:31" ht="30" x14ac:dyDescent="0.25">
      <c r="A250" s="9" t="s">
        <v>177</v>
      </c>
      <c r="B250" s="9" t="s">
        <v>934</v>
      </c>
      <c r="C250" s="9" t="s">
        <v>935</v>
      </c>
      <c r="D250" s="9" t="s">
        <v>629</v>
      </c>
      <c r="E250" s="9" t="s">
        <v>936</v>
      </c>
      <c r="F250" s="9">
        <v>5</v>
      </c>
      <c r="G250" s="9" t="s">
        <v>14</v>
      </c>
      <c r="H250" s="9">
        <v>12</v>
      </c>
      <c r="I250" s="13">
        <f t="shared" si="60"/>
        <v>60</v>
      </c>
      <c r="J250" s="13">
        <f t="shared" si="61"/>
        <v>344.5</v>
      </c>
      <c r="K250" s="13">
        <f t="shared" si="62"/>
        <v>337</v>
      </c>
      <c r="L250" s="13">
        <f t="shared" si="63"/>
        <v>1768.5</v>
      </c>
      <c r="M250" s="13">
        <f t="shared" si="64"/>
        <v>89</v>
      </c>
      <c r="N250" s="13" t="b">
        <f t="shared" si="65"/>
        <v>0</v>
      </c>
      <c r="O250" s="13" t="b">
        <f t="shared" si="66"/>
        <v>1</v>
      </c>
      <c r="P250" s="13" t="str">
        <f t="shared" si="67"/>
        <v>C005848-ct</v>
      </c>
      <c r="Q250" s="14" t="str">
        <f t="shared" si="68"/>
        <v>T087749
5</v>
      </c>
      <c r="R250" s="13" t="b">
        <f t="shared" si="69"/>
        <v>0</v>
      </c>
      <c r="S250" s="13" t="str">
        <f t="shared" si="70"/>
        <v>19</v>
      </c>
      <c r="T250" s="13" t="str">
        <f t="shared" si="71"/>
        <v>CT</v>
      </c>
      <c r="U250" s="13" t="str">
        <f t="shared" si="72"/>
        <v>ct</v>
      </c>
      <c r="V250" s="13">
        <f t="shared" si="73"/>
        <v>2</v>
      </c>
      <c r="W250" s="13" t="str">
        <f t="shared" si="74"/>
        <v>T087749 5</v>
      </c>
      <c r="X250" s="13" t="str">
        <f t="shared" si="75"/>
        <v>S55399</v>
      </c>
      <c r="Y250" s="13" t="str">
        <f t="shared" si="76"/>
        <v>T08</v>
      </c>
      <c r="Z250" s="13" t="str">
        <f t="shared" si="77"/>
        <v>749</v>
      </c>
      <c r="AA250" s="13">
        <f t="shared" si="78"/>
        <v>2</v>
      </c>
      <c r="AB250" s="13">
        <f t="shared" si="79"/>
        <v>2</v>
      </c>
      <c r="AC250" s="13"/>
      <c r="AD250" s="13"/>
      <c r="AE250" s="13"/>
    </row>
    <row r="251" spans="1:31" ht="30" x14ac:dyDescent="0.25">
      <c r="A251" s="9" t="s">
        <v>218</v>
      </c>
      <c r="B251" s="9" t="s">
        <v>937</v>
      </c>
      <c r="C251" s="9" t="s">
        <v>938</v>
      </c>
      <c r="D251" s="9" t="s">
        <v>939</v>
      </c>
      <c r="E251" s="9" t="s">
        <v>133</v>
      </c>
      <c r="F251" s="9">
        <v>8</v>
      </c>
      <c r="G251" s="9" t="s">
        <v>68</v>
      </c>
      <c r="H251" s="9">
        <v>8</v>
      </c>
      <c r="I251" s="13">
        <f t="shared" si="60"/>
        <v>64</v>
      </c>
      <c r="J251" s="13">
        <f t="shared" si="61"/>
        <v>328</v>
      </c>
      <c r="K251" s="13">
        <f t="shared" si="62"/>
        <v>324</v>
      </c>
      <c r="L251" s="13">
        <f t="shared" si="63"/>
        <v>471</v>
      </c>
      <c r="M251" s="13">
        <f t="shared" si="64"/>
        <v>28</v>
      </c>
      <c r="N251" s="13" t="b">
        <f t="shared" si="65"/>
        <v>0</v>
      </c>
      <c r="O251" s="13" t="b">
        <f t="shared" si="66"/>
        <v>1</v>
      </c>
      <c r="P251" s="13" t="str">
        <f t="shared" si="67"/>
        <v>C003816-bottles</v>
      </c>
      <c r="Q251" s="14" t="str">
        <f t="shared" si="68"/>
        <v>T049774
8</v>
      </c>
      <c r="R251" s="13" t="b">
        <f t="shared" si="69"/>
        <v>0</v>
      </c>
      <c r="S251" s="13" t="str">
        <f t="shared" si="70"/>
        <v>06</v>
      </c>
      <c r="T251" s="13" t="str">
        <f t="shared" si="71"/>
        <v>BOTTLES</v>
      </c>
      <c r="U251" s="13" t="str">
        <f t="shared" si="72"/>
        <v>bottles</v>
      </c>
      <c r="V251" s="13">
        <f t="shared" si="73"/>
        <v>2</v>
      </c>
      <c r="W251" s="13" t="str">
        <f t="shared" si="74"/>
        <v>T049774 8</v>
      </c>
      <c r="X251" s="13" t="str">
        <f t="shared" si="75"/>
        <v>S55423</v>
      </c>
      <c r="Y251" s="13" t="str">
        <f t="shared" si="76"/>
        <v>T04</v>
      </c>
      <c r="Z251" s="13" t="str">
        <f t="shared" si="77"/>
        <v>774</v>
      </c>
      <c r="AA251" s="13">
        <f t="shared" si="78"/>
        <v>2</v>
      </c>
      <c r="AB251" s="13">
        <f t="shared" si="79"/>
        <v>7</v>
      </c>
      <c r="AC251" s="13"/>
      <c r="AD251" s="13"/>
      <c r="AE251" s="13"/>
    </row>
    <row r="252" spans="1:31" ht="30" x14ac:dyDescent="0.25">
      <c r="A252" s="9" t="s">
        <v>233</v>
      </c>
      <c r="B252" s="9" t="s">
        <v>940</v>
      </c>
      <c r="C252" s="9" t="s">
        <v>941</v>
      </c>
      <c r="D252" s="9" t="s">
        <v>942</v>
      </c>
      <c r="E252" s="9" t="s">
        <v>943</v>
      </c>
      <c r="F252" s="9">
        <v>10</v>
      </c>
      <c r="G252" s="9" t="s">
        <v>416</v>
      </c>
      <c r="H252" s="9">
        <v>16</v>
      </c>
      <c r="I252" s="13">
        <f t="shared" si="60"/>
        <v>160</v>
      </c>
      <c r="J252" s="13">
        <f t="shared" si="61"/>
        <v>90.5</v>
      </c>
      <c r="K252" s="13">
        <f t="shared" si="62"/>
        <v>84</v>
      </c>
      <c r="L252" s="13">
        <f t="shared" si="63"/>
        <v>120.5</v>
      </c>
      <c r="M252" s="13">
        <f t="shared" si="64"/>
        <v>8</v>
      </c>
      <c r="N252" s="13" t="b">
        <f t="shared" si="65"/>
        <v>0</v>
      </c>
      <c r="O252" s="13" t="b">
        <f t="shared" si="66"/>
        <v>1</v>
      </c>
      <c r="P252" s="13" t="str">
        <f t="shared" si="67"/>
        <v>C005041-pk</v>
      </c>
      <c r="Q252" s="14" t="str">
        <f t="shared" si="68"/>
        <v>T040305
10</v>
      </c>
      <c r="R252" s="13" t="b">
        <f t="shared" si="69"/>
        <v>0</v>
      </c>
      <c r="S252" s="13" t="str">
        <f t="shared" si="70"/>
        <v>23</v>
      </c>
      <c r="T252" s="13" t="str">
        <f t="shared" si="71"/>
        <v>PK</v>
      </c>
      <c r="U252" s="13" t="str">
        <f t="shared" si="72"/>
        <v>pk</v>
      </c>
      <c r="V252" s="13">
        <f t="shared" si="73"/>
        <v>2</v>
      </c>
      <c r="W252" s="13" t="str">
        <f t="shared" si="74"/>
        <v>T040305 10</v>
      </c>
      <c r="X252" s="13" t="str">
        <f t="shared" si="75"/>
        <v>S55256</v>
      </c>
      <c r="Y252" s="13" t="str">
        <f t="shared" si="76"/>
        <v>T04</v>
      </c>
      <c r="Z252" s="13" t="str">
        <f t="shared" si="77"/>
        <v>305</v>
      </c>
      <c r="AA252" s="13">
        <f t="shared" si="78"/>
        <v>2</v>
      </c>
      <c r="AB252" s="13">
        <f t="shared" si="79"/>
        <v>2</v>
      </c>
      <c r="AC252" s="13"/>
      <c r="AD252" s="13"/>
      <c r="AE252" s="13"/>
    </row>
    <row r="253" spans="1:31" ht="30" x14ac:dyDescent="0.25">
      <c r="A253" s="9" t="s">
        <v>110</v>
      </c>
      <c r="B253" s="9" t="s">
        <v>944</v>
      </c>
      <c r="C253" s="9" t="s">
        <v>945</v>
      </c>
      <c r="D253" s="9" t="s">
        <v>697</v>
      </c>
      <c r="E253" s="9" t="s">
        <v>145</v>
      </c>
      <c r="F253" s="9">
        <v>7</v>
      </c>
      <c r="G253" s="9" t="s">
        <v>14</v>
      </c>
      <c r="H253" s="9">
        <v>12</v>
      </c>
      <c r="I253" s="13">
        <f t="shared" si="60"/>
        <v>84</v>
      </c>
      <c r="J253" s="13">
        <f t="shared" si="61"/>
        <v>263.5</v>
      </c>
      <c r="K253" s="13">
        <f t="shared" si="62"/>
        <v>260</v>
      </c>
      <c r="L253" s="13">
        <f t="shared" si="63"/>
        <v>1756.5</v>
      </c>
      <c r="M253" s="13">
        <f t="shared" si="64"/>
        <v>88</v>
      </c>
      <c r="N253" s="13" t="b">
        <f t="shared" si="65"/>
        <v>0</v>
      </c>
      <c r="O253" s="13" t="b">
        <f t="shared" si="66"/>
        <v>1</v>
      </c>
      <c r="P253" s="13" t="str">
        <f t="shared" si="67"/>
        <v>C005839-ct</v>
      </c>
      <c r="Q253" s="14" t="str">
        <f t="shared" si="68"/>
        <v>T085441
7</v>
      </c>
      <c r="R253" s="13" t="b">
        <f t="shared" si="69"/>
        <v>0</v>
      </c>
      <c r="S253" s="13" t="str">
        <f t="shared" si="70"/>
        <v>24</v>
      </c>
      <c r="T253" s="13" t="str">
        <f t="shared" si="71"/>
        <v>CT</v>
      </c>
      <c r="U253" s="13" t="str">
        <f t="shared" si="72"/>
        <v>ct</v>
      </c>
      <c r="V253" s="13">
        <f t="shared" si="73"/>
        <v>2</v>
      </c>
      <c r="W253" s="13" t="str">
        <f t="shared" si="74"/>
        <v>T085441 7</v>
      </c>
      <c r="X253" s="13" t="str">
        <f t="shared" si="75"/>
        <v>S55197</v>
      </c>
      <c r="Y253" s="13" t="str">
        <f t="shared" si="76"/>
        <v>T08</v>
      </c>
      <c r="Z253" s="13" t="str">
        <f t="shared" si="77"/>
        <v>441</v>
      </c>
      <c r="AA253" s="13">
        <f t="shared" si="78"/>
        <v>2</v>
      </c>
      <c r="AB253" s="13">
        <f t="shared" si="79"/>
        <v>2</v>
      </c>
      <c r="AC253" s="13"/>
      <c r="AD253" s="13"/>
      <c r="AE253" s="13"/>
    </row>
    <row r="254" spans="1:31" ht="30" x14ac:dyDescent="0.25">
      <c r="A254" s="9" t="s">
        <v>155</v>
      </c>
      <c r="B254" s="9" t="s">
        <v>946</v>
      </c>
      <c r="C254" s="9" t="s">
        <v>947</v>
      </c>
      <c r="D254" s="9" t="s">
        <v>948</v>
      </c>
      <c r="E254" s="9" t="s">
        <v>949</v>
      </c>
      <c r="F254" s="9">
        <v>11</v>
      </c>
      <c r="G254" s="9" t="s">
        <v>36</v>
      </c>
      <c r="H254" s="9">
        <v>11.5</v>
      </c>
      <c r="I254" s="13">
        <f t="shared" si="60"/>
        <v>126.5</v>
      </c>
      <c r="J254" s="13">
        <f t="shared" si="61"/>
        <v>153</v>
      </c>
      <c r="K254" s="13">
        <f t="shared" si="62"/>
        <v>153</v>
      </c>
      <c r="L254" s="13">
        <f t="shared" si="63"/>
        <v>1022.5</v>
      </c>
      <c r="M254" s="13">
        <f t="shared" si="64"/>
        <v>61</v>
      </c>
      <c r="N254" s="13" t="b">
        <f t="shared" si="65"/>
        <v>0</v>
      </c>
      <c r="O254" s="13" t="b">
        <f t="shared" si="66"/>
        <v>1</v>
      </c>
      <c r="P254" s="13" t="str">
        <f t="shared" si="67"/>
        <v>C007131-cans</v>
      </c>
      <c r="Q254" s="14" t="str">
        <f t="shared" si="68"/>
        <v>T084462
11</v>
      </c>
      <c r="R254" s="13" t="b">
        <f t="shared" si="69"/>
        <v>0</v>
      </c>
      <c r="S254" s="13" t="str">
        <f t="shared" si="70"/>
        <v>02</v>
      </c>
      <c r="T254" s="13" t="str">
        <f t="shared" si="71"/>
        <v>CANS</v>
      </c>
      <c r="U254" s="13" t="str">
        <f t="shared" si="72"/>
        <v>cans</v>
      </c>
      <c r="V254" s="13">
        <f t="shared" si="73"/>
        <v>2</v>
      </c>
      <c r="W254" s="13" t="str">
        <f t="shared" si="74"/>
        <v>T084462 11</v>
      </c>
      <c r="X254" s="13" t="str">
        <f t="shared" si="75"/>
        <v>S55592</v>
      </c>
      <c r="Y254" s="13" t="str">
        <f t="shared" si="76"/>
        <v>T08</v>
      </c>
      <c r="Z254" s="13" t="str">
        <f t="shared" si="77"/>
        <v>462</v>
      </c>
      <c r="AA254" s="13">
        <f t="shared" si="78"/>
        <v>2</v>
      </c>
      <c r="AB254" s="13">
        <f t="shared" si="79"/>
        <v>4</v>
      </c>
      <c r="AC254" s="13"/>
      <c r="AD254" s="13"/>
      <c r="AE254" s="13"/>
    </row>
    <row r="255" spans="1:31" ht="30" x14ac:dyDescent="0.25">
      <c r="A255" s="9" t="s">
        <v>69</v>
      </c>
      <c r="B255" s="9" t="s">
        <v>950</v>
      </c>
      <c r="C255" s="9" t="s">
        <v>951</v>
      </c>
      <c r="D255" s="9" t="s">
        <v>216</v>
      </c>
      <c r="E255" s="9" t="s">
        <v>952</v>
      </c>
      <c r="F255" s="9">
        <v>10</v>
      </c>
      <c r="G255" s="9" t="s">
        <v>36</v>
      </c>
      <c r="H255" s="9">
        <v>16</v>
      </c>
      <c r="I255" s="13">
        <f t="shared" si="60"/>
        <v>160</v>
      </c>
      <c r="J255" s="13">
        <f t="shared" si="61"/>
        <v>90.5</v>
      </c>
      <c r="K255" s="13">
        <f t="shared" si="62"/>
        <v>84</v>
      </c>
      <c r="L255" s="13">
        <f t="shared" si="63"/>
        <v>1011</v>
      </c>
      <c r="M255" s="13">
        <f t="shared" si="64"/>
        <v>60</v>
      </c>
      <c r="N255" s="13" t="b">
        <f t="shared" si="65"/>
        <v>0</v>
      </c>
      <c r="O255" s="13" t="b">
        <f t="shared" si="66"/>
        <v>1</v>
      </c>
      <c r="P255" s="13" t="str">
        <f t="shared" si="67"/>
        <v>C003607-cans</v>
      </c>
      <c r="Q255" s="14" t="str">
        <f t="shared" si="68"/>
        <v>T066510
10</v>
      </c>
      <c r="R255" s="13" t="b">
        <f t="shared" si="69"/>
        <v>0</v>
      </c>
      <c r="S255" s="13" t="str">
        <f t="shared" si="70"/>
        <v>03</v>
      </c>
      <c r="T255" s="13" t="str">
        <f t="shared" si="71"/>
        <v>CANS</v>
      </c>
      <c r="U255" s="13" t="str">
        <f t="shared" si="72"/>
        <v>cans</v>
      </c>
      <c r="V255" s="13">
        <f t="shared" si="73"/>
        <v>2</v>
      </c>
      <c r="W255" s="13" t="str">
        <f t="shared" si="74"/>
        <v>T066510 10</v>
      </c>
      <c r="X255" s="13" t="str">
        <f t="shared" si="75"/>
        <v>S55325</v>
      </c>
      <c r="Y255" s="13" t="str">
        <f t="shared" si="76"/>
        <v>T06</v>
      </c>
      <c r="Z255" s="13" t="str">
        <f t="shared" si="77"/>
        <v>510</v>
      </c>
      <c r="AA255" s="13">
        <f t="shared" si="78"/>
        <v>2</v>
      </c>
      <c r="AB255" s="13">
        <f t="shared" si="79"/>
        <v>4</v>
      </c>
      <c r="AC255" s="13"/>
      <c r="AD255" s="13"/>
      <c r="AE255" s="13"/>
    </row>
    <row r="256" spans="1:31" ht="30" x14ac:dyDescent="0.25">
      <c r="A256" s="9" t="s">
        <v>292</v>
      </c>
      <c r="B256" s="9" t="s">
        <v>953</v>
      </c>
      <c r="C256" s="9" t="s">
        <v>954</v>
      </c>
      <c r="D256" s="9" t="s">
        <v>485</v>
      </c>
      <c r="E256" s="9" t="s">
        <v>955</v>
      </c>
      <c r="F256" s="9">
        <v>8</v>
      </c>
      <c r="G256" s="9" t="s">
        <v>14</v>
      </c>
      <c r="H256" s="9">
        <v>32</v>
      </c>
      <c r="I256" s="13">
        <f t="shared" si="60"/>
        <v>256</v>
      </c>
      <c r="J256" s="13">
        <f t="shared" si="61"/>
        <v>25</v>
      </c>
      <c r="K256" s="13">
        <f t="shared" si="62"/>
        <v>25</v>
      </c>
      <c r="L256" s="13">
        <f t="shared" si="63"/>
        <v>1744.5</v>
      </c>
      <c r="M256" s="13">
        <f t="shared" si="64"/>
        <v>87</v>
      </c>
      <c r="N256" s="13" t="b">
        <f t="shared" si="65"/>
        <v>1</v>
      </c>
      <c r="O256" s="13" t="b">
        <f t="shared" si="66"/>
        <v>1</v>
      </c>
      <c r="P256" s="13" t="str">
        <f t="shared" si="67"/>
        <v>C004715-ct</v>
      </c>
      <c r="Q256" s="14" t="str">
        <f t="shared" si="68"/>
        <v>T016438
8</v>
      </c>
      <c r="R256" s="13" t="b">
        <f t="shared" si="69"/>
        <v>0</v>
      </c>
      <c r="S256" s="13" t="str">
        <f t="shared" si="70"/>
        <v>13</v>
      </c>
      <c r="T256" s="13" t="str">
        <f t="shared" si="71"/>
        <v>CT</v>
      </c>
      <c r="U256" s="13" t="str">
        <f t="shared" si="72"/>
        <v>ct</v>
      </c>
      <c r="V256" s="13">
        <f t="shared" si="73"/>
        <v>2</v>
      </c>
      <c r="W256" s="13" t="str">
        <f t="shared" si="74"/>
        <v>T016438 8</v>
      </c>
      <c r="X256" s="13" t="str">
        <f t="shared" si="75"/>
        <v>S5566</v>
      </c>
      <c r="Y256" s="13" t="str">
        <f t="shared" si="76"/>
        <v>T01</v>
      </c>
      <c r="Z256" s="13" t="str">
        <f t="shared" si="77"/>
        <v>438</v>
      </c>
      <c r="AA256" s="13">
        <f t="shared" si="78"/>
        <v>2</v>
      </c>
      <c r="AB256" s="13">
        <f t="shared" si="79"/>
        <v>2</v>
      </c>
      <c r="AC256" s="13"/>
      <c r="AD256" s="13"/>
      <c r="AE256" s="13"/>
    </row>
    <row r="257" spans="1:31" ht="30" x14ac:dyDescent="0.25">
      <c r="A257" s="9" t="s">
        <v>130</v>
      </c>
      <c r="B257" s="9" t="s">
        <v>956</v>
      </c>
      <c r="C257" s="9" t="s">
        <v>957</v>
      </c>
      <c r="D257" s="9" t="s">
        <v>958</v>
      </c>
      <c r="E257" s="9" t="s">
        <v>376</v>
      </c>
      <c r="F257" s="9">
        <v>7</v>
      </c>
      <c r="G257" s="9" t="s">
        <v>115</v>
      </c>
      <c r="H257" s="9">
        <v>17</v>
      </c>
      <c r="I257" s="13">
        <f t="shared" si="60"/>
        <v>119</v>
      </c>
      <c r="J257" s="13">
        <f t="shared" si="61"/>
        <v>179.5</v>
      </c>
      <c r="K257" s="13">
        <f t="shared" si="62"/>
        <v>178</v>
      </c>
      <c r="L257" s="13">
        <f t="shared" si="63"/>
        <v>269</v>
      </c>
      <c r="M257" s="13">
        <f t="shared" si="64"/>
        <v>16</v>
      </c>
      <c r="N257" s="13" t="b">
        <f t="shared" si="65"/>
        <v>0</v>
      </c>
      <c r="O257" s="13" t="b">
        <f t="shared" si="66"/>
        <v>1</v>
      </c>
      <c r="P257" s="13" t="str">
        <f t="shared" si="67"/>
        <v>C005378-bags</v>
      </c>
      <c r="Q257" s="14" t="str">
        <f t="shared" si="68"/>
        <v>T090427
7</v>
      </c>
      <c r="R257" s="13" t="b">
        <f t="shared" si="69"/>
        <v>0</v>
      </c>
      <c r="S257" s="13" t="str">
        <f t="shared" si="70"/>
        <v>15</v>
      </c>
      <c r="T257" s="13" t="str">
        <f t="shared" si="71"/>
        <v>BAGS</v>
      </c>
      <c r="U257" s="13" t="str">
        <f t="shared" si="72"/>
        <v>bags</v>
      </c>
      <c r="V257" s="13">
        <f t="shared" si="73"/>
        <v>2</v>
      </c>
      <c r="W257" s="13" t="str">
        <f t="shared" si="74"/>
        <v>T090427 7</v>
      </c>
      <c r="X257" s="13" t="str">
        <f t="shared" si="75"/>
        <v>S55143</v>
      </c>
      <c r="Y257" s="13" t="str">
        <f t="shared" si="76"/>
        <v>T09</v>
      </c>
      <c r="Z257" s="13" t="str">
        <f t="shared" si="77"/>
        <v>427</v>
      </c>
      <c r="AA257" s="13">
        <f t="shared" si="78"/>
        <v>2</v>
      </c>
      <c r="AB257" s="13">
        <f t="shared" si="79"/>
        <v>4</v>
      </c>
      <c r="AC257" s="13"/>
      <c r="AD257" s="13"/>
      <c r="AE257" s="13"/>
    </row>
    <row r="258" spans="1:31" ht="30" x14ac:dyDescent="0.25">
      <c r="A258" s="9" t="s">
        <v>125</v>
      </c>
      <c r="B258" s="9" t="s">
        <v>959</v>
      </c>
      <c r="C258" s="9" t="s">
        <v>960</v>
      </c>
      <c r="D258" s="9" t="s">
        <v>961</v>
      </c>
      <c r="E258" s="9" t="s">
        <v>962</v>
      </c>
      <c r="F258" s="9">
        <v>8</v>
      </c>
      <c r="G258" s="9" t="s">
        <v>14</v>
      </c>
      <c r="H258" s="9">
        <v>48</v>
      </c>
      <c r="I258" s="13">
        <f t="shared" si="60"/>
        <v>384</v>
      </c>
      <c r="J258" s="13">
        <f t="shared" si="61"/>
        <v>11</v>
      </c>
      <c r="K258" s="13">
        <f t="shared" si="62"/>
        <v>11</v>
      </c>
      <c r="L258" s="13">
        <f t="shared" si="63"/>
        <v>1712.5</v>
      </c>
      <c r="M258" s="13">
        <f t="shared" si="64"/>
        <v>86</v>
      </c>
      <c r="N258" s="13" t="b">
        <f t="shared" si="65"/>
        <v>1</v>
      </c>
      <c r="O258" s="13" t="b">
        <f t="shared" si="66"/>
        <v>1</v>
      </c>
      <c r="P258" s="13" t="str">
        <f t="shared" si="67"/>
        <v>C003119-ct</v>
      </c>
      <c r="Q258" s="14" t="str">
        <f t="shared" si="68"/>
        <v>T023962
8</v>
      </c>
      <c r="R258" s="13" t="b">
        <f t="shared" si="69"/>
        <v>0</v>
      </c>
      <c r="S258" s="13" t="str">
        <f t="shared" si="70"/>
        <v>11</v>
      </c>
      <c r="T258" s="13" t="str">
        <f t="shared" si="71"/>
        <v>CT</v>
      </c>
      <c r="U258" s="13" t="str">
        <f t="shared" si="72"/>
        <v>ct</v>
      </c>
      <c r="V258" s="13">
        <f t="shared" si="73"/>
        <v>2</v>
      </c>
      <c r="W258" s="13" t="str">
        <f t="shared" si="74"/>
        <v>T023962 8</v>
      </c>
      <c r="X258" s="13" t="str">
        <f t="shared" si="75"/>
        <v>S55373</v>
      </c>
      <c r="Y258" s="13" t="str">
        <f t="shared" si="76"/>
        <v>T02</v>
      </c>
      <c r="Z258" s="13" t="str">
        <f t="shared" si="77"/>
        <v>962</v>
      </c>
      <c r="AA258" s="13">
        <f t="shared" si="78"/>
        <v>2</v>
      </c>
      <c r="AB258" s="13">
        <f t="shared" si="79"/>
        <v>2</v>
      </c>
      <c r="AC258" s="13"/>
      <c r="AD258" s="13"/>
      <c r="AE258" s="13"/>
    </row>
    <row r="259" spans="1:31" ht="30" x14ac:dyDescent="0.25">
      <c r="A259" s="9" t="s">
        <v>249</v>
      </c>
      <c r="B259" s="9" t="s">
        <v>963</v>
      </c>
      <c r="C259" s="9" t="s">
        <v>964</v>
      </c>
      <c r="D259" s="9" t="s">
        <v>965</v>
      </c>
      <c r="E259" s="9" t="s">
        <v>638</v>
      </c>
      <c r="F259" s="9">
        <v>6</v>
      </c>
      <c r="G259" s="9" t="s">
        <v>14</v>
      </c>
      <c r="H259" s="9">
        <v>12</v>
      </c>
      <c r="I259" s="13">
        <f t="shared" si="60"/>
        <v>72</v>
      </c>
      <c r="J259" s="13">
        <f t="shared" si="61"/>
        <v>295.5</v>
      </c>
      <c r="K259" s="13">
        <f t="shared" si="62"/>
        <v>292</v>
      </c>
      <c r="L259" s="13">
        <f t="shared" si="63"/>
        <v>1664.5</v>
      </c>
      <c r="M259" s="13">
        <f t="shared" si="64"/>
        <v>85</v>
      </c>
      <c r="N259" s="13" t="b">
        <f t="shared" si="65"/>
        <v>0</v>
      </c>
      <c r="O259" s="13" t="b">
        <f t="shared" si="66"/>
        <v>1</v>
      </c>
      <c r="P259" s="13" t="str">
        <f t="shared" si="67"/>
        <v>C009156-ct</v>
      </c>
      <c r="Q259" s="14" t="str">
        <f t="shared" si="68"/>
        <v>T033041
6</v>
      </c>
      <c r="R259" s="13" t="b">
        <f t="shared" si="69"/>
        <v>0</v>
      </c>
      <c r="S259" s="13" t="str">
        <f t="shared" si="70"/>
        <v>18</v>
      </c>
      <c r="T259" s="13" t="str">
        <f t="shared" si="71"/>
        <v>CT</v>
      </c>
      <c r="U259" s="13" t="str">
        <f t="shared" si="72"/>
        <v>ct</v>
      </c>
      <c r="V259" s="13">
        <f t="shared" si="73"/>
        <v>2</v>
      </c>
      <c r="W259" s="13" t="str">
        <f t="shared" si="74"/>
        <v>T033041 6</v>
      </c>
      <c r="X259" s="13" t="str">
        <f t="shared" si="75"/>
        <v>S55275</v>
      </c>
      <c r="Y259" s="13" t="str">
        <f t="shared" si="76"/>
        <v>T03</v>
      </c>
      <c r="Z259" s="13" t="str">
        <f t="shared" si="77"/>
        <v>041</v>
      </c>
      <c r="AA259" s="13">
        <f t="shared" si="78"/>
        <v>2</v>
      </c>
      <c r="AB259" s="13">
        <f t="shared" si="79"/>
        <v>2</v>
      </c>
      <c r="AC259" s="13"/>
      <c r="AD259" s="13"/>
      <c r="AE259" s="13"/>
    </row>
    <row r="260" spans="1:31" ht="30" x14ac:dyDescent="0.25">
      <c r="A260" s="9" t="s">
        <v>74</v>
      </c>
      <c r="B260" s="9" t="s">
        <v>966</v>
      </c>
      <c r="C260" s="9" t="s">
        <v>967</v>
      </c>
      <c r="D260" s="9" t="s">
        <v>968</v>
      </c>
      <c r="E260" s="9" t="s">
        <v>969</v>
      </c>
      <c r="F260" s="9">
        <v>8</v>
      </c>
      <c r="G260" s="9" t="s">
        <v>176</v>
      </c>
      <c r="H260" s="9">
        <v>18</v>
      </c>
      <c r="I260" s="13">
        <f t="shared" si="60"/>
        <v>144</v>
      </c>
      <c r="J260" s="13">
        <f t="shared" si="61"/>
        <v>118</v>
      </c>
      <c r="K260" s="13">
        <f t="shared" si="62"/>
        <v>115</v>
      </c>
      <c r="L260" s="13">
        <f t="shared" si="63"/>
        <v>252.5</v>
      </c>
      <c r="M260" s="13">
        <f t="shared" si="64"/>
        <v>16</v>
      </c>
      <c r="N260" s="13" t="b">
        <f t="shared" si="65"/>
        <v>0</v>
      </c>
      <c r="O260" s="13" t="b">
        <f t="shared" si="66"/>
        <v>1</v>
      </c>
      <c r="P260" s="13" t="str">
        <f t="shared" si="67"/>
        <v>C005784-oz</v>
      </c>
      <c r="Q260" s="14" t="str">
        <f t="shared" si="68"/>
        <v>T056628
8</v>
      </c>
      <c r="R260" s="13" t="b">
        <f t="shared" si="69"/>
        <v>0</v>
      </c>
      <c r="S260" s="13" t="str">
        <f t="shared" si="70"/>
        <v>24</v>
      </c>
      <c r="T260" s="13" t="str">
        <f t="shared" si="71"/>
        <v>OZ</v>
      </c>
      <c r="U260" s="13" t="str">
        <f t="shared" si="72"/>
        <v>oz</v>
      </c>
      <c r="V260" s="13">
        <f t="shared" si="73"/>
        <v>2</v>
      </c>
      <c r="W260" s="13" t="str">
        <f t="shared" si="74"/>
        <v>T056628 8</v>
      </c>
      <c r="X260" s="13" t="str">
        <f t="shared" si="75"/>
        <v>S55269</v>
      </c>
      <c r="Y260" s="13" t="str">
        <f t="shared" si="76"/>
        <v>T05</v>
      </c>
      <c r="Z260" s="13" t="str">
        <f t="shared" si="77"/>
        <v>628</v>
      </c>
      <c r="AA260" s="13">
        <f t="shared" si="78"/>
        <v>2</v>
      </c>
      <c r="AB260" s="13">
        <f t="shared" si="79"/>
        <v>2</v>
      </c>
      <c r="AC260" s="13"/>
      <c r="AD260" s="13"/>
      <c r="AE260" s="13"/>
    </row>
    <row r="261" spans="1:31" ht="30" x14ac:dyDescent="0.25">
      <c r="A261" s="9" t="s">
        <v>21</v>
      </c>
      <c r="B261" s="9" t="s">
        <v>970</v>
      </c>
      <c r="C261" s="9" t="s">
        <v>971</v>
      </c>
      <c r="D261" s="9" t="s">
        <v>972</v>
      </c>
      <c r="E261" s="9" t="s">
        <v>973</v>
      </c>
      <c r="F261" s="9">
        <v>6</v>
      </c>
      <c r="G261" s="9" t="s">
        <v>913</v>
      </c>
      <c r="H261" s="9">
        <v>23</v>
      </c>
      <c r="I261" s="13">
        <f t="shared" si="60"/>
        <v>138</v>
      </c>
      <c r="J261" s="13">
        <f t="shared" si="61"/>
        <v>128</v>
      </c>
      <c r="K261" s="13">
        <f t="shared" si="62"/>
        <v>128</v>
      </c>
      <c r="L261" s="13">
        <f t="shared" si="63"/>
        <v>46</v>
      </c>
      <c r="M261" s="13">
        <f t="shared" si="64"/>
        <v>2</v>
      </c>
      <c r="N261" s="13" t="b">
        <f t="shared" si="65"/>
        <v>1</v>
      </c>
      <c r="O261" s="13" t="b">
        <f t="shared" si="66"/>
        <v>1</v>
      </c>
      <c r="P261" s="13" t="str">
        <f t="shared" si="67"/>
        <v>C004410-bars</v>
      </c>
      <c r="Q261" s="14" t="str">
        <f t="shared" si="68"/>
        <v>T051656
6</v>
      </c>
      <c r="R261" s="13" t="b">
        <f t="shared" si="69"/>
        <v>0</v>
      </c>
      <c r="S261" s="13" t="str">
        <f t="shared" si="70"/>
        <v>20</v>
      </c>
      <c r="T261" s="13" t="str">
        <f t="shared" si="71"/>
        <v>BARS</v>
      </c>
      <c r="U261" s="13" t="str">
        <f t="shared" si="72"/>
        <v>bars</v>
      </c>
      <c r="V261" s="13">
        <f t="shared" si="73"/>
        <v>2</v>
      </c>
      <c r="W261" s="13" t="str">
        <f t="shared" si="74"/>
        <v>T051656 6</v>
      </c>
      <c r="X261" s="13" t="str">
        <f t="shared" si="75"/>
        <v>S55663</v>
      </c>
      <c r="Y261" s="13" t="str">
        <f t="shared" si="76"/>
        <v>T05</v>
      </c>
      <c r="Z261" s="13" t="str">
        <f t="shared" si="77"/>
        <v>656</v>
      </c>
      <c r="AA261" s="13">
        <f t="shared" si="78"/>
        <v>2</v>
      </c>
      <c r="AB261" s="13">
        <f t="shared" si="79"/>
        <v>4</v>
      </c>
      <c r="AC261" s="13"/>
      <c r="AD261" s="13"/>
      <c r="AE261" s="13"/>
    </row>
    <row r="262" spans="1:31" ht="30" x14ac:dyDescent="0.25">
      <c r="A262" s="9" t="s">
        <v>100</v>
      </c>
      <c r="B262" s="9" t="s">
        <v>974</v>
      </c>
      <c r="C262" s="9" t="s">
        <v>975</v>
      </c>
      <c r="D262" s="9" t="s">
        <v>976</v>
      </c>
      <c r="E262" s="9" t="s">
        <v>391</v>
      </c>
      <c r="F262" s="9">
        <v>10</v>
      </c>
      <c r="G262" s="9" t="s">
        <v>14</v>
      </c>
      <c r="H262" s="9">
        <v>53</v>
      </c>
      <c r="I262" s="13">
        <f t="shared" ref="I262:I325" si="80">$F262*H262</f>
        <v>530</v>
      </c>
      <c r="J262" s="13">
        <f t="shared" ref="J262:J325" si="81">_xlfn.RANK.AVG(I262,$I$5:$I$550000)</f>
        <v>1</v>
      </c>
      <c r="K262" s="13">
        <f t="shared" ref="K262:K325" si="82">_xlfn.RANK.EQ(I262,$I$5:$I$550000)</f>
        <v>1</v>
      </c>
      <c r="L262" s="13">
        <f t="shared" ref="L262:L325" si="83">SUMIF(G262:G674,G262,H262:H757)</f>
        <v>1652.5</v>
      </c>
      <c r="M262" s="13">
        <f t="shared" ref="M262:M325" si="84">COUNTIF(G262:G674,G262)</f>
        <v>84</v>
      </c>
      <c r="N262" s="13" t="b">
        <f t="shared" ref="N262:N325" si="85">AND(H262&gt;20,H262&lt;70)</f>
        <v>1</v>
      </c>
      <c r="O262" s="13" t="b">
        <f t="shared" ref="O262:O325" si="86">OR(H262&gt;10,H262&lt;60)</f>
        <v>1</v>
      </c>
      <c r="P262" s="13" t="str">
        <f t="shared" ref="P262:P325" si="87">_xlfn.CONCAT(B262,"-",G262)</f>
        <v>C007610-ct</v>
      </c>
      <c r="Q262" s="14" t="str">
        <f t="shared" ref="Q262:Q325" si="88">_xlfn.CONCAT(C262,CHAR(10),F262)</f>
        <v>T078656
10</v>
      </c>
      <c r="R262" s="13" t="b">
        <f t="shared" ref="R262:R325" si="89">EXACT(D262,E262)</f>
        <v>0</v>
      </c>
      <c r="S262" s="13" t="str">
        <f t="shared" ref="S262:S325" si="90">MID(D262,4,2)</f>
        <v>11</v>
      </c>
      <c r="T262" s="13" t="str">
        <f t="shared" ref="T262:T325" si="91">UPPER(G262)</f>
        <v>CT</v>
      </c>
      <c r="U262" s="13" t="str">
        <f t="shared" ref="U262:U325" si="92">LOWER(G262)</f>
        <v>ct</v>
      </c>
      <c r="V262" s="13">
        <f t="shared" ref="V262:V325" si="93">SEARCH("0",E262)</f>
        <v>2</v>
      </c>
      <c r="W262" s="13" t="str">
        <f t="shared" ref="W262:W325" si="94">_xlfn.TEXTJOIN(" ",TRUE,C262,F262)</f>
        <v>T078656 10</v>
      </c>
      <c r="X262" s="13" t="str">
        <f t="shared" ref="X262:X325" si="95">SUBSTITUTE(E262,"0","5")</f>
        <v>S55485</v>
      </c>
      <c r="Y262" s="13" t="str">
        <f t="shared" ref="Y262:Y325" si="96">LEFT(C262,3)</f>
        <v>T07</v>
      </c>
      <c r="Z262" s="13" t="str">
        <f t="shared" ref="Z262:Z325" si="97">RIGHT(C262,3)</f>
        <v>656</v>
      </c>
      <c r="AA262" s="13">
        <f t="shared" ref="AA262:AA325" si="98">FIND("0",A262)</f>
        <v>2</v>
      </c>
      <c r="AB262" s="13">
        <f t="shared" ref="AB262:AB325" si="99">LEN(G262)</f>
        <v>2</v>
      </c>
      <c r="AC262" s="13"/>
      <c r="AD262" s="13"/>
      <c r="AE262" s="13"/>
    </row>
    <row r="263" spans="1:31" ht="30" x14ac:dyDescent="0.25">
      <c r="A263" s="9" t="s">
        <v>31</v>
      </c>
      <c r="B263" s="9" t="s">
        <v>977</v>
      </c>
      <c r="C263" s="9" t="s">
        <v>978</v>
      </c>
      <c r="D263" s="9" t="s">
        <v>149</v>
      </c>
      <c r="E263" s="9" t="s">
        <v>885</v>
      </c>
      <c r="F263" s="9">
        <v>10</v>
      </c>
      <c r="G263" s="9" t="s">
        <v>68</v>
      </c>
      <c r="H263" s="9">
        <v>17</v>
      </c>
      <c r="I263" s="13">
        <f t="shared" si="80"/>
        <v>170</v>
      </c>
      <c r="J263" s="13">
        <f t="shared" si="81"/>
        <v>74</v>
      </c>
      <c r="K263" s="13">
        <f t="shared" si="82"/>
        <v>72</v>
      </c>
      <c r="L263" s="13">
        <f t="shared" si="83"/>
        <v>463</v>
      </c>
      <c r="M263" s="13">
        <f t="shared" si="84"/>
        <v>27</v>
      </c>
      <c r="N263" s="13" t="b">
        <f t="shared" si="85"/>
        <v>0</v>
      </c>
      <c r="O263" s="13" t="b">
        <f t="shared" si="86"/>
        <v>1</v>
      </c>
      <c r="P263" s="13" t="str">
        <f t="shared" si="87"/>
        <v>C002237-bottles</v>
      </c>
      <c r="Q263" s="14" t="str">
        <f t="shared" si="88"/>
        <v>T010822
10</v>
      </c>
      <c r="R263" s="13" t="b">
        <f t="shared" si="89"/>
        <v>0</v>
      </c>
      <c r="S263" s="13" t="str">
        <f t="shared" si="90"/>
        <v>07</v>
      </c>
      <c r="T263" s="13" t="str">
        <f t="shared" si="91"/>
        <v>BOTTLES</v>
      </c>
      <c r="U263" s="13" t="str">
        <f t="shared" si="92"/>
        <v>bottles</v>
      </c>
      <c r="V263" s="13">
        <f t="shared" si="93"/>
        <v>2</v>
      </c>
      <c r="W263" s="13" t="str">
        <f t="shared" si="94"/>
        <v>T010822 10</v>
      </c>
      <c r="X263" s="13" t="str">
        <f t="shared" si="95"/>
        <v>S55336</v>
      </c>
      <c r="Y263" s="13" t="str">
        <f t="shared" si="96"/>
        <v>T01</v>
      </c>
      <c r="Z263" s="13" t="str">
        <f t="shared" si="97"/>
        <v>822</v>
      </c>
      <c r="AA263" s="13">
        <f t="shared" si="98"/>
        <v>2</v>
      </c>
      <c r="AB263" s="13">
        <f t="shared" si="99"/>
        <v>7</v>
      </c>
      <c r="AC263" s="13"/>
      <c r="AD263" s="13"/>
      <c r="AE263" s="13"/>
    </row>
    <row r="264" spans="1:31" ht="30" x14ac:dyDescent="0.25">
      <c r="A264" s="9" t="s">
        <v>218</v>
      </c>
      <c r="B264" s="9" t="s">
        <v>979</v>
      </c>
      <c r="C264" s="9" t="s">
        <v>980</v>
      </c>
      <c r="D264" s="9" t="s">
        <v>653</v>
      </c>
      <c r="E264" s="9" t="s">
        <v>981</v>
      </c>
      <c r="F264" s="9">
        <v>5</v>
      </c>
      <c r="G264" s="9" t="s">
        <v>115</v>
      </c>
      <c r="H264" s="9">
        <v>21</v>
      </c>
      <c r="I264" s="13">
        <f t="shared" si="80"/>
        <v>105</v>
      </c>
      <c r="J264" s="13">
        <f t="shared" si="81"/>
        <v>202.5</v>
      </c>
      <c r="K264" s="13">
        <f t="shared" si="82"/>
        <v>199</v>
      </c>
      <c r="L264" s="13">
        <f t="shared" si="83"/>
        <v>252</v>
      </c>
      <c r="M264" s="13">
        <f t="shared" si="84"/>
        <v>15</v>
      </c>
      <c r="N264" s="13" t="b">
        <f t="shared" si="85"/>
        <v>1</v>
      </c>
      <c r="O264" s="13" t="b">
        <f t="shared" si="86"/>
        <v>1</v>
      </c>
      <c r="P264" s="13" t="str">
        <f t="shared" si="87"/>
        <v>C009152-bags</v>
      </c>
      <c r="Q264" s="14" t="str">
        <f t="shared" si="88"/>
        <v>T097386
5</v>
      </c>
      <c r="R264" s="13" t="b">
        <f t="shared" si="89"/>
        <v>0</v>
      </c>
      <c r="S264" s="13" t="str">
        <f t="shared" si="90"/>
        <v>25</v>
      </c>
      <c r="T264" s="13" t="str">
        <f t="shared" si="91"/>
        <v>BAGS</v>
      </c>
      <c r="U264" s="13" t="str">
        <f t="shared" si="92"/>
        <v>bags</v>
      </c>
      <c r="V264" s="13">
        <f t="shared" si="93"/>
        <v>2</v>
      </c>
      <c r="W264" s="13" t="str">
        <f t="shared" si="94"/>
        <v>T097386 5</v>
      </c>
      <c r="X264" s="13" t="str">
        <f t="shared" si="95"/>
        <v>S55298</v>
      </c>
      <c r="Y264" s="13" t="str">
        <f t="shared" si="96"/>
        <v>T09</v>
      </c>
      <c r="Z264" s="13" t="str">
        <f t="shared" si="97"/>
        <v>386</v>
      </c>
      <c r="AA264" s="13">
        <f t="shared" si="98"/>
        <v>2</v>
      </c>
      <c r="AB264" s="13">
        <f t="shared" si="99"/>
        <v>4</v>
      </c>
      <c r="AC264" s="13"/>
      <c r="AD264" s="13"/>
      <c r="AE264" s="13"/>
    </row>
    <row r="265" spans="1:31" ht="30" x14ac:dyDescent="0.25">
      <c r="A265" s="9" t="s">
        <v>134</v>
      </c>
      <c r="B265" s="9" t="s">
        <v>982</v>
      </c>
      <c r="C265" s="9" t="s">
        <v>983</v>
      </c>
      <c r="D265" s="9" t="s">
        <v>984</v>
      </c>
      <c r="E265" s="9" t="s">
        <v>985</v>
      </c>
      <c r="F265" s="9">
        <v>10</v>
      </c>
      <c r="G265" s="9" t="s">
        <v>14</v>
      </c>
      <c r="H265" s="9">
        <v>17</v>
      </c>
      <c r="I265" s="13">
        <f t="shared" si="80"/>
        <v>170</v>
      </c>
      <c r="J265" s="13">
        <f t="shared" si="81"/>
        <v>74</v>
      </c>
      <c r="K265" s="13">
        <f t="shared" si="82"/>
        <v>72</v>
      </c>
      <c r="L265" s="13">
        <f t="shared" si="83"/>
        <v>1599.5</v>
      </c>
      <c r="M265" s="13">
        <f t="shared" si="84"/>
        <v>83</v>
      </c>
      <c r="N265" s="13" t="b">
        <f t="shared" si="85"/>
        <v>0</v>
      </c>
      <c r="O265" s="13" t="b">
        <f t="shared" si="86"/>
        <v>1</v>
      </c>
      <c r="P265" s="13" t="str">
        <f t="shared" si="87"/>
        <v>C007931-ct</v>
      </c>
      <c r="Q265" s="14" t="str">
        <f t="shared" si="88"/>
        <v>T010481
10</v>
      </c>
      <c r="R265" s="13" t="b">
        <f t="shared" si="89"/>
        <v>0</v>
      </c>
      <c r="S265" s="13" t="str">
        <f t="shared" si="90"/>
        <v>22</v>
      </c>
      <c r="T265" s="13" t="str">
        <f t="shared" si="91"/>
        <v>CT</v>
      </c>
      <c r="U265" s="13" t="str">
        <f t="shared" si="92"/>
        <v>ct</v>
      </c>
      <c r="V265" s="13">
        <f t="shared" si="93"/>
        <v>2</v>
      </c>
      <c r="W265" s="13" t="str">
        <f t="shared" si="94"/>
        <v>T010481 10</v>
      </c>
      <c r="X265" s="13" t="str">
        <f t="shared" si="95"/>
        <v>S55384</v>
      </c>
      <c r="Y265" s="13" t="str">
        <f t="shared" si="96"/>
        <v>T01</v>
      </c>
      <c r="Z265" s="13" t="str">
        <f t="shared" si="97"/>
        <v>481</v>
      </c>
      <c r="AA265" s="13">
        <f t="shared" si="98"/>
        <v>2</v>
      </c>
      <c r="AB265" s="13">
        <f t="shared" si="99"/>
        <v>2</v>
      </c>
      <c r="AC265" s="13"/>
      <c r="AD265" s="13"/>
      <c r="AE265" s="13"/>
    </row>
    <row r="266" spans="1:31" ht="30" x14ac:dyDescent="0.25">
      <c r="A266" s="9" t="s">
        <v>196</v>
      </c>
      <c r="B266" s="9" t="s">
        <v>986</v>
      </c>
      <c r="C266" s="9" t="s">
        <v>987</v>
      </c>
      <c r="D266" s="9" t="s">
        <v>988</v>
      </c>
      <c r="E266" s="9" t="s">
        <v>516</v>
      </c>
      <c r="F266" s="9">
        <v>1</v>
      </c>
      <c r="G266" s="9" t="s">
        <v>14</v>
      </c>
      <c r="H266" s="9">
        <v>17</v>
      </c>
      <c r="I266" s="13">
        <f t="shared" si="80"/>
        <v>17</v>
      </c>
      <c r="J266" s="13">
        <f t="shared" si="81"/>
        <v>468.5</v>
      </c>
      <c r="K266" s="13">
        <f t="shared" si="82"/>
        <v>468</v>
      </c>
      <c r="L266" s="13">
        <f t="shared" si="83"/>
        <v>1582.5</v>
      </c>
      <c r="M266" s="13">
        <f t="shared" si="84"/>
        <v>82</v>
      </c>
      <c r="N266" s="13" t="b">
        <f t="shared" si="85"/>
        <v>0</v>
      </c>
      <c r="O266" s="13" t="b">
        <f t="shared" si="86"/>
        <v>1</v>
      </c>
      <c r="P266" s="13" t="str">
        <f t="shared" si="87"/>
        <v>C007309-ct</v>
      </c>
      <c r="Q266" s="14" t="str">
        <f t="shared" si="88"/>
        <v>T059228
1</v>
      </c>
      <c r="R266" s="13" t="b">
        <f t="shared" si="89"/>
        <v>0</v>
      </c>
      <c r="S266" s="13" t="str">
        <f t="shared" si="90"/>
        <v>14</v>
      </c>
      <c r="T266" s="13" t="str">
        <f t="shared" si="91"/>
        <v>CT</v>
      </c>
      <c r="U266" s="13" t="str">
        <f t="shared" si="92"/>
        <v>ct</v>
      </c>
      <c r="V266" s="13">
        <f t="shared" si="93"/>
        <v>2</v>
      </c>
      <c r="W266" s="13" t="str">
        <f t="shared" si="94"/>
        <v>T059228 1</v>
      </c>
      <c r="X266" s="13" t="str">
        <f t="shared" si="95"/>
        <v>S55123</v>
      </c>
      <c r="Y266" s="13" t="str">
        <f t="shared" si="96"/>
        <v>T05</v>
      </c>
      <c r="Z266" s="13" t="str">
        <f t="shared" si="97"/>
        <v>228</v>
      </c>
      <c r="AA266" s="13">
        <f t="shared" si="98"/>
        <v>2</v>
      </c>
      <c r="AB266" s="13">
        <f t="shared" si="99"/>
        <v>2</v>
      </c>
      <c r="AC266" s="13"/>
      <c r="AD266" s="13"/>
      <c r="AE266" s="13"/>
    </row>
    <row r="267" spans="1:31" ht="30" x14ac:dyDescent="0.25">
      <c r="A267" s="9" t="s">
        <v>125</v>
      </c>
      <c r="B267" s="9" t="s">
        <v>989</v>
      </c>
      <c r="C267" s="9" t="s">
        <v>990</v>
      </c>
      <c r="D267" s="9" t="s">
        <v>158</v>
      </c>
      <c r="E267" s="9" t="s">
        <v>991</v>
      </c>
      <c r="F267" s="9">
        <v>7</v>
      </c>
      <c r="G267" s="9" t="s">
        <v>68</v>
      </c>
      <c r="H267" s="9">
        <v>17</v>
      </c>
      <c r="I267" s="13">
        <f t="shared" si="80"/>
        <v>119</v>
      </c>
      <c r="J267" s="13">
        <f t="shared" si="81"/>
        <v>179.5</v>
      </c>
      <c r="K267" s="13">
        <f t="shared" si="82"/>
        <v>178</v>
      </c>
      <c r="L267" s="13">
        <f t="shared" si="83"/>
        <v>446</v>
      </c>
      <c r="M267" s="13">
        <f t="shared" si="84"/>
        <v>26</v>
      </c>
      <c r="N267" s="13" t="b">
        <f t="shared" si="85"/>
        <v>0</v>
      </c>
      <c r="O267" s="13" t="b">
        <f t="shared" si="86"/>
        <v>1</v>
      </c>
      <c r="P267" s="13" t="str">
        <f t="shared" si="87"/>
        <v>C003306-bottles</v>
      </c>
      <c r="Q267" s="14" t="str">
        <f t="shared" si="88"/>
        <v>T064295
7</v>
      </c>
      <c r="R267" s="13" t="b">
        <f t="shared" si="89"/>
        <v>0</v>
      </c>
      <c r="S267" s="13" t="str">
        <f t="shared" si="90"/>
        <v>07</v>
      </c>
      <c r="T267" s="13" t="str">
        <f t="shared" si="91"/>
        <v>BOTTLES</v>
      </c>
      <c r="U267" s="13" t="str">
        <f t="shared" si="92"/>
        <v>bottles</v>
      </c>
      <c r="V267" s="13">
        <f t="shared" si="93"/>
        <v>2</v>
      </c>
      <c r="W267" s="13" t="str">
        <f t="shared" si="94"/>
        <v>T064295 7</v>
      </c>
      <c r="X267" s="13" t="str">
        <f t="shared" si="95"/>
        <v>S55335</v>
      </c>
      <c r="Y267" s="13" t="str">
        <f t="shared" si="96"/>
        <v>T06</v>
      </c>
      <c r="Z267" s="13" t="str">
        <f t="shared" si="97"/>
        <v>295</v>
      </c>
      <c r="AA267" s="13">
        <f t="shared" si="98"/>
        <v>2</v>
      </c>
      <c r="AB267" s="13">
        <f t="shared" si="99"/>
        <v>7</v>
      </c>
      <c r="AC267" s="13"/>
      <c r="AD267" s="13"/>
      <c r="AE267" s="13"/>
    </row>
    <row r="268" spans="1:31" ht="30" x14ac:dyDescent="0.25">
      <c r="A268" s="9" t="s">
        <v>69</v>
      </c>
      <c r="B268" s="9" t="s">
        <v>992</v>
      </c>
      <c r="C268" s="9" t="s">
        <v>993</v>
      </c>
      <c r="D268" s="9" t="s">
        <v>375</v>
      </c>
      <c r="E268" s="9" t="s">
        <v>716</v>
      </c>
      <c r="F268" s="9">
        <v>5</v>
      </c>
      <c r="G268" s="9" t="s">
        <v>68</v>
      </c>
      <c r="H268" s="9">
        <v>17.5</v>
      </c>
      <c r="I268" s="13">
        <f t="shared" si="80"/>
        <v>87.5</v>
      </c>
      <c r="J268" s="13">
        <f t="shared" si="81"/>
        <v>255.5</v>
      </c>
      <c r="K268" s="13">
        <f t="shared" si="82"/>
        <v>255</v>
      </c>
      <c r="L268" s="13">
        <f t="shared" si="83"/>
        <v>429</v>
      </c>
      <c r="M268" s="13">
        <f t="shared" si="84"/>
        <v>25</v>
      </c>
      <c r="N268" s="13" t="b">
        <f t="shared" si="85"/>
        <v>0</v>
      </c>
      <c r="O268" s="13" t="b">
        <f t="shared" si="86"/>
        <v>1</v>
      </c>
      <c r="P268" s="13" t="str">
        <f t="shared" si="87"/>
        <v>C000036-bottles</v>
      </c>
      <c r="Q268" s="14" t="str">
        <f t="shared" si="88"/>
        <v>T049297
5</v>
      </c>
      <c r="R268" s="13" t="b">
        <f t="shared" si="89"/>
        <v>0</v>
      </c>
      <c r="S268" s="13" t="str">
        <f t="shared" si="90"/>
        <v>07</v>
      </c>
      <c r="T268" s="13" t="str">
        <f t="shared" si="91"/>
        <v>BOTTLES</v>
      </c>
      <c r="U268" s="13" t="str">
        <f t="shared" si="92"/>
        <v>bottles</v>
      </c>
      <c r="V268" s="13">
        <f t="shared" si="93"/>
        <v>2</v>
      </c>
      <c r="W268" s="13" t="str">
        <f t="shared" si="94"/>
        <v>T049297 5</v>
      </c>
      <c r="X268" s="13" t="str">
        <f t="shared" si="95"/>
        <v>S55127</v>
      </c>
      <c r="Y268" s="13" t="str">
        <f t="shared" si="96"/>
        <v>T04</v>
      </c>
      <c r="Z268" s="13" t="str">
        <f t="shared" si="97"/>
        <v>297</v>
      </c>
      <c r="AA268" s="13">
        <f t="shared" si="98"/>
        <v>2</v>
      </c>
      <c r="AB268" s="13">
        <f t="shared" si="99"/>
        <v>7</v>
      </c>
      <c r="AC268" s="13"/>
      <c r="AD268" s="13"/>
      <c r="AE268" s="13"/>
    </row>
    <row r="269" spans="1:31" ht="30" x14ac:dyDescent="0.25">
      <c r="A269" s="9" t="s">
        <v>69</v>
      </c>
      <c r="B269" s="9" t="s">
        <v>994</v>
      </c>
      <c r="C269" s="9" t="s">
        <v>995</v>
      </c>
      <c r="D269" s="9" t="s">
        <v>34</v>
      </c>
      <c r="E269" s="9" t="s">
        <v>996</v>
      </c>
      <c r="F269" s="9">
        <v>11</v>
      </c>
      <c r="G269" s="9" t="s">
        <v>36</v>
      </c>
      <c r="H269" s="9">
        <v>8</v>
      </c>
      <c r="I269" s="13">
        <f t="shared" si="80"/>
        <v>88</v>
      </c>
      <c r="J269" s="13">
        <f t="shared" si="81"/>
        <v>253</v>
      </c>
      <c r="K269" s="13">
        <f t="shared" si="82"/>
        <v>252</v>
      </c>
      <c r="L269" s="13">
        <f t="shared" si="83"/>
        <v>995</v>
      </c>
      <c r="M269" s="13">
        <f t="shared" si="84"/>
        <v>59</v>
      </c>
      <c r="N269" s="13" t="b">
        <f t="shared" si="85"/>
        <v>0</v>
      </c>
      <c r="O269" s="13" t="b">
        <f t="shared" si="86"/>
        <v>1</v>
      </c>
      <c r="P269" s="13" t="str">
        <f t="shared" si="87"/>
        <v>C008766-cans</v>
      </c>
      <c r="Q269" s="14" t="str">
        <f t="shared" si="88"/>
        <v>T03464
11</v>
      </c>
      <c r="R269" s="13" t="b">
        <f t="shared" si="89"/>
        <v>0</v>
      </c>
      <c r="S269" s="13" t="str">
        <f t="shared" si="90"/>
        <v>05</v>
      </c>
      <c r="T269" s="13" t="str">
        <f t="shared" si="91"/>
        <v>CANS</v>
      </c>
      <c r="U269" s="13" t="str">
        <f t="shared" si="92"/>
        <v>cans</v>
      </c>
      <c r="V269" s="13">
        <f t="shared" si="93"/>
        <v>2</v>
      </c>
      <c r="W269" s="13" t="str">
        <f t="shared" si="94"/>
        <v>T03464 11</v>
      </c>
      <c r="X269" s="13" t="str">
        <f t="shared" si="95"/>
        <v>S55548</v>
      </c>
      <c r="Y269" s="13" t="str">
        <f t="shared" si="96"/>
        <v>T03</v>
      </c>
      <c r="Z269" s="13" t="str">
        <f t="shared" si="97"/>
        <v>464</v>
      </c>
      <c r="AA269" s="13">
        <f t="shared" si="98"/>
        <v>2</v>
      </c>
      <c r="AB269" s="13">
        <f t="shared" si="99"/>
        <v>4</v>
      </c>
      <c r="AC269" s="13"/>
      <c r="AD269" s="13"/>
      <c r="AE269" s="13"/>
    </row>
    <row r="270" spans="1:31" ht="30" x14ac:dyDescent="0.25">
      <c r="A270" s="9" t="s">
        <v>9</v>
      </c>
      <c r="B270" s="9" t="s">
        <v>997</v>
      </c>
      <c r="C270" s="9" t="s">
        <v>998</v>
      </c>
      <c r="D270" s="9" t="s">
        <v>999</v>
      </c>
      <c r="E270" s="9" t="s">
        <v>1000</v>
      </c>
      <c r="F270" s="9">
        <v>8</v>
      </c>
      <c r="G270" s="9" t="s">
        <v>416</v>
      </c>
      <c r="H270" s="9">
        <v>12.5</v>
      </c>
      <c r="I270" s="13">
        <f t="shared" si="80"/>
        <v>100</v>
      </c>
      <c r="J270" s="13">
        <f t="shared" si="81"/>
        <v>214.5</v>
      </c>
      <c r="K270" s="13">
        <f t="shared" si="82"/>
        <v>212</v>
      </c>
      <c r="L270" s="13">
        <f t="shared" si="83"/>
        <v>104.5</v>
      </c>
      <c r="M270" s="13">
        <f t="shared" si="84"/>
        <v>7</v>
      </c>
      <c r="N270" s="13" t="b">
        <f t="shared" si="85"/>
        <v>0</v>
      </c>
      <c r="O270" s="13" t="b">
        <f t="shared" si="86"/>
        <v>1</v>
      </c>
      <c r="P270" s="13" t="str">
        <f t="shared" si="87"/>
        <v>C008798-pk</v>
      </c>
      <c r="Q270" s="14" t="str">
        <f t="shared" si="88"/>
        <v>T060606
8</v>
      </c>
      <c r="R270" s="13" t="b">
        <f t="shared" si="89"/>
        <v>0</v>
      </c>
      <c r="S270" s="13" t="str">
        <f t="shared" si="90"/>
        <v>12</v>
      </c>
      <c r="T270" s="13" t="str">
        <f t="shared" si="91"/>
        <v>PK</v>
      </c>
      <c r="U270" s="13" t="str">
        <f t="shared" si="92"/>
        <v>pk</v>
      </c>
      <c r="V270" s="13">
        <f t="shared" si="93"/>
        <v>2</v>
      </c>
      <c r="W270" s="13" t="str">
        <f t="shared" si="94"/>
        <v>T060606 8</v>
      </c>
      <c r="X270" s="13" t="str">
        <f t="shared" si="95"/>
        <v>S55465</v>
      </c>
      <c r="Y270" s="13" t="str">
        <f t="shared" si="96"/>
        <v>T06</v>
      </c>
      <c r="Z270" s="13" t="str">
        <f t="shared" si="97"/>
        <v>606</v>
      </c>
      <c r="AA270" s="13">
        <f t="shared" si="98"/>
        <v>2</v>
      </c>
      <c r="AB270" s="13">
        <f t="shared" si="99"/>
        <v>2</v>
      </c>
      <c r="AC270" s="13"/>
      <c r="AD270" s="13"/>
      <c r="AE270" s="13"/>
    </row>
    <row r="271" spans="1:31" ht="30" x14ac:dyDescent="0.25">
      <c r="A271" s="9" t="s">
        <v>368</v>
      </c>
      <c r="B271" s="9" t="s">
        <v>1001</v>
      </c>
      <c r="C271" s="9" t="s">
        <v>1002</v>
      </c>
      <c r="D271" s="9" t="s">
        <v>1003</v>
      </c>
      <c r="E271" s="9" t="s">
        <v>200</v>
      </c>
      <c r="F271" s="9">
        <v>6</v>
      </c>
      <c r="G271" s="9" t="s">
        <v>36</v>
      </c>
      <c r="H271" s="9">
        <v>8</v>
      </c>
      <c r="I271" s="13">
        <f t="shared" si="80"/>
        <v>48</v>
      </c>
      <c r="J271" s="13">
        <f t="shared" si="81"/>
        <v>382.5</v>
      </c>
      <c r="K271" s="13">
        <f t="shared" si="82"/>
        <v>379</v>
      </c>
      <c r="L271" s="13">
        <f t="shared" si="83"/>
        <v>987</v>
      </c>
      <c r="M271" s="13">
        <f t="shared" si="84"/>
        <v>58</v>
      </c>
      <c r="N271" s="13" t="b">
        <f t="shared" si="85"/>
        <v>0</v>
      </c>
      <c r="O271" s="13" t="b">
        <f t="shared" si="86"/>
        <v>1</v>
      </c>
      <c r="P271" s="13" t="str">
        <f t="shared" si="87"/>
        <v>C006415-cans</v>
      </c>
      <c r="Q271" s="14" t="str">
        <f t="shared" si="88"/>
        <v>T057106
6</v>
      </c>
      <c r="R271" s="13" t="b">
        <f t="shared" si="89"/>
        <v>0</v>
      </c>
      <c r="S271" s="13" t="str">
        <f t="shared" si="90"/>
        <v>04</v>
      </c>
      <c r="T271" s="13" t="str">
        <f t="shared" si="91"/>
        <v>CANS</v>
      </c>
      <c r="U271" s="13" t="str">
        <f t="shared" si="92"/>
        <v>cans</v>
      </c>
      <c r="V271" s="13">
        <f t="shared" si="93"/>
        <v>2</v>
      </c>
      <c r="W271" s="13" t="str">
        <f t="shared" si="94"/>
        <v>T057106 6</v>
      </c>
      <c r="X271" s="13" t="str">
        <f t="shared" si="95"/>
        <v>S5537</v>
      </c>
      <c r="Y271" s="13" t="str">
        <f t="shared" si="96"/>
        <v>T05</v>
      </c>
      <c r="Z271" s="13" t="str">
        <f t="shared" si="97"/>
        <v>106</v>
      </c>
      <c r="AA271" s="13">
        <f t="shared" si="98"/>
        <v>2</v>
      </c>
      <c r="AB271" s="13">
        <f t="shared" si="99"/>
        <v>4</v>
      </c>
      <c r="AC271" s="13"/>
      <c r="AD271" s="13"/>
      <c r="AE271" s="13"/>
    </row>
    <row r="272" spans="1:31" ht="30" x14ac:dyDescent="0.25">
      <c r="A272" s="9" t="s">
        <v>233</v>
      </c>
      <c r="B272" s="9" t="s">
        <v>1004</v>
      </c>
      <c r="C272" s="9" t="s">
        <v>1005</v>
      </c>
      <c r="D272" s="9" t="s">
        <v>1006</v>
      </c>
      <c r="E272" s="9" t="s">
        <v>1007</v>
      </c>
      <c r="F272" s="9">
        <v>4</v>
      </c>
      <c r="G272" s="9" t="s">
        <v>115</v>
      </c>
      <c r="H272" s="9">
        <v>17</v>
      </c>
      <c r="I272" s="13">
        <f t="shared" si="80"/>
        <v>68</v>
      </c>
      <c r="J272" s="13">
        <f t="shared" si="81"/>
        <v>306</v>
      </c>
      <c r="K272" s="13">
        <f t="shared" si="82"/>
        <v>304</v>
      </c>
      <c r="L272" s="13">
        <f t="shared" si="83"/>
        <v>231</v>
      </c>
      <c r="M272" s="13">
        <f t="shared" si="84"/>
        <v>14</v>
      </c>
      <c r="N272" s="13" t="b">
        <f t="shared" si="85"/>
        <v>0</v>
      </c>
      <c r="O272" s="13" t="b">
        <f t="shared" si="86"/>
        <v>1</v>
      </c>
      <c r="P272" s="13" t="str">
        <f t="shared" si="87"/>
        <v>C007020-bags</v>
      </c>
      <c r="Q272" s="14" t="str">
        <f t="shared" si="88"/>
        <v>T052720
4</v>
      </c>
      <c r="R272" s="13" t="b">
        <f t="shared" si="89"/>
        <v>0</v>
      </c>
      <c r="S272" s="13" t="str">
        <f t="shared" si="90"/>
        <v>16</v>
      </c>
      <c r="T272" s="13" t="str">
        <f t="shared" si="91"/>
        <v>BAGS</v>
      </c>
      <c r="U272" s="13" t="str">
        <f t="shared" si="92"/>
        <v>bags</v>
      </c>
      <c r="V272" s="13">
        <f t="shared" si="93"/>
        <v>2</v>
      </c>
      <c r="W272" s="13" t="str">
        <f t="shared" si="94"/>
        <v>T052720 4</v>
      </c>
      <c r="X272" s="13" t="str">
        <f t="shared" si="95"/>
        <v>S55569</v>
      </c>
      <c r="Y272" s="13" t="str">
        <f t="shared" si="96"/>
        <v>T05</v>
      </c>
      <c r="Z272" s="13" t="str">
        <f t="shared" si="97"/>
        <v>720</v>
      </c>
      <c r="AA272" s="13">
        <f t="shared" si="98"/>
        <v>2</v>
      </c>
      <c r="AB272" s="13">
        <f t="shared" si="99"/>
        <v>4</v>
      </c>
      <c r="AC272" s="13"/>
      <c r="AD272" s="13"/>
      <c r="AE272" s="13"/>
    </row>
    <row r="273" spans="1:31" ht="30" x14ac:dyDescent="0.25">
      <c r="A273" s="9" t="s">
        <v>177</v>
      </c>
      <c r="B273" s="9" t="s">
        <v>1008</v>
      </c>
      <c r="C273" s="9" t="s">
        <v>1009</v>
      </c>
      <c r="D273" s="9" t="s">
        <v>498</v>
      </c>
      <c r="E273" s="9" t="s">
        <v>569</v>
      </c>
      <c r="F273" s="9">
        <v>3</v>
      </c>
      <c r="G273" s="9" t="s">
        <v>14</v>
      </c>
      <c r="H273" s="9">
        <v>21</v>
      </c>
      <c r="I273" s="13">
        <f t="shared" si="80"/>
        <v>63</v>
      </c>
      <c r="J273" s="13">
        <f t="shared" si="81"/>
        <v>333.5</v>
      </c>
      <c r="K273" s="13">
        <f t="shared" si="82"/>
        <v>333</v>
      </c>
      <c r="L273" s="13">
        <f t="shared" si="83"/>
        <v>1565.5</v>
      </c>
      <c r="M273" s="13">
        <f t="shared" si="84"/>
        <v>81</v>
      </c>
      <c r="N273" s="13" t="b">
        <f t="shared" si="85"/>
        <v>1</v>
      </c>
      <c r="O273" s="13" t="b">
        <f t="shared" si="86"/>
        <v>1</v>
      </c>
      <c r="P273" s="13" t="str">
        <f t="shared" si="87"/>
        <v>C002621-ct</v>
      </c>
      <c r="Q273" s="14" t="str">
        <f t="shared" si="88"/>
        <v>T045675
3</v>
      </c>
      <c r="R273" s="13" t="b">
        <f t="shared" si="89"/>
        <v>0</v>
      </c>
      <c r="S273" s="13" t="str">
        <f t="shared" si="90"/>
        <v>14</v>
      </c>
      <c r="T273" s="13" t="str">
        <f t="shared" si="91"/>
        <v>CT</v>
      </c>
      <c r="U273" s="13" t="str">
        <f t="shared" si="92"/>
        <v>ct</v>
      </c>
      <c r="V273" s="13">
        <f t="shared" si="93"/>
        <v>2</v>
      </c>
      <c r="W273" s="13" t="str">
        <f t="shared" si="94"/>
        <v>T045675 3</v>
      </c>
      <c r="X273" s="13" t="str">
        <f t="shared" si="95"/>
        <v>S55755</v>
      </c>
      <c r="Y273" s="13" t="str">
        <f t="shared" si="96"/>
        <v>T04</v>
      </c>
      <c r="Z273" s="13" t="str">
        <f t="shared" si="97"/>
        <v>675</v>
      </c>
      <c r="AA273" s="13">
        <f t="shared" si="98"/>
        <v>2</v>
      </c>
      <c r="AB273" s="13">
        <f t="shared" si="99"/>
        <v>2</v>
      </c>
      <c r="AC273" s="13"/>
      <c r="AD273" s="13"/>
      <c r="AE273" s="13"/>
    </row>
    <row r="274" spans="1:31" ht="30" x14ac:dyDescent="0.25">
      <c r="A274" s="9" t="s">
        <v>468</v>
      </c>
      <c r="B274" s="9" t="s">
        <v>1010</v>
      </c>
      <c r="C274" s="9" t="s">
        <v>1011</v>
      </c>
      <c r="D274" s="9" t="s">
        <v>77</v>
      </c>
      <c r="E274" s="9" t="s">
        <v>495</v>
      </c>
      <c r="F274" s="9">
        <v>7</v>
      </c>
      <c r="G274" s="9" t="s">
        <v>14</v>
      </c>
      <c r="H274" s="9">
        <v>14</v>
      </c>
      <c r="I274" s="13">
        <f t="shared" si="80"/>
        <v>98</v>
      </c>
      <c r="J274" s="13">
        <f t="shared" si="81"/>
        <v>221.5</v>
      </c>
      <c r="K274" s="13">
        <f t="shared" si="82"/>
        <v>221</v>
      </c>
      <c r="L274" s="13">
        <f t="shared" si="83"/>
        <v>1544.5</v>
      </c>
      <c r="M274" s="13">
        <f t="shared" si="84"/>
        <v>80</v>
      </c>
      <c r="N274" s="13" t="b">
        <f t="shared" si="85"/>
        <v>0</v>
      </c>
      <c r="O274" s="13" t="b">
        <f t="shared" si="86"/>
        <v>1</v>
      </c>
      <c r="P274" s="13" t="str">
        <f t="shared" si="87"/>
        <v>C004197-ct</v>
      </c>
      <c r="Q274" s="14" t="str">
        <f t="shared" si="88"/>
        <v>T073428
7</v>
      </c>
      <c r="R274" s="13" t="b">
        <f t="shared" si="89"/>
        <v>0</v>
      </c>
      <c r="S274" s="13" t="str">
        <f t="shared" si="90"/>
        <v>18</v>
      </c>
      <c r="T274" s="13" t="str">
        <f t="shared" si="91"/>
        <v>CT</v>
      </c>
      <c r="U274" s="13" t="str">
        <f t="shared" si="92"/>
        <v>ct</v>
      </c>
      <c r="V274" s="13">
        <f t="shared" si="93"/>
        <v>2</v>
      </c>
      <c r="W274" s="13" t="str">
        <f t="shared" si="94"/>
        <v>T073428 7</v>
      </c>
      <c r="X274" s="13" t="str">
        <f t="shared" si="95"/>
        <v>S55312</v>
      </c>
      <c r="Y274" s="13" t="str">
        <f t="shared" si="96"/>
        <v>T07</v>
      </c>
      <c r="Z274" s="13" t="str">
        <f t="shared" si="97"/>
        <v>428</v>
      </c>
      <c r="AA274" s="13">
        <f t="shared" si="98"/>
        <v>2</v>
      </c>
      <c r="AB274" s="13">
        <f t="shared" si="99"/>
        <v>2</v>
      </c>
      <c r="AC274" s="13"/>
      <c r="AD274" s="13"/>
      <c r="AE274" s="13"/>
    </row>
    <row r="275" spans="1:31" ht="30" x14ac:dyDescent="0.25">
      <c r="A275" s="9" t="s">
        <v>283</v>
      </c>
      <c r="B275" s="9" t="s">
        <v>1012</v>
      </c>
      <c r="C275" s="9" t="s">
        <v>1013</v>
      </c>
      <c r="D275" s="9" t="s">
        <v>1014</v>
      </c>
      <c r="E275" s="9" t="s">
        <v>1015</v>
      </c>
      <c r="F275" s="9">
        <v>4</v>
      </c>
      <c r="G275" s="9" t="s">
        <v>14</v>
      </c>
      <c r="H275" s="9">
        <v>16</v>
      </c>
      <c r="I275" s="13">
        <f t="shared" si="80"/>
        <v>64</v>
      </c>
      <c r="J275" s="13">
        <f t="shared" si="81"/>
        <v>328</v>
      </c>
      <c r="K275" s="13">
        <f t="shared" si="82"/>
        <v>324</v>
      </c>
      <c r="L275" s="13">
        <f t="shared" si="83"/>
        <v>1530.5</v>
      </c>
      <c r="M275" s="13">
        <f t="shared" si="84"/>
        <v>79</v>
      </c>
      <c r="N275" s="13" t="b">
        <f t="shared" si="85"/>
        <v>0</v>
      </c>
      <c r="O275" s="13" t="b">
        <f t="shared" si="86"/>
        <v>1</v>
      </c>
      <c r="P275" s="13" t="str">
        <f t="shared" si="87"/>
        <v>C006096-ct</v>
      </c>
      <c r="Q275" s="14" t="str">
        <f t="shared" si="88"/>
        <v>T058615
4</v>
      </c>
      <c r="R275" s="13" t="b">
        <f t="shared" si="89"/>
        <v>0</v>
      </c>
      <c r="S275" s="13" t="str">
        <f t="shared" si="90"/>
        <v>19</v>
      </c>
      <c r="T275" s="13" t="str">
        <f t="shared" si="91"/>
        <v>CT</v>
      </c>
      <c r="U275" s="13" t="str">
        <f t="shared" si="92"/>
        <v>ct</v>
      </c>
      <c r="V275" s="13">
        <f t="shared" si="93"/>
        <v>2</v>
      </c>
      <c r="W275" s="13" t="str">
        <f t="shared" si="94"/>
        <v>T058615 4</v>
      </c>
      <c r="X275" s="13" t="str">
        <f t="shared" si="95"/>
        <v>S55153</v>
      </c>
      <c r="Y275" s="13" t="str">
        <f t="shared" si="96"/>
        <v>T05</v>
      </c>
      <c r="Z275" s="13" t="str">
        <f t="shared" si="97"/>
        <v>615</v>
      </c>
      <c r="AA275" s="13">
        <f t="shared" si="98"/>
        <v>2</v>
      </c>
      <c r="AB275" s="13">
        <f t="shared" si="99"/>
        <v>2</v>
      </c>
      <c r="AC275" s="13"/>
      <c r="AD275" s="13"/>
      <c r="AE275" s="13"/>
    </row>
    <row r="276" spans="1:31" ht="30" x14ac:dyDescent="0.25">
      <c r="A276" s="9" t="s">
        <v>146</v>
      </c>
      <c r="B276" s="9" t="s">
        <v>1016</v>
      </c>
      <c r="C276" s="9" t="s">
        <v>1017</v>
      </c>
      <c r="D276" s="9" t="s">
        <v>587</v>
      </c>
      <c r="E276" s="9" t="s">
        <v>606</v>
      </c>
      <c r="F276" s="9">
        <v>5</v>
      </c>
      <c r="G276" s="9" t="s">
        <v>14</v>
      </c>
      <c r="H276" s="9">
        <v>22</v>
      </c>
      <c r="I276" s="13">
        <f t="shared" si="80"/>
        <v>110</v>
      </c>
      <c r="J276" s="13">
        <f t="shared" si="81"/>
        <v>194</v>
      </c>
      <c r="K276" s="13">
        <f t="shared" si="82"/>
        <v>192</v>
      </c>
      <c r="L276" s="13">
        <f t="shared" si="83"/>
        <v>1514.5</v>
      </c>
      <c r="M276" s="13">
        <f t="shared" si="84"/>
        <v>78</v>
      </c>
      <c r="N276" s="13" t="b">
        <f t="shared" si="85"/>
        <v>1</v>
      </c>
      <c r="O276" s="13" t="b">
        <f t="shared" si="86"/>
        <v>1</v>
      </c>
      <c r="P276" s="13" t="str">
        <f t="shared" si="87"/>
        <v>C004580-ct</v>
      </c>
      <c r="Q276" s="14" t="str">
        <f t="shared" si="88"/>
        <v>T076089
5</v>
      </c>
      <c r="R276" s="13" t="b">
        <f t="shared" si="89"/>
        <v>0</v>
      </c>
      <c r="S276" s="13" t="str">
        <f t="shared" si="90"/>
        <v>21</v>
      </c>
      <c r="T276" s="13" t="str">
        <f t="shared" si="91"/>
        <v>CT</v>
      </c>
      <c r="U276" s="13" t="str">
        <f t="shared" si="92"/>
        <v>ct</v>
      </c>
      <c r="V276" s="13">
        <f t="shared" si="93"/>
        <v>2</v>
      </c>
      <c r="W276" s="13" t="str">
        <f t="shared" si="94"/>
        <v>T076089 5</v>
      </c>
      <c r="X276" s="13" t="str">
        <f t="shared" si="95"/>
        <v>S55469</v>
      </c>
      <c r="Y276" s="13" t="str">
        <f t="shared" si="96"/>
        <v>T07</v>
      </c>
      <c r="Z276" s="13" t="str">
        <f t="shared" si="97"/>
        <v>089</v>
      </c>
      <c r="AA276" s="13">
        <f t="shared" si="98"/>
        <v>2</v>
      </c>
      <c r="AB276" s="13">
        <f t="shared" si="99"/>
        <v>2</v>
      </c>
      <c r="AC276" s="13"/>
      <c r="AD276" s="13"/>
      <c r="AE276" s="13"/>
    </row>
    <row r="277" spans="1:31" ht="30" x14ac:dyDescent="0.25">
      <c r="A277" s="9" t="s">
        <v>155</v>
      </c>
      <c r="B277" s="9" t="s">
        <v>1018</v>
      </c>
      <c r="C277" s="9" t="s">
        <v>1019</v>
      </c>
      <c r="D277" s="9" t="s">
        <v>199</v>
      </c>
      <c r="E277" s="9" t="s">
        <v>1020</v>
      </c>
      <c r="F277" s="9">
        <v>6</v>
      </c>
      <c r="G277" s="9" t="s">
        <v>14</v>
      </c>
      <c r="H277" s="9">
        <v>20</v>
      </c>
      <c r="I277" s="13">
        <f t="shared" si="80"/>
        <v>120</v>
      </c>
      <c r="J277" s="13">
        <f t="shared" si="81"/>
        <v>169.5</v>
      </c>
      <c r="K277" s="13">
        <f t="shared" si="82"/>
        <v>162</v>
      </c>
      <c r="L277" s="13">
        <f t="shared" si="83"/>
        <v>1492.5</v>
      </c>
      <c r="M277" s="13">
        <f t="shared" si="84"/>
        <v>77</v>
      </c>
      <c r="N277" s="13" t="b">
        <f t="shared" si="85"/>
        <v>0</v>
      </c>
      <c r="O277" s="13" t="b">
        <f t="shared" si="86"/>
        <v>1</v>
      </c>
      <c r="P277" s="13" t="str">
        <f t="shared" si="87"/>
        <v>C007301-ct</v>
      </c>
      <c r="Q277" s="14" t="str">
        <f t="shared" si="88"/>
        <v>T019203
6</v>
      </c>
      <c r="R277" s="13" t="b">
        <f t="shared" si="89"/>
        <v>0</v>
      </c>
      <c r="S277" s="13" t="str">
        <f t="shared" si="90"/>
        <v>24</v>
      </c>
      <c r="T277" s="13" t="str">
        <f t="shared" si="91"/>
        <v>CT</v>
      </c>
      <c r="U277" s="13" t="str">
        <f t="shared" si="92"/>
        <v>ct</v>
      </c>
      <c r="V277" s="13">
        <f t="shared" si="93"/>
        <v>2</v>
      </c>
      <c r="W277" s="13" t="str">
        <f t="shared" si="94"/>
        <v>T019203 6</v>
      </c>
      <c r="X277" s="13" t="str">
        <f t="shared" si="95"/>
        <v>S55314</v>
      </c>
      <c r="Y277" s="13" t="str">
        <f t="shared" si="96"/>
        <v>T01</v>
      </c>
      <c r="Z277" s="13" t="str">
        <f t="shared" si="97"/>
        <v>203</v>
      </c>
      <c r="AA277" s="13">
        <f t="shared" si="98"/>
        <v>2</v>
      </c>
      <c r="AB277" s="13">
        <f t="shared" si="99"/>
        <v>2</v>
      </c>
      <c r="AC277" s="13"/>
      <c r="AD277" s="13"/>
      <c r="AE277" s="13"/>
    </row>
    <row r="278" spans="1:31" ht="30" x14ac:dyDescent="0.25">
      <c r="A278" s="9" t="s">
        <v>100</v>
      </c>
      <c r="B278" s="9" t="s">
        <v>1021</v>
      </c>
      <c r="C278" s="9" t="s">
        <v>1022</v>
      </c>
      <c r="D278" s="9" t="s">
        <v>498</v>
      </c>
      <c r="E278" s="9" t="s">
        <v>1023</v>
      </c>
      <c r="F278" s="9">
        <v>3</v>
      </c>
      <c r="G278" s="9" t="s">
        <v>14</v>
      </c>
      <c r="H278" s="9">
        <v>21</v>
      </c>
      <c r="I278" s="13">
        <f t="shared" si="80"/>
        <v>63</v>
      </c>
      <c r="J278" s="13">
        <f t="shared" si="81"/>
        <v>333.5</v>
      </c>
      <c r="K278" s="13">
        <f t="shared" si="82"/>
        <v>333</v>
      </c>
      <c r="L278" s="13">
        <f t="shared" si="83"/>
        <v>1472.5</v>
      </c>
      <c r="M278" s="13">
        <f t="shared" si="84"/>
        <v>76</v>
      </c>
      <c r="N278" s="13" t="b">
        <f t="shared" si="85"/>
        <v>1</v>
      </c>
      <c r="O278" s="13" t="b">
        <f t="shared" si="86"/>
        <v>1</v>
      </c>
      <c r="P278" s="13" t="str">
        <f t="shared" si="87"/>
        <v>C006052-ct</v>
      </c>
      <c r="Q278" s="14" t="str">
        <f t="shared" si="88"/>
        <v>T045970
3</v>
      </c>
      <c r="R278" s="13" t="b">
        <f t="shared" si="89"/>
        <v>0</v>
      </c>
      <c r="S278" s="13" t="str">
        <f t="shared" si="90"/>
        <v>14</v>
      </c>
      <c r="T278" s="13" t="str">
        <f t="shared" si="91"/>
        <v>CT</v>
      </c>
      <c r="U278" s="13" t="str">
        <f t="shared" si="92"/>
        <v>ct</v>
      </c>
      <c r="V278" s="13">
        <f t="shared" si="93"/>
        <v>2</v>
      </c>
      <c r="W278" s="13" t="str">
        <f t="shared" si="94"/>
        <v>T045970 3</v>
      </c>
      <c r="X278" s="13" t="str">
        <f t="shared" si="95"/>
        <v>S5553</v>
      </c>
      <c r="Y278" s="13" t="str">
        <f t="shared" si="96"/>
        <v>T04</v>
      </c>
      <c r="Z278" s="13" t="str">
        <f t="shared" si="97"/>
        <v>970</v>
      </c>
      <c r="AA278" s="13">
        <f t="shared" si="98"/>
        <v>2</v>
      </c>
      <c r="AB278" s="13">
        <f t="shared" si="99"/>
        <v>2</v>
      </c>
      <c r="AC278" s="13"/>
      <c r="AD278" s="13"/>
      <c r="AE278" s="13"/>
    </row>
    <row r="279" spans="1:31" ht="30" x14ac:dyDescent="0.25">
      <c r="A279" s="9" t="s">
        <v>74</v>
      </c>
      <c r="B279" s="9" t="s">
        <v>1024</v>
      </c>
      <c r="C279" s="9" t="s">
        <v>1025</v>
      </c>
      <c r="D279" s="9" t="s">
        <v>203</v>
      </c>
      <c r="E279" s="9" t="s">
        <v>181</v>
      </c>
      <c r="F279" s="9">
        <v>4</v>
      </c>
      <c r="G279" s="9" t="s">
        <v>14</v>
      </c>
      <c r="H279" s="9">
        <v>9</v>
      </c>
      <c r="I279" s="13">
        <f t="shared" si="80"/>
        <v>36</v>
      </c>
      <c r="J279" s="13">
        <f t="shared" si="81"/>
        <v>417.5</v>
      </c>
      <c r="K279" s="13">
        <f t="shared" si="82"/>
        <v>416</v>
      </c>
      <c r="L279" s="13">
        <f t="shared" si="83"/>
        <v>1451.5</v>
      </c>
      <c r="M279" s="13">
        <f t="shared" si="84"/>
        <v>75</v>
      </c>
      <c r="N279" s="13" t="b">
        <f t="shared" si="85"/>
        <v>0</v>
      </c>
      <c r="O279" s="13" t="b">
        <f t="shared" si="86"/>
        <v>1</v>
      </c>
      <c r="P279" s="13" t="str">
        <f t="shared" si="87"/>
        <v>C003931-ct</v>
      </c>
      <c r="Q279" s="14" t="str">
        <f t="shared" si="88"/>
        <v>T017404
4</v>
      </c>
      <c r="R279" s="13" t="b">
        <f t="shared" si="89"/>
        <v>0</v>
      </c>
      <c r="S279" s="13" t="str">
        <f t="shared" si="90"/>
        <v>12</v>
      </c>
      <c r="T279" s="13" t="str">
        <f t="shared" si="91"/>
        <v>CT</v>
      </c>
      <c r="U279" s="13" t="str">
        <f t="shared" si="92"/>
        <v>ct</v>
      </c>
      <c r="V279" s="13">
        <f t="shared" si="93"/>
        <v>2</v>
      </c>
      <c r="W279" s="13" t="str">
        <f t="shared" si="94"/>
        <v>T017404 4</v>
      </c>
      <c r="X279" s="13" t="str">
        <f t="shared" si="95"/>
        <v>S55317</v>
      </c>
      <c r="Y279" s="13" t="str">
        <f t="shared" si="96"/>
        <v>T01</v>
      </c>
      <c r="Z279" s="13" t="str">
        <f t="shared" si="97"/>
        <v>404</v>
      </c>
      <c r="AA279" s="13">
        <f t="shared" si="98"/>
        <v>2</v>
      </c>
      <c r="AB279" s="13">
        <f t="shared" si="99"/>
        <v>2</v>
      </c>
      <c r="AC279" s="13"/>
      <c r="AD279" s="13"/>
      <c r="AE279" s="13"/>
    </row>
    <row r="280" spans="1:31" ht="30" x14ac:dyDescent="0.25">
      <c r="A280" s="9" t="s">
        <v>63</v>
      </c>
      <c r="B280" s="9" t="s">
        <v>1026</v>
      </c>
      <c r="C280" s="9" t="s">
        <v>1027</v>
      </c>
      <c r="D280" s="9" t="s">
        <v>1028</v>
      </c>
      <c r="E280" s="9" t="s">
        <v>1029</v>
      </c>
      <c r="F280" s="9">
        <v>6</v>
      </c>
      <c r="G280" s="9" t="s">
        <v>176</v>
      </c>
      <c r="H280" s="9">
        <v>13</v>
      </c>
      <c r="I280" s="13">
        <f t="shared" si="80"/>
        <v>78</v>
      </c>
      <c r="J280" s="13">
        <f t="shared" si="81"/>
        <v>279.5</v>
      </c>
      <c r="K280" s="13">
        <f t="shared" si="82"/>
        <v>279</v>
      </c>
      <c r="L280" s="13">
        <f t="shared" si="83"/>
        <v>234.5</v>
      </c>
      <c r="M280" s="13">
        <f t="shared" si="84"/>
        <v>15</v>
      </c>
      <c r="N280" s="13" t="b">
        <f t="shared" si="85"/>
        <v>0</v>
      </c>
      <c r="O280" s="13" t="b">
        <f t="shared" si="86"/>
        <v>1</v>
      </c>
      <c r="P280" s="13" t="str">
        <f t="shared" si="87"/>
        <v>C008489-oz</v>
      </c>
      <c r="Q280" s="14" t="str">
        <f t="shared" si="88"/>
        <v>T051421
6</v>
      </c>
      <c r="R280" s="13" t="b">
        <f t="shared" si="89"/>
        <v>0</v>
      </c>
      <c r="S280" s="13" t="str">
        <f t="shared" si="90"/>
        <v>25</v>
      </c>
      <c r="T280" s="13" t="str">
        <f t="shared" si="91"/>
        <v>OZ</v>
      </c>
      <c r="U280" s="13" t="str">
        <f t="shared" si="92"/>
        <v>oz</v>
      </c>
      <c r="V280" s="13">
        <f t="shared" si="93"/>
        <v>2</v>
      </c>
      <c r="W280" s="13" t="str">
        <f t="shared" si="94"/>
        <v>T051421 6</v>
      </c>
      <c r="X280" s="13" t="str">
        <f t="shared" si="95"/>
        <v>S55651</v>
      </c>
      <c r="Y280" s="13" t="str">
        <f t="shared" si="96"/>
        <v>T05</v>
      </c>
      <c r="Z280" s="13" t="str">
        <f t="shared" si="97"/>
        <v>421</v>
      </c>
      <c r="AA280" s="13">
        <f t="shared" si="98"/>
        <v>2</v>
      </c>
      <c r="AB280" s="13">
        <f t="shared" si="99"/>
        <v>2</v>
      </c>
      <c r="AC280" s="13"/>
      <c r="AD280" s="13"/>
      <c r="AE280" s="13"/>
    </row>
    <row r="281" spans="1:31" ht="30" x14ac:dyDescent="0.25">
      <c r="A281" s="9" t="s">
        <v>297</v>
      </c>
      <c r="B281" s="9" t="s">
        <v>1030</v>
      </c>
      <c r="C281" s="9" t="s">
        <v>1031</v>
      </c>
      <c r="D281" s="9" t="s">
        <v>1032</v>
      </c>
      <c r="E281" s="9" t="s">
        <v>311</v>
      </c>
      <c r="F281" s="9">
        <v>3</v>
      </c>
      <c r="G281" s="9" t="s">
        <v>14</v>
      </c>
      <c r="H281" s="9">
        <v>14</v>
      </c>
      <c r="I281" s="13">
        <f t="shared" si="80"/>
        <v>42</v>
      </c>
      <c r="J281" s="13">
        <f t="shared" si="81"/>
        <v>404</v>
      </c>
      <c r="K281" s="13">
        <f t="shared" si="82"/>
        <v>400</v>
      </c>
      <c r="L281" s="13">
        <f t="shared" si="83"/>
        <v>1442.5</v>
      </c>
      <c r="M281" s="13">
        <f t="shared" si="84"/>
        <v>74</v>
      </c>
      <c r="N281" s="13" t="b">
        <f t="shared" si="85"/>
        <v>0</v>
      </c>
      <c r="O281" s="13" t="b">
        <f t="shared" si="86"/>
        <v>1</v>
      </c>
      <c r="P281" s="13" t="str">
        <f t="shared" si="87"/>
        <v>C002433-ct</v>
      </c>
      <c r="Q281" s="14" t="str">
        <f t="shared" si="88"/>
        <v>T040412
3</v>
      </c>
      <c r="R281" s="13" t="b">
        <f t="shared" si="89"/>
        <v>0</v>
      </c>
      <c r="S281" s="13" t="str">
        <f t="shared" si="90"/>
        <v>18</v>
      </c>
      <c r="T281" s="13" t="str">
        <f t="shared" si="91"/>
        <v>CT</v>
      </c>
      <c r="U281" s="13" t="str">
        <f t="shared" si="92"/>
        <v>ct</v>
      </c>
      <c r="V281" s="13">
        <f t="shared" si="93"/>
        <v>2</v>
      </c>
      <c r="W281" s="13" t="str">
        <f t="shared" si="94"/>
        <v>T040412 3</v>
      </c>
      <c r="X281" s="13" t="str">
        <f t="shared" si="95"/>
        <v>S55617</v>
      </c>
      <c r="Y281" s="13" t="str">
        <f t="shared" si="96"/>
        <v>T04</v>
      </c>
      <c r="Z281" s="13" t="str">
        <f t="shared" si="97"/>
        <v>412</v>
      </c>
      <c r="AA281" s="13">
        <f t="shared" si="98"/>
        <v>2</v>
      </c>
      <c r="AB281" s="13">
        <f t="shared" si="99"/>
        <v>2</v>
      </c>
      <c r="AC281" s="13"/>
      <c r="AD281" s="13"/>
      <c r="AE281" s="13"/>
    </row>
    <row r="282" spans="1:31" ht="30" x14ac:dyDescent="0.25">
      <c r="A282" s="9" t="s">
        <v>532</v>
      </c>
      <c r="B282" s="9" t="s">
        <v>1033</v>
      </c>
      <c r="C282" s="9" t="s">
        <v>1034</v>
      </c>
      <c r="D282" s="9" t="s">
        <v>546</v>
      </c>
      <c r="E282" s="9" t="s">
        <v>674</v>
      </c>
      <c r="F282" s="9">
        <v>1</v>
      </c>
      <c r="G282" s="9" t="s">
        <v>68</v>
      </c>
      <c r="H282" s="9">
        <v>10</v>
      </c>
      <c r="I282" s="13">
        <f t="shared" si="80"/>
        <v>10</v>
      </c>
      <c r="J282" s="13">
        <f t="shared" si="81"/>
        <v>491.5</v>
      </c>
      <c r="K282" s="13">
        <f t="shared" si="82"/>
        <v>491</v>
      </c>
      <c r="L282" s="13">
        <f t="shared" si="83"/>
        <v>411.5</v>
      </c>
      <c r="M282" s="13">
        <f t="shared" si="84"/>
        <v>24</v>
      </c>
      <c r="N282" s="13" t="b">
        <f t="shared" si="85"/>
        <v>0</v>
      </c>
      <c r="O282" s="13" t="b">
        <f t="shared" si="86"/>
        <v>1</v>
      </c>
      <c r="P282" s="13" t="str">
        <f t="shared" si="87"/>
        <v>C006369-bottles</v>
      </c>
      <c r="Q282" s="14" t="str">
        <f t="shared" si="88"/>
        <v>T010129
1</v>
      </c>
      <c r="R282" s="13" t="b">
        <f t="shared" si="89"/>
        <v>0</v>
      </c>
      <c r="S282" s="13" t="str">
        <f t="shared" si="90"/>
        <v>09</v>
      </c>
      <c r="T282" s="13" t="str">
        <f t="shared" si="91"/>
        <v>BOTTLES</v>
      </c>
      <c r="U282" s="13" t="str">
        <f t="shared" si="92"/>
        <v>bottles</v>
      </c>
      <c r="V282" s="13">
        <f t="shared" si="93"/>
        <v>2</v>
      </c>
      <c r="W282" s="13" t="str">
        <f t="shared" si="94"/>
        <v>T010129 1</v>
      </c>
      <c r="X282" s="13" t="str">
        <f t="shared" si="95"/>
        <v>S55355</v>
      </c>
      <c r="Y282" s="13" t="str">
        <f t="shared" si="96"/>
        <v>T01</v>
      </c>
      <c r="Z282" s="13" t="str">
        <f t="shared" si="97"/>
        <v>129</v>
      </c>
      <c r="AA282" s="13">
        <f t="shared" si="98"/>
        <v>2</v>
      </c>
      <c r="AB282" s="13">
        <f t="shared" si="99"/>
        <v>7</v>
      </c>
      <c r="AC282" s="13"/>
      <c r="AD282" s="13"/>
      <c r="AE282" s="13"/>
    </row>
    <row r="283" spans="1:31" ht="30" x14ac:dyDescent="0.25">
      <c r="A283" s="9" t="s">
        <v>110</v>
      </c>
      <c r="B283" s="9" t="s">
        <v>1035</v>
      </c>
      <c r="C283" s="9" t="s">
        <v>1036</v>
      </c>
      <c r="D283" s="9" t="s">
        <v>557</v>
      </c>
      <c r="E283" s="9" t="s">
        <v>1037</v>
      </c>
      <c r="F283" s="9">
        <v>8</v>
      </c>
      <c r="G283" s="9" t="s">
        <v>36</v>
      </c>
      <c r="H283" s="9">
        <v>8</v>
      </c>
      <c r="I283" s="13">
        <f t="shared" si="80"/>
        <v>64</v>
      </c>
      <c r="J283" s="13">
        <f t="shared" si="81"/>
        <v>328</v>
      </c>
      <c r="K283" s="13">
        <f t="shared" si="82"/>
        <v>324</v>
      </c>
      <c r="L283" s="13">
        <f t="shared" si="83"/>
        <v>979</v>
      </c>
      <c r="M283" s="13">
        <f t="shared" si="84"/>
        <v>57</v>
      </c>
      <c r="N283" s="13" t="b">
        <f t="shared" si="85"/>
        <v>0</v>
      </c>
      <c r="O283" s="13" t="b">
        <f t="shared" si="86"/>
        <v>1</v>
      </c>
      <c r="P283" s="13" t="str">
        <f t="shared" si="87"/>
        <v>C007357-cans</v>
      </c>
      <c r="Q283" s="14" t="str">
        <f t="shared" si="88"/>
        <v>T010911
8</v>
      </c>
      <c r="R283" s="13" t="b">
        <f t="shared" si="89"/>
        <v>0</v>
      </c>
      <c r="S283" s="13" t="str">
        <f t="shared" si="90"/>
        <v>04</v>
      </c>
      <c r="T283" s="13" t="str">
        <f t="shared" si="91"/>
        <v>CANS</v>
      </c>
      <c r="U283" s="13" t="str">
        <f t="shared" si="92"/>
        <v>cans</v>
      </c>
      <c r="V283" s="13">
        <f t="shared" si="93"/>
        <v>2</v>
      </c>
      <c r="W283" s="13" t="str">
        <f t="shared" si="94"/>
        <v>T010911 8</v>
      </c>
      <c r="X283" s="13" t="str">
        <f t="shared" si="95"/>
        <v>S5592</v>
      </c>
      <c r="Y283" s="13" t="str">
        <f t="shared" si="96"/>
        <v>T01</v>
      </c>
      <c r="Z283" s="13" t="str">
        <f t="shared" si="97"/>
        <v>911</v>
      </c>
      <c r="AA283" s="13">
        <f t="shared" si="98"/>
        <v>2</v>
      </c>
      <c r="AB283" s="13">
        <f t="shared" si="99"/>
        <v>4</v>
      </c>
      <c r="AC283" s="13"/>
      <c r="AD283" s="13"/>
      <c r="AE283" s="13"/>
    </row>
    <row r="284" spans="1:31" ht="30" x14ac:dyDescent="0.25">
      <c r="A284" s="9" t="s">
        <v>63</v>
      </c>
      <c r="B284" s="9" t="s">
        <v>408</v>
      </c>
      <c r="C284" s="9" t="s">
        <v>1038</v>
      </c>
      <c r="D284" s="9" t="s">
        <v>703</v>
      </c>
      <c r="E284" s="9" t="s">
        <v>865</v>
      </c>
      <c r="F284" s="9">
        <v>4</v>
      </c>
      <c r="G284" s="9" t="s">
        <v>14</v>
      </c>
      <c r="H284" s="9">
        <v>12</v>
      </c>
      <c r="I284" s="13">
        <f t="shared" si="80"/>
        <v>48</v>
      </c>
      <c r="J284" s="13">
        <f t="shared" si="81"/>
        <v>382.5</v>
      </c>
      <c r="K284" s="13">
        <f t="shared" si="82"/>
        <v>379</v>
      </c>
      <c r="L284" s="13">
        <f t="shared" si="83"/>
        <v>1428.5</v>
      </c>
      <c r="M284" s="13">
        <f t="shared" si="84"/>
        <v>73</v>
      </c>
      <c r="N284" s="13" t="b">
        <f t="shared" si="85"/>
        <v>0</v>
      </c>
      <c r="O284" s="13" t="b">
        <f t="shared" si="86"/>
        <v>1</v>
      </c>
      <c r="P284" s="13" t="str">
        <f t="shared" si="87"/>
        <v>C006321-ct</v>
      </c>
      <c r="Q284" s="14" t="str">
        <f t="shared" si="88"/>
        <v>T078894
4</v>
      </c>
      <c r="R284" s="13" t="b">
        <f t="shared" si="89"/>
        <v>0</v>
      </c>
      <c r="S284" s="13" t="str">
        <f t="shared" si="90"/>
        <v>23</v>
      </c>
      <c r="T284" s="13" t="str">
        <f t="shared" si="91"/>
        <v>CT</v>
      </c>
      <c r="U284" s="13" t="str">
        <f t="shared" si="92"/>
        <v>ct</v>
      </c>
      <c r="V284" s="13">
        <f t="shared" si="93"/>
        <v>2</v>
      </c>
      <c r="W284" s="13" t="str">
        <f t="shared" si="94"/>
        <v>T078894 4</v>
      </c>
      <c r="X284" s="13" t="str">
        <f t="shared" si="95"/>
        <v>S55221</v>
      </c>
      <c r="Y284" s="13" t="str">
        <f t="shared" si="96"/>
        <v>T07</v>
      </c>
      <c r="Z284" s="13" t="str">
        <f t="shared" si="97"/>
        <v>894</v>
      </c>
      <c r="AA284" s="13">
        <f t="shared" si="98"/>
        <v>2</v>
      </c>
      <c r="AB284" s="13">
        <f t="shared" si="99"/>
        <v>2</v>
      </c>
      <c r="AC284" s="13"/>
      <c r="AD284" s="13"/>
      <c r="AE284" s="13"/>
    </row>
    <row r="285" spans="1:31" ht="30" x14ac:dyDescent="0.25">
      <c r="A285" s="9" t="s">
        <v>283</v>
      </c>
      <c r="B285" s="9" t="s">
        <v>1039</v>
      </c>
      <c r="C285" s="9" t="s">
        <v>1040</v>
      </c>
      <c r="D285" s="9" t="s">
        <v>802</v>
      </c>
      <c r="E285" s="9" t="s">
        <v>722</v>
      </c>
      <c r="F285" s="9">
        <v>11</v>
      </c>
      <c r="G285" s="9" t="s">
        <v>115</v>
      </c>
      <c r="H285" s="9">
        <v>17</v>
      </c>
      <c r="I285" s="13">
        <f t="shared" si="80"/>
        <v>187</v>
      </c>
      <c r="J285" s="13">
        <f t="shared" si="81"/>
        <v>55.5</v>
      </c>
      <c r="K285" s="13">
        <f t="shared" si="82"/>
        <v>55</v>
      </c>
      <c r="L285" s="13">
        <f t="shared" si="83"/>
        <v>214</v>
      </c>
      <c r="M285" s="13">
        <f t="shared" si="84"/>
        <v>13</v>
      </c>
      <c r="N285" s="13" t="b">
        <f t="shared" si="85"/>
        <v>0</v>
      </c>
      <c r="O285" s="13" t="b">
        <f t="shared" si="86"/>
        <v>1</v>
      </c>
      <c r="P285" s="13" t="str">
        <f t="shared" si="87"/>
        <v>C000104-bags</v>
      </c>
      <c r="Q285" s="14" t="str">
        <f t="shared" si="88"/>
        <v>T093684
11</v>
      </c>
      <c r="R285" s="13" t="b">
        <f t="shared" si="89"/>
        <v>0</v>
      </c>
      <c r="S285" s="13" t="str">
        <f t="shared" si="90"/>
        <v>16</v>
      </c>
      <c r="T285" s="13" t="str">
        <f t="shared" si="91"/>
        <v>BAGS</v>
      </c>
      <c r="U285" s="13" t="str">
        <f t="shared" si="92"/>
        <v>bags</v>
      </c>
      <c r="V285" s="13">
        <f t="shared" si="93"/>
        <v>2</v>
      </c>
      <c r="W285" s="13" t="str">
        <f t="shared" si="94"/>
        <v>T093684 11</v>
      </c>
      <c r="X285" s="13" t="str">
        <f t="shared" si="95"/>
        <v>S55255</v>
      </c>
      <c r="Y285" s="13" t="str">
        <f t="shared" si="96"/>
        <v>T09</v>
      </c>
      <c r="Z285" s="13" t="str">
        <f t="shared" si="97"/>
        <v>684</v>
      </c>
      <c r="AA285" s="13">
        <f t="shared" si="98"/>
        <v>2</v>
      </c>
      <c r="AB285" s="13">
        <f t="shared" si="99"/>
        <v>4</v>
      </c>
      <c r="AC285" s="13"/>
      <c r="AD285" s="13"/>
      <c r="AE285" s="13"/>
    </row>
    <row r="286" spans="1:31" ht="30" x14ac:dyDescent="0.25">
      <c r="A286" s="9" t="s">
        <v>249</v>
      </c>
      <c r="B286" s="9" t="s">
        <v>1041</v>
      </c>
      <c r="C286" s="9" t="s">
        <v>1042</v>
      </c>
      <c r="D286" s="9" t="s">
        <v>583</v>
      </c>
      <c r="E286" s="9" t="s">
        <v>1043</v>
      </c>
      <c r="F286" s="9">
        <v>6</v>
      </c>
      <c r="G286" s="9" t="s">
        <v>411</v>
      </c>
      <c r="H286" s="9">
        <v>20</v>
      </c>
      <c r="I286" s="13">
        <f t="shared" si="80"/>
        <v>120</v>
      </c>
      <c r="J286" s="13">
        <f t="shared" si="81"/>
        <v>169.5</v>
      </c>
      <c r="K286" s="13">
        <f t="shared" si="82"/>
        <v>162</v>
      </c>
      <c r="L286" s="13">
        <f t="shared" si="83"/>
        <v>101.5</v>
      </c>
      <c r="M286" s="13">
        <f t="shared" si="84"/>
        <v>5</v>
      </c>
      <c r="N286" s="13" t="b">
        <f t="shared" si="85"/>
        <v>0</v>
      </c>
      <c r="O286" s="13" t="b">
        <f t="shared" si="86"/>
        <v>1</v>
      </c>
      <c r="P286" s="13" t="str">
        <f t="shared" si="87"/>
        <v>C003452-pack</v>
      </c>
      <c r="Q286" s="14" t="str">
        <f t="shared" si="88"/>
        <v>T061273
6</v>
      </c>
      <c r="R286" s="13" t="b">
        <f t="shared" si="89"/>
        <v>0</v>
      </c>
      <c r="S286" s="13" t="str">
        <f t="shared" si="90"/>
        <v>25</v>
      </c>
      <c r="T286" s="13" t="str">
        <f t="shared" si="91"/>
        <v>PACK</v>
      </c>
      <c r="U286" s="13" t="str">
        <f t="shared" si="92"/>
        <v>pack</v>
      </c>
      <c r="V286" s="13">
        <f t="shared" si="93"/>
        <v>2</v>
      </c>
      <c r="W286" s="13" t="str">
        <f t="shared" si="94"/>
        <v>T061273 6</v>
      </c>
      <c r="X286" s="13" t="str">
        <f t="shared" si="95"/>
        <v>S5591</v>
      </c>
      <c r="Y286" s="13" t="str">
        <f t="shared" si="96"/>
        <v>T06</v>
      </c>
      <c r="Z286" s="13" t="str">
        <f t="shared" si="97"/>
        <v>273</v>
      </c>
      <c r="AA286" s="13">
        <f t="shared" si="98"/>
        <v>2</v>
      </c>
      <c r="AB286" s="13">
        <f t="shared" si="99"/>
        <v>4</v>
      </c>
      <c r="AC286" s="13"/>
      <c r="AD286" s="13"/>
      <c r="AE286" s="13"/>
    </row>
    <row r="287" spans="1:31" ht="30" x14ac:dyDescent="0.25">
      <c r="A287" s="9" t="s">
        <v>15</v>
      </c>
      <c r="B287" s="9" t="s">
        <v>1044</v>
      </c>
      <c r="C287" s="9" t="s">
        <v>1045</v>
      </c>
      <c r="D287" s="9" t="s">
        <v>1046</v>
      </c>
      <c r="E287" s="9" t="s">
        <v>1047</v>
      </c>
      <c r="F287" s="9">
        <v>5</v>
      </c>
      <c r="G287" s="9" t="s">
        <v>36</v>
      </c>
      <c r="H287" s="9">
        <v>6.75</v>
      </c>
      <c r="I287" s="13">
        <f t="shared" si="80"/>
        <v>33.75</v>
      </c>
      <c r="J287" s="13">
        <f t="shared" si="81"/>
        <v>426</v>
      </c>
      <c r="K287" s="13">
        <f t="shared" si="82"/>
        <v>424</v>
      </c>
      <c r="L287" s="13">
        <f t="shared" si="83"/>
        <v>971</v>
      </c>
      <c r="M287" s="13">
        <f t="shared" si="84"/>
        <v>56</v>
      </c>
      <c r="N287" s="13" t="b">
        <f t="shared" si="85"/>
        <v>0</v>
      </c>
      <c r="O287" s="13" t="b">
        <f t="shared" si="86"/>
        <v>1</v>
      </c>
      <c r="P287" s="13" t="str">
        <f t="shared" si="87"/>
        <v>C007030-cans</v>
      </c>
      <c r="Q287" s="14" t="str">
        <f t="shared" si="88"/>
        <v>T096751
5</v>
      </c>
      <c r="R287" s="13" t="b">
        <f t="shared" si="89"/>
        <v>0</v>
      </c>
      <c r="S287" s="13" t="str">
        <f t="shared" si="90"/>
        <v>00</v>
      </c>
      <c r="T287" s="13" t="str">
        <f t="shared" si="91"/>
        <v>CANS</v>
      </c>
      <c r="U287" s="13" t="str">
        <f t="shared" si="92"/>
        <v>cans</v>
      </c>
      <c r="V287" s="13">
        <f t="shared" si="93"/>
        <v>2</v>
      </c>
      <c r="W287" s="13" t="str">
        <f t="shared" si="94"/>
        <v>T096751 5</v>
      </c>
      <c r="X287" s="13" t="str">
        <f t="shared" si="95"/>
        <v>S55599</v>
      </c>
      <c r="Y287" s="13" t="str">
        <f t="shared" si="96"/>
        <v>T09</v>
      </c>
      <c r="Z287" s="13" t="str">
        <f t="shared" si="97"/>
        <v>751</v>
      </c>
      <c r="AA287" s="13">
        <f t="shared" si="98"/>
        <v>2</v>
      </c>
      <c r="AB287" s="13">
        <f t="shared" si="99"/>
        <v>4</v>
      </c>
      <c r="AC287" s="13"/>
      <c r="AD287" s="13"/>
      <c r="AE287" s="13"/>
    </row>
    <row r="288" spans="1:31" ht="30" x14ac:dyDescent="0.25">
      <c r="A288" s="9" t="s">
        <v>316</v>
      </c>
      <c r="B288" s="9" t="s">
        <v>1048</v>
      </c>
      <c r="C288" s="9" t="s">
        <v>1049</v>
      </c>
      <c r="D288" s="9" t="s">
        <v>601</v>
      </c>
      <c r="E288" s="9" t="s">
        <v>1050</v>
      </c>
      <c r="F288" s="9">
        <v>6</v>
      </c>
      <c r="G288" s="9" t="s">
        <v>14</v>
      </c>
      <c r="H288" s="9">
        <v>19</v>
      </c>
      <c r="I288" s="13">
        <f t="shared" si="80"/>
        <v>114</v>
      </c>
      <c r="J288" s="13">
        <f t="shared" si="81"/>
        <v>183</v>
      </c>
      <c r="K288" s="13">
        <f t="shared" si="82"/>
        <v>183</v>
      </c>
      <c r="L288" s="13">
        <f t="shared" si="83"/>
        <v>1416.5</v>
      </c>
      <c r="M288" s="13">
        <f t="shared" si="84"/>
        <v>72</v>
      </c>
      <c r="N288" s="13" t="b">
        <f t="shared" si="85"/>
        <v>0</v>
      </c>
      <c r="O288" s="13" t="b">
        <f t="shared" si="86"/>
        <v>1</v>
      </c>
      <c r="P288" s="13" t="str">
        <f t="shared" si="87"/>
        <v>C008553-ct</v>
      </c>
      <c r="Q288" s="14" t="str">
        <f t="shared" si="88"/>
        <v>T021130
6</v>
      </c>
      <c r="R288" s="13" t="b">
        <f t="shared" si="89"/>
        <v>0</v>
      </c>
      <c r="S288" s="13" t="str">
        <f t="shared" si="90"/>
        <v>18</v>
      </c>
      <c r="T288" s="13" t="str">
        <f t="shared" si="91"/>
        <v>CT</v>
      </c>
      <c r="U288" s="13" t="str">
        <f t="shared" si="92"/>
        <v>ct</v>
      </c>
      <c r="V288" s="13">
        <f t="shared" si="93"/>
        <v>2</v>
      </c>
      <c r="W288" s="13" t="str">
        <f t="shared" si="94"/>
        <v>T021130 6</v>
      </c>
      <c r="X288" s="13" t="str">
        <f t="shared" si="95"/>
        <v>S55654</v>
      </c>
      <c r="Y288" s="13" t="str">
        <f t="shared" si="96"/>
        <v>T02</v>
      </c>
      <c r="Z288" s="13" t="str">
        <f t="shared" si="97"/>
        <v>130</v>
      </c>
      <c r="AA288" s="13">
        <f t="shared" si="98"/>
        <v>2</v>
      </c>
      <c r="AB288" s="13">
        <f t="shared" si="99"/>
        <v>2</v>
      </c>
      <c r="AC288" s="13"/>
      <c r="AD288" s="13"/>
      <c r="AE288" s="13"/>
    </row>
    <row r="289" spans="1:31" ht="30" x14ac:dyDescent="0.25">
      <c r="A289" s="9" t="s">
        <v>110</v>
      </c>
      <c r="B289" s="9" t="s">
        <v>1051</v>
      </c>
      <c r="C289" s="9" t="s">
        <v>1052</v>
      </c>
      <c r="D289" s="9" t="s">
        <v>1053</v>
      </c>
      <c r="E289" s="9" t="s">
        <v>1054</v>
      </c>
      <c r="F289" s="9">
        <v>11</v>
      </c>
      <c r="G289" s="9" t="s">
        <v>68</v>
      </c>
      <c r="H289" s="9">
        <v>22</v>
      </c>
      <c r="I289" s="13">
        <f t="shared" si="80"/>
        <v>242</v>
      </c>
      <c r="J289" s="13">
        <f t="shared" si="81"/>
        <v>28</v>
      </c>
      <c r="K289" s="13">
        <f t="shared" si="82"/>
        <v>28</v>
      </c>
      <c r="L289" s="13">
        <f t="shared" si="83"/>
        <v>401.5</v>
      </c>
      <c r="M289" s="13">
        <f t="shared" si="84"/>
        <v>23</v>
      </c>
      <c r="N289" s="13" t="b">
        <f t="shared" si="85"/>
        <v>1</v>
      </c>
      <c r="O289" s="13" t="b">
        <f t="shared" si="86"/>
        <v>1</v>
      </c>
      <c r="P289" s="13" t="str">
        <f t="shared" si="87"/>
        <v>C009164-bottles</v>
      </c>
      <c r="Q289" s="14" t="str">
        <f t="shared" si="88"/>
        <v>T065710
11</v>
      </c>
      <c r="R289" s="13" t="b">
        <f t="shared" si="89"/>
        <v>0</v>
      </c>
      <c r="S289" s="13" t="str">
        <f t="shared" si="90"/>
        <v>05</v>
      </c>
      <c r="T289" s="13" t="str">
        <f t="shared" si="91"/>
        <v>BOTTLES</v>
      </c>
      <c r="U289" s="13" t="str">
        <f t="shared" si="92"/>
        <v>bottles</v>
      </c>
      <c r="V289" s="13">
        <f t="shared" si="93"/>
        <v>2</v>
      </c>
      <c r="W289" s="13" t="str">
        <f t="shared" si="94"/>
        <v>T065710 11</v>
      </c>
      <c r="X289" s="13" t="str">
        <f t="shared" si="95"/>
        <v>S55498</v>
      </c>
      <c r="Y289" s="13" t="str">
        <f t="shared" si="96"/>
        <v>T06</v>
      </c>
      <c r="Z289" s="13" t="str">
        <f t="shared" si="97"/>
        <v>710</v>
      </c>
      <c r="AA289" s="13">
        <f t="shared" si="98"/>
        <v>2</v>
      </c>
      <c r="AB289" s="13">
        <f t="shared" si="99"/>
        <v>7</v>
      </c>
      <c r="AC289" s="13"/>
      <c r="AD289" s="13"/>
      <c r="AE289" s="13"/>
    </row>
    <row r="290" spans="1:31" ht="30" x14ac:dyDescent="0.25">
      <c r="A290" s="9" t="s">
        <v>233</v>
      </c>
      <c r="B290" s="9" t="s">
        <v>1055</v>
      </c>
      <c r="C290" s="9" t="s">
        <v>1056</v>
      </c>
      <c r="D290" s="9" t="s">
        <v>1057</v>
      </c>
      <c r="E290" s="9" t="s">
        <v>391</v>
      </c>
      <c r="F290" s="9">
        <v>9</v>
      </c>
      <c r="G290" s="9" t="s">
        <v>36</v>
      </c>
      <c r="H290" s="9">
        <v>16</v>
      </c>
      <c r="I290" s="13">
        <f t="shared" si="80"/>
        <v>144</v>
      </c>
      <c r="J290" s="13">
        <f t="shared" si="81"/>
        <v>118</v>
      </c>
      <c r="K290" s="13">
        <f t="shared" si="82"/>
        <v>115</v>
      </c>
      <c r="L290" s="13">
        <f t="shared" si="83"/>
        <v>964.25</v>
      </c>
      <c r="M290" s="13">
        <f t="shared" si="84"/>
        <v>55</v>
      </c>
      <c r="N290" s="13" t="b">
        <f t="shared" si="85"/>
        <v>0</v>
      </c>
      <c r="O290" s="13" t="b">
        <f t="shared" si="86"/>
        <v>1</v>
      </c>
      <c r="P290" s="13" t="str">
        <f t="shared" si="87"/>
        <v>C002790-cans</v>
      </c>
      <c r="Q290" s="14" t="str">
        <f t="shared" si="88"/>
        <v>T076789
9</v>
      </c>
      <c r="R290" s="13" t="b">
        <f t="shared" si="89"/>
        <v>0</v>
      </c>
      <c r="S290" s="13" t="str">
        <f t="shared" si="90"/>
        <v>03</v>
      </c>
      <c r="T290" s="13" t="str">
        <f t="shared" si="91"/>
        <v>CANS</v>
      </c>
      <c r="U290" s="13" t="str">
        <f t="shared" si="92"/>
        <v>cans</v>
      </c>
      <c r="V290" s="13">
        <f t="shared" si="93"/>
        <v>2</v>
      </c>
      <c r="W290" s="13" t="str">
        <f t="shared" si="94"/>
        <v>T076789 9</v>
      </c>
      <c r="X290" s="13" t="str">
        <f t="shared" si="95"/>
        <v>S55485</v>
      </c>
      <c r="Y290" s="13" t="str">
        <f t="shared" si="96"/>
        <v>T07</v>
      </c>
      <c r="Z290" s="13" t="str">
        <f t="shared" si="97"/>
        <v>789</v>
      </c>
      <c r="AA290" s="13">
        <f t="shared" si="98"/>
        <v>2</v>
      </c>
      <c r="AB290" s="13">
        <f t="shared" si="99"/>
        <v>4</v>
      </c>
      <c r="AC290" s="13"/>
      <c r="AD290" s="13"/>
      <c r="AE290" s="13"/>
    </row>
    <row r="291" spans="1:31" ht="30" x14ac:dyDescent="0.25">
      <c r="A291" s="9" t="s">
        <v>209</v>
      </c>
      <c r="B291" s="9" t="s">
        <v>1058</v>
      </c>
      <c r="C291" s="9" t="s">
        <v>1059</v>
      </c>
      <c r="D291" s="9" t="s">
        <v>402</v>
      </c>
      <c r="E291" s="9" t="s">
        <v>1060</v>
      </c>
      <c r="F291" s="9">
        <v>1</v>
      </c>
      <c r="G291" s="9" t="s">
        <v>176</v>
      </c>
      <c r="H291" s="9">
        <v>15</v>
      </c>
      <c r="I291" s="13">
        <f t="shared" si="80"/>
        <v>15</v>
      </c>
      <c r="J291" s="13">
        <f t="shared" si="81"/>
        <v>476.5</v>
      </c>
      <c r="K291" s="13">
        <f t="shared" si="82"/>
        <v>473</v>
      </c>
      <c r="L291" s="13">
        <f t="shared" si="83"/>
        <v>221.5</v>
      </c>
      <c r="M291" s="13">
        <f t="shared" si="84"/>
        <v>14</v>
      </c>
      <c r="N291" s="13" t="b">
        <f t="shared" si="85"/>
        <v>0</v>
      </c>
      <c r="O291" s="13" t="b">
        <f t="shared" si="86"/>
        <v>1</v>
      </c>
      <c r="P291" s="13" t="str">
        <f t="shared" si="87"/>
        <v>C000679-oz</v>
      </c>
      <c r="Q291" s="14" t="str">
        <f t="shared" si="88"/>
        <v>T047699
1</v>
      </c>
      <c r="R291" s="13" t="b">
        <f t="shared" si="89"/>
        <v>0</v>
      </c>
      <c r="S291" s="13" t="str">
        <f t="shared" si="90"/>
        <v>24</v>
      </c>
      <c r="T291" s="13" t="str">
        <f t="shared" si="91"/>
        <v>OZ</v>
      </c>
      <c r="U291" s="13" t="str">
        <f t="shared" si="92"/>
        <v>oz</v>
      </c>
      <c r="V291" s="13">
        <f t="shared" si="93"/>
        <v>2</v>
      </c>
      <c r="W291" s="13" t="str">
        <f t="shared" si="94"/>
        <v>T047699 1</v>
      </c>
      <c r="X291" s="13" t="str">
        <f t="shared" si="95"/>
        <v>S55586</v>
      </c>
      <c r="Y291" s="13" t="str">
        <f t="shared" si="96"/>
        <v>T04</v>
      </c>
      <c r="Z291" s="13" t="str">
        <f t="shared" si="97"/>
        <v>699</v>
      </c>
      <c r="AA291" s="13">
        <f t="shared" si="98"/>
        <v>2</v>
      </c>
      <c r="AB291" s="13">
        <f t="shared" si="99"/>
        <v>2</v>
      </c>
      <c r="AC291" s="13"/>
      <c r="AD291" s="13"/>
      <c r="AE291" s="13"/>
    </row>
    <row r="292" spans="1:31" ht="30" x14ac:dyDescent="0.25">
      <c r="A292" s="9" t="s">
        <v>752</v>
      </c>
      <c r="B292" s="9" t="s">
        <v>1061</v>
      </c>
      <c r="C292" s="9" t="s">
        <v>1062</v>
      </c>
      <c r="D292" s="9" t="s">
        <v>1063</v>
      </c>
      <c r="E292" s="9" t="s">
        <v>200</v>
      </c>
      <c r="F292" s="9">
        <v>1</v>
      </c>
      <c r="G292" s="9" t="s">
        <v>68</v>
      </c>
      <c r="H292" s="9">
        <v>23</v>
      </c>
      <c r="I292" s="13">
        <f t="shared" si="80"/>
        <v>23</v>
      </c>
      <c r="J292" s="13">
        <f t="shared" si="81"/>
        <v>456</v>
      </c>
      <c r="K292" s="13">
        <f t="shared" si="82"/>
        <v>456</v>
      </c>
      <c r="L292" s="13">
        <f t="shared" si="83"/>
        <v>379.5</v>
      </c>
      <c r="M292" s="13">
        <f t="shared" si="84"/>
        <v>22</v>
      </c>
      <c r="N292" s="13" t="b">
        <f t="shared" si="85"/>
        <v>1</v>
      </c>
      <c r="O292" s="13" t="b">
        <f t="shared" si="86"/>
        <v>1</v>
      </c>
      <c r="P292" s="13" t="str">
        <f t="shared" si="87"/>
        <v>C003455-bottles</v>
      </c>
      <c r="Q292" s="14" t="str">
        <f t="shared" si="88"/>
        <v>T078842
1</v>
      </c>
      <c r="R292" s="13" t="b">
        <f t="shared" si="89"/>
        <v>0</v>
      </c>
      <c r="S292" s="13" t="str">
        <f t="shared" si="90"/>
        <v>03</v>
      </c>
      <c r="T292" s="13" t="str">
        <f t="shared" si="91"/>
        <v>BOTTLES</v>
      </c>
      <c r="U292" s="13" t="str">
        <f t="shared" si="92"/>
        <v>bottles</v>
      </c>
      <c r="V292" s="13">
        <f t="shared" si="93"/>
        <v>2</v>
      </c>
      <c r="W292" s="13" t="str">
        <f t="shared" si="94"/>
        <v>T078842 1</v>
      </c>
      <c r="X292" s="13" t="str">
        <f t="shared" si="95"/>
        <v>S5537</v>
      </c>
      <c r="Y292" s="13" t="str">
        <f t="shared" si="96"/>
        <v>T07</v>
      </c>
      <c r="Z292" s="13" t="str">
        <f t="shared" si="97"/>
        <v>842</v>
      </c>
      <c r="AA292" s="13">
        <f t="shared" si="98"/>
        <v>2</v>
      </c>
      <c r="AB292" s="13">
        <f t="shared" si="99"/>
        <v>7</v>
      </c>
      <c r="AC292" s="13"/>
      <c r="AD292" s="13"/>
      <c r="AE292" s="13"/>
    </row>
    <row r="293" spans="1:31" ht="30" x14ac:dyDescent="0.25">
      <c r="A293" s="9" t="s">
        <v>9</v>
      </c>
      <c r="B293" s="9" t="s">
        <v>1064</v>
      </c>
      <c r="C293" s="9" t="s">
        <v>1065</v>
      </c>
      <c r="D293" s="9" t="s">
        <v>98</v>
      </c>
      <c r="E293" s="9" t="s">
        <v>1066</v>
      </c>
      <c r="F293" s="9">
        <v>9</v>
      </c>
      <c r="G293" s="9" t="s">
        <v>36</v>
      </c>
      <c r="H293" s="9">
        <v>6.75</v>
      </c>
      <c r="I293" s="13">
        <f t="shared" si="80"/>
        <v>60.75</v>
      </c>
      <c r="J293" s="13">
        <f t="shared" si="81"/>
        <v>335.5</v>
      </c>
      <c r="K293" s="13">
        <f t="shared" si="82"/>
        <v>335</v>
      </c>
      <c r="L293" s="13">
        <f t="shared" si="83"/>
        <v>948.25</v>
      </c>
      <c r="M293" s="13">
        <f t="shared" si="84"/>
        <v>54</v>
      </c>
      <c r="N293" s="13" t="b">
        <f t="shared" si="85"/>
        <v>0</v>
      </c>
      <c r="O293" s="13" t="b">
        <f t="shared" si="86"/>
        <v>1</v>
      </c>
      <c r="P293" s="13" t="str">
        <f t="shared" si="87"/>
        <v>C000196-cans</v>
      </c>
      <c r="Q293" s="14" t="str">
        <f t="shared" si="88"/>
        <v>T070229
9</v>
      </c>
      <c r="R293" s="13" t="b">
        <f t="shared" si="89"/>
        <v>0</v>
      </c>
      <c r="S293" s="13" t="str">
        <f t="shared" si="90"/>
        <v>02</v>
      </c>
      <c r="T293" s="13" t="str">
        <f t="shared" si="91"/>
        <v>CANS</v>
      </c>
      <c r="U293" s="13" t="str">
        <f t="shared" si="92"/>
        <v>cans</v>
      </c>
      <c r="V293" s="13">
        <f t="shared" si="93"/>
        <v>2</v>
      </c>
      <c r="W293" s="13" t="str">
        <f t="shared" si="94"/>
        <v>T070229 9</v>
      </c>
      <c r="X293" s="13" t="str">
        <f t="shared" si="95"/>
        <v>S55368</v>
      </c>
      <c r="Y293" s="13" t="str">
        <f t="shared" si="96"/>
        <v>T07</v>
      </c>
      <c r="Z293" s="13" t="str">
        <f t="shared" si="97"/>
        <v>229</v>
      </c>
      <c r="AA293" s="13">
        <f t="shared" si="98"/>
        <v>2</v>
      </c>
      <c r="AB293" s="13">
        <f t="shared" si="99"/>
        <v>4</v>
      </c>
      <c r="AC293" s="13"/>
      <c r="AD293" s="13"/>
      <c r="AE293" s="13"/>
    </row>
    <row r="294" spans="1:31" ht="30" x14ac:dyDescent="0.25">
      <c r="A294" s="9" t="s">
        <v>171</v>
      </c>
      <c r="B294" s="9" t="s">
        <v>1067</v>
      </c>
      <c r="C294" s="9" t="s">
        <v>1068</v>
      </c>
      <c r="D294" s="9" t="s">
        <v>387</v>
      </c>
      <c r="E294" s="9" t="s">
        <v>1069</v>
      </c>
      <c r="F294" s="9">
        <v>3</v>
      </c>
      <c r="G294" s="9" t="s">
        <v>14</v>
      </c>
      <c r="H294" s="9">
        <v>33</v>
      </c>
      <c r="I294" s="13">
        <f t="shared" si="80"/>
        <v>99</v>
      </c>
      <c r="J294" s="13">
        <f t="shared" si="81"/>
        <v>219</v>
      </c>
      <c r="K294" s="13">
        <f t="shared" si="82"/>
        <v>218</v>
      </c>
      <c r="L294" s="13">
        <f t="shared" si="83"/>
        <v>1397.5</v>
      </c>
      <c r="M294" s="13">
        <f t="shared" si="84"/>
        <v>71</v>
      </c>
      <c r="N294" s="13" t="b">
        <f t="shared" si="85"/>
        <v>1</v>
      </c>
      <c r="O294" s="13" t="b">
        <f t="shared" si="86"/>
        <v>1</v>
      </c>
      <c r="P294" s="13" t="str">
        <f t="shared" si="87"/>
        <v>C007134-ct</v>
      </c>
      <c r="Q294" s="14" t="str">
        <f t="shared" si="88"/>
        <v>T092666
3</v>
      </c>
      <c r="R294" s="13" t="b">
        <f t="shared" si="89"/>
        <v>0</v>
      </c>
      <c r="S294" s="13" t="str">
        <f t="shared" si="90"/>
        <v>26</v>
      </c>
      <c r="T294" s="13" t="str">
        <f t="shared" si="91"/>
        <v>CT</v>
      </c>
      <c r="U294" s="13" t="str">
        <f t="shared" si="92"/>
        <v>ct</v>
      </c>
      <c r="V294" s="13">
        <f t="shared" si="93"/>
        <v>2</v>
      </c>
      <c r="W294" s="13" t="str">
        <f t="shared" si="94"/>
        <v>T092666 3</v>
      </c>
      <c r="X294" s="13" t="str">
        <f t="shared" si="95"/>
        <v>S55452</v>
      </c>
      <c r="Y294" s="13" t="str">
        <f t="shared" si="96"/>
        <v>T09</v>
      </c>
      <c r="Z294" s="13" t="str">
        <f t="shared" si="97"/>
        <v>666</v>
      </c>
      <c r="AA294" s="13">
        <f t="shared" si="98"/>
        <v>2</v>
      </c>
      <c r="AB294" s="13">
        <f t="shared" si="99"/>
        <v>2</v>
      </c>
      <c r="AC294" s="13"/>
      <c r="AD294" s="13"/>
      <c r="AE294" s="13"/>
    </row>
    <row r="295" spans="1:31" ht="30" x14ac:dyDescent="0.25">
      <c r="A295" s="9" t="s">
        <v>528</v>
      </c>
      <c r="B295" s="9" t="s">
        <v>1070</v>
      </c>
      <c r="C295" s="9" t="s">
        <v>1071</v>
      </c>
      <c r="D295" s="9" t="s">
        <v>1072</v>
      </c>
      <c r="E295" s="9" t="s">
        <v>1073</v>
      </c>
      <c r="F295" s="9">
        <v>6</v>
      </c>
      <c r="G295" s="9" t="s">
        <v>14</v>
      </c>
      <c r="H295" s="9">
        <v>16.5</v>
      </c>
      <c r="I295" s="13">
        <f t="shared" si="80"/>
        <v>99</v>
      </c>
      <c r="J295" s="13">
        <f t="shared" si="81"/>
        <v>219</v>
      </c>
      <c r="K295" s="13">
        <f t="shared" si="82"/>
        <v>218</v>
      </c>
      <c r="L295" s="13">
        <f t="shared" si="83"/>
        <v>1364.5</v>
      </c>
      <c r="M295" s="13">
        <f t="shared" si="84"/>
        <v>70</v>
      </c>
      <c r="N295" s="13" t="b">
        <f t="shared" si="85"/>
        <v>0</v>
      </c>
      <c r="O295" s="13" t="b">
        <f t="shared" si="86"/>
        <v>1</v>
      </c>
      <c r="P295" s="13" t="str">
        <f t="shared" si="87"/>
        <v>C000005-ct</v>
      </c>
      <c r="Q295" s="14" t="str">
        <f t="shared" si="88"/>
        <v>T016851
6</v>
      </c>
      <c r="R295" s="13" t="b">
        <f t="shared" si="89"/>
        <v>0</v>
      </c>
      <c r="S295" s="13" t="str">
        <f t="shared" si="90"/>
        <v>10</v>
      </c>
      <c r="T295" s="13" t="str">
        <f t="shared" si="91"/>
        <v>CT</v>
      </c>
      <c r="U295" s="13" t="str">
        <f t="shared" si="92"/>
        <v>ct</v>
      </c>
      <c r="V295" s="13">
        <f t="shared" si="93"/>
        <v>2</v>
      </c>
      <c r="W295" s="13" t="str">
        <f t="shared" si="94"/>
        <v>T016851 6</v>
      </c>
      <c r="X295" s="13" t="str">
        <f t="shared" si="95"/>
        <v>S55365</v>
      </c>
      <c r="Y295" s="13" t="str">
        <f t="shared" si="96"/>
        <v>T01</v>
      </c>
      <c r="Z295" s="13" t="str">
        <f t="shared" si="97"/>
        <v>851</v>
      </c>
      <c r="AA295" s="13">
        <f t="shared" si="98"/>
        <v>2</v>
      </c>
      <c r="AB295" s="13">
        <f t="shared" si="99"/>
        <v>2</v>
      </c>
      <c r="AC295" s="13"/>
      <c r="AD295" s="13"/>
      <c r="AE295" s="13"/>
    </row>
    <row r="296" spans="1:31" ht="30" x14ac:dyDescent="0.25">
      <c r="A296" s="9" t="s">
        <v>468</v>
      </c>
      <c r="B296" s="9" t="s">
        <v>1074</v>
      </c>
      <c r="C296" s="9" t="s">
        <v>1075</v>
      </c>
      <c r="D296" s="9" t="s">
        <v>276</v>
      </c>
      <c r="E296" s="9" t="s">
        <v>1076</v>
      </c>
      <c r="F296" s="9">
        <v>5</v>
      </c>
      <c r="G296" s="9" t="s">
        <v>278</v>
      </c>
      <c r="H296" s="9">
        <v>13</v>
      </c>
      <c r="I296" s="13">
        <f t="shared" si="80"/>
        <v>65</v>
      </c>
      <c r="J296" s="13">
        <f t="shared" si="81"/>
        <v>321.5</v>
      </c>
      <c r="K296" s="13">
        <f t="shared" si="82"/>
        <v>320</v>
      </c>
      <c r="L296" s="13">
        <f t="shared" si="83"/>
        <v>136</v>
      </c>
      <c r="M296" s="13">
        <f t="shared" si="84"/>
        <v>10</v>
      </c>
      <c r="N296" s="13" t="b">
        <f t="shared" si="85"/>
        <v>0</v>
      </c>
      <c r="O296" s="13" t="b">
        <f t="shared" si="86"/>
        <v>1</v>
      </c>
      <c r="P296" s="13" t="str">
        <f t="shared" si="87"/>
        <v>C007681-ct.</v>
      </c>
      <c r="Q296" s="14" t="str">
        <f t="shared" si="88"/>
        <v>T064686
5</v>
      </c>
      <c r="R296" s="13" t="b">
        <f t="shared" si="89"/>
        <v>0</v>
      </c>
      <c r="S296" s="13" t="str">
        <f t="shared" si="90"/>
        <v>18</v>
      </c>
      <c r="T296" s="13" t="str">
        <f t="shared" si="91"/>
        <v>CT.</v>
      </c>
      <c r="U296" s="13" t="str">
        <f t="shared" si="92"/>
        <v>ct.</v>
      </c>
      <c r="V296" s="13">
        <f t="shared" si="93"/>
        <v>2</v>
      </c>
      <c r="W296" s="13" t="str">
        <f t="shared" si="94"/>
        <v>T064686 5</v>
      </c>
      <c r="X296" s="13" t="str">
        <f t="shared" si="95"/>
        <v>S55245</v>
      </c>
      <c r="Y296" s="13" t="str">
        <f t="shared" si="96"/>
        <v>T06</v>
      </c>
      <c r="Z296" s="13" t="str">
        <f t="shared" si="97"/>
        <v>686</v>
      </c>
      <c r="AA296" s="13">
        <f t="shared" si="98"/>
        <v>2</v>
      </c>
      <c r="AB296" s="13">
        <f t="shared" si="99"/>
        <v>3</v>
      </c>
      <c r="AC296" s="13"/>
      <c r="AD296" s="13"/>
      <c r="AE296" s="13"/>
    </row>
    <row r="297" spans="1:31" ht="30" x14ac:dyDescent="0.25">
      <c r="A297" s="9" t="s">
        <v>130</v>
      </c>
      <c r="B297" s="9" t="s">
        <v>1077</v>
      </c>
      <c r="C297" s="9" t="s">
        <v>1078</v>
      </c>
      <c r="D297" s="9" t="s">
        <v>1079</v>
      </c>
      <c r="E297" s="9" t="s">
        <v>1080</v>
      </c>
      <c r="F297" s="9">
        <v>1</v>
      </c>
      <c r="G297" s="9" t="s">
        <v>1081</v>
      </c>
      <c r="H297" s="9">
        <v>16</v>
      </c>
      <c r="I297" s="13">
        <f t="shared" si="80"/>
        <v>16</v>
      </c>
      <c r="J297" s="13">
        <f t="shared" si="81"/>
        <v>471</v>
      </c>
      <c r="K297" s="13">
        <f t="shared" si="82"/>
        <v>470</v>
      </c>
      <c r="L297" s="13">
        <f t="shared" si="83"/>
        <v>197</v>
      </c>
      <c r="M297" s="13">
        <f t="shared" si="84"/>
        <v>12</v>
      </c>
      <c r="N297" s="13" t="b">
        <f t="shared" si="85"/>
        <v>0</v>
      </c>
      <c r="O297" s="13" t="b">
        <f t="shared" si="86"/>
        <v>1</v>
      </c>
      <c r="P297" s="13" t="str">
        <f t="shared" si="87"/>
        <v>C004646-Bags</v>
      </c>
      <c r="Q297" s="14" t="str">
        <f t="shared" si="88"/>
        <v>T023553
1</v>
      </c>
      <c r="R297" s="13" t="b">
        <f t="shared" si="89"/>
        <v>0</v>
      </c>
      <c r="S297" s="13" t="str">
        <f t="shared" si="90"/>
        <v>16</v>
      </c>
      <c r="T297" s="13" t="str">
        <f t="shared" si="91"/>
        <v>BAGS</v>
      </c>
      <c r="U297" s="13" t="str">
        <f t="shared" si="92"/>
        <v>bags</v>
      </c>
      <c r="V297" s="13">
        <f t="shared" si="93"/>
        <v>2</v>
      </c>
      <c r="W297" s="13" t="str">
        <f t="shared" si="94"/>
        <v>T023553 1</v>
      </c>
      <c r="X297" s="13" t="str">
        <f t="shared" si="95"/>
        <v>S55185</v>
      </c>
      <c r="Y297" s="13" t="str">
        <f t="shared" si="96"/>
        <v>T02</v>
      </c>
      <c r="Z297" s="13" t="str">
        <f t="shared" si="97"/>
        <v>553</v>
      </c>
      <c r="AA297" s="13">
        <f t="shared" si="98"/>
        <v>2</v>
      </c>
      <c r="AB297" s="13">
        <f t="shared" si="99"/>
        <v>4</v>
      </c>
      <c r="AC297" s="13"/>
      <c r="AD297" s="13"/>
      <c r="AE297" s="13"/>
    </row>
    <row r="298" spans="1:31" ht="30" x14ac:dyDescent="0.25">
      <c r="A298" s="9" t="s">
        <v>249</v>
      </c>
      <c r="B298" s="9" t="s">
        <v>1082</v>
      </c>
      <c r="C298" s="9" t="s">
        <v>1083</v>
      </c>
      <c r="D298" s="9" t="s">
        <v>242</v>
      </c>
      <c r="E298" s="9" t="s">
        <v>1084</v>
      </c>
      <c r="F298" s="9">
        <v>10</v>
      </c>
      <c r="G298" s="9" t="s">
        <v>36</v>
      </c>
      <c r="H298" s="9">
        <v>6.75</v>
      </c>
      <c r="I298" s="13">
        <f t="shared" si="80"/>
        <v>67.5</v>
      </c>
      <c r="J298" s="13">
        <f t="shared" si="81"/>
        <v>311.5</v>
      </c>
      <c r="K298" s="13">
        <f t="shared" si="82"/>
        <v>309</v>
      </c>
      <c r="L298" s="13">
        <f t="shared" si="83"/>
        <v>941.5</v>
      </c>
      <c r="M298" s="13">
        <f t="shared" si="84"/>
        <v>53</v>
      </c>
      <c r="N298" s="13" t="b">
        <f t="shared" si="85"/>
        <v>0</v>
      </c>
      <c r="O298" s="13" t="b">
        <f t="shared" si="86"/>
        <v>1</v>
      </c>
      <c r="P298" s="13" t="str">
        <f t="shared" si="87"/>
        <v>C003506-cans</v>
      </c>
      <c r="Q298" s="14" t="str">
        <f t="shared" si="88"/>
        <v>T093723
10</v>
      </c>
      <c r="R298" s="13" t="b">
        <f t="shared" si="89"/>
        <v>0</v>
      </c>
      <c r="S298" s="13" t="str">
        <f t="shared" si="90"/>
        <v>00</v>
      </c>
      <c r="T298" s="13" t="str">
        <f t="shared" si="91"/>
        <v>CANS</v>
      </c>
      <c r="U298" s="13" t="str">
        <f t="shared" si="92"/>
        <v>cans</v>
      </c>
      <c r="V298" s="13">
        <f t="shared" si="93"/>
        <v>2</v>
      </c>
      <c r="W298" s="13" t="str">
        <f t="shared" si="94"/>
        <v>T093723 10</v>
      </c>
      <c r="X298" s="13" t="str">
        <f t="shared" si="95"/>
        <v>S55122</v>
      </c>
      <c r="Y298" s="13" t="str">
        <f t="shared" si="96"/>
        <v>T09</v>
      </c>
      <c r="Z298" s="13" t="str">
        <f t="shared" si="97"/>
        <v>723</v>
      </c>
      <c r="AA298" s="13">
        <f t="shared" si="98"/>
        <v>2</v>
      </c>
      <c r="AB298" s="13">
        <f t="shared" si="99"/>
        <v>4</v>
      </c>
      <c r="AC298" s="13"/>
      <c r="AD298" s="13"/>
      <c r="AE298" s="13"/>
    </row>
    <row r="299" spans="1:31" ht="30" x14ac:dyDescent="0.25">
      <c r="A299" s="9" t="s">
        <v>105</v>
      </c>
      <c r="B299" s="9" t="s">
        <v>1085</v>
      </c>
      <c r="C299" s="9" t="s">
        <v>1086</v>
      </c>
      <c r="D299" s="9" t="s">
        <v>423</v>
      </c>
      <c r="E299" s="9" t="s">
        <v>1087</v>
      </c>
      <c r="F299" s="9">
        <v>1</v>
      </c>
      <c r="G299" s="9" t="s">
        <v>416</v>
      </c>
      <c r="H299" s="9">
        <v>15</v>
      </c>
      <c r="I299" s="13">
        <f t="shared" si="80"/>
        <v>15</v>
      </c>
      <c r="J299" s="13">
        <f t="shared" si="81"/>
        <v>476.5</v>
      </c>
      <c r="K299" s="13">
        <f t="shared" si="82"/>
        <v>473</v>
      </c>
      <c r="L299" s="13">
        <f t="shared" si="83"/>
        <v>92</v>
      </c>
      <c r="M299" s="13">
        <f t="shared" si="84"/>
        <v>6</v>
      </c>
      <c r="N299" s="13" t="b">
        <f t="shared" si="85"/>
        <v>0</v>
      </c>
      <c r="O299" s="13" t="b">
        <f t="shared" si="86"/>
        <v>1</v>
      </c>
      <c r="P299" s="13" t="str">
        <f t="shared" si="87"/>
        <v>C003635-pk</v>
      </c>
      <c r="Q299" s="14" t="str">
        <f t="shared" si="88"/>
        <v>T018877
1</v>
      </c>
      <c r="R299" s="13" t="b">
        <f t="shared" si="89"/>
        <v>0</v>
      </c>
      <c r="S299" s="13" t="str">
        <f t="shared" si="90"/>
        <v>23</v>
      </c>
      <c r="T299" s="13" t="str">
        <f t="shared" si="91"/>
        <v>PK</v>
      </c>
      <c r="U299" s="13" t="str">
        <f t="shared" si="92"/>
        <v>pk</v>
      </c>
      <c r="V299" s="13">
        <f t="shared" si="93"/>
        <v>2</v>
      </c>
      <c r="W299" s="13" t="str">
        <f t="shared" si="94"/>
        <v>T018877 1</v>
      </c>
      <c r="X299" s="13" t="str">
        <f t="shared" si="95"/>
        <v>S55494</v>
      </c>
      <c r="Y299" s="13" t="str">
        <f t="shared" si="96"/>
        <v>T01</v>
      </c>
      <c r="Z299" s="13" t="str">
        <f t="shared" si="97"/>
        <v>877</v>
      </c>
      <c r="AA299" s="13">
        <f t="shared" si="98"/>
        <v>2</v>
      </c>
      <c r="AB299" s="13">
        <f t="shared" si="99"/>
        <v>2</v>
      </c>
      <c r="AC299" s="13"/>
      <c r="AD299" s="13"/>
      <c r="AE299" s="13"/>
    </row>
    <row r="300" spans="1:31" ht="30" x14ac:dyDescent="0.25">
      <c r="A300" s="9" t="s">
        <v>15</v>
      </c>
      <c r="B300" s="9" t="s">
        <v>1088</v>
      </c>
      <c r="C300" s="9" t="s">
        <v>1089</v>
      </c>
      <c r="D300" s="9" t="s">
        <v>1090</v>
      </c>
      <c r="E300" s="9" t="s">
        <v>1091</v>
      </c>
      <c r="F300" s="9">
        <v>1</v>
      </c>
      <c r="G300" s="9" t="s">
        <v>14</v>
      </c>
      <c r="H300" s="9">
        <v>15</v>
      </c>
      <c r="I300" s="13">
        <f t="shared" si="80"/>
        <v>15</v>
      </c>
      <c r="J300" s="13">
        <f t="shared" si="81"/>
        <v>476.5</v>
      </c>
      <c r="K300" s="13">
        <f t="shared" si="82"/>
        <v>473</v>
      </c>
      <c r="L300" s="13">
        <f t="shared" si="83"/>
        <v>1348</v>
      </c>
      <c r="M300" s="13">
        <f t="shared" si="84"/>
        <v>69</v>
      </c>
      <c r="N300" s="13" t="b">
        <f t="shared" si="85"/>
        <v>0</v>
      </c>
      <c r="O300" s="13" t="b">
        <f t="shared" si="86"/>
        <v>1</v>
      </c>
      <c r="P300" s="13" t="str">
        <f t="shared" si="87"/>
        <v>C004565-ct</v>
      </c>
      <c r="Q300" s="14" t="str">
        <f t="shared" si="88"/>
        <v>T055051
1</v>
      </c>
      <c r="R300" s="13" t="b">
        <f t="shared" si="89"/>
        <v>0</v>
      </c>
      <c r="S300" s="13" t="str">
        <f t="shared" si="90"/>
        <v>12</v>
      </c>
      <c r="T300" s="13" t="str">
        <f t="shared" si="91"/>
        <v>CT</v>
      </c>
      <c r="U300" s="13" t="str">
        <f t="shared" si="92"/>
        <v>ct</v>
      </c>
      <c r="V300" s="13">
        <f t="shared" si="93"/>
        <v>2</v>
      </c>
      <c r="W300" s="13" t="str">
        <f t="shared" si="94"/>
        <v>T055051 1</v>
      </c>
      <c r="X300" s="13" t="str">
        <f t="shared" si="95"/>
        <v>S55393</v>
      </c>
      <c r="Y300" s="13" t="str">
        <f t="shared" si="96"/>
        <v>T05</v>
      </c>
      <c r="Z300" s="13" t="str">
        <f t="shared" si="97"/>
        <v>051</v>
      </c>
      <c r="AA300" s="13">
        <f t="shared" si="98"/>
        <v>2</v>
      </c>
      <c r="AB300" s="13">
        <f t="shared" si="99"/>
        <v>2</v>
      </c>
      <c r="AC300" s="13"/>
      <c r="AD300" s="13"/>
      <c r="AE300" s="13"/>
    </row>
    <row r="301" spans="1:31" ht="30" x14ac:dyDescent="0.25">
      <c r="A301" s="9" t="s">
        <v>74</v>
      </c>
      <c r="B301" s="9" t="s">
        <v>1092</v>
      </c>
      <c r="C301" s="9" t="s">
        <v>1093</v>
      </c>
      <c r="D301" s="9" t="s">
        <v>670</v>
      </c>
      <c r="E301" s="9" t="s">
        <v>1094</v>
      </c>
      <c r="F301" s="9">
        <v>2</v>
      </c>
      <c r="G301" s="9" t="s">
        <v>416</v>
      </c>
      <c r="H301" s="9">
        <v>12</v>
      </c>
      <c r="I301" s="13">
        <f t="shared" si="80"/>
        <v>24</v>
      </c>
      <c r="J301" s="13">
        <f t="shared" si="81"/>
        <v>453</v>
      </c>
      <c r="K301" s="13">
        <f t="shared" si="82"/>
        <v>451</v>
      </c>
      <c r="L301" s="13">
        <f t="shared" si="83"/>
        <v>77</v>
      </c>
      <c r="M301" s="13">
        <f t="shared" si="84"/>
        <v>5</v>
      </c>
      <c r="N301" s="13" t="b">
        <f t="shared" si="85"/>
        <v>0</v>
      </c>
      <c r="O301" s="13" t="b">
        <f t="shared" si="86"/>
        <v>1</v>
      </c>
      <c r="P301" s="13" t="str">
        <f t="shared" si="87"/>
        <v>C000111-pk</v>
      </c>
      <c r="Q301" s="14" t="str">
        <f t="shared" si="88"/>
        <v>T076327
2</v>
      </c>
      <c r="R301" s="13" t="b">
        <f t="shared" si="89"/>
        <v>0</v>
      </c>
      <c r="S301" s="13" t="str">
        <f t="shared" si="90"/>
        <v>24</v>
      </c>
      <c r="T301" s="13" t="str">
        <f t="shared" si="91"/>
        <v>PK</v>
      </c>
      <c r="U301" s="13" t="str">
        <f t="shared" si="92"/>
        <v>pk</v>
      </c>
      <c r="V301" s="13">
        <f t="shared" si="93"/>
        <v>2</v>
      </c>
      <c r="W301" s="13" t="str">
        <f t="shared" si="94"/>
        <v>T076327 2</v>
      </c>
      <c r="X301" s="13" t="str">
        <f t="shared" si="95"/>
        <v>S55162</v>
      </c>
      <c r="Y301" s="13" t="str">
        <f t="shared" si="96"/>
        <v>T07</v>
      </c>
      <c r="Z301" s="13" t="str">
        <f t="shared" si="97"/>
        <v>327</v>
      </c>
      <c r="AA301" s="13">
        <f t="shared" si="98"/>
        <v>2</v>
      </c>
      <c r="AB301" s="13">
        <f t="shared" si="99"/>
        <v>2</v>
      </c>
      <c r="AC301" s="13"/>
      <c r="AD301" s="13"/>
      <c r="AE301" s="13"/>
    </row>
    <row r="302" spans="1:31" ht="30" x14ac:dyDescent="0.25">
      <c r="A302" s="9" t="s">
        <v>15</v>
      </c>
      <c r="B302" s="9" t="s">
        <v>1095</v>
      </c>
      <c r="C302" s="9" t="s">
        <v>1096</v>
      </c>
      <c r="D302" s="9" t="s">
        <v>252</v>
      </c>
      <c r="E302" s="9" t="s">
        <v>1097</v>
      </c>
      <c r="F302" s="9">
        <v>3</v>
      </c>
      <c r="G302" s="9" t="s">
        <v>254</v>
      </c>
      <c r="H302" s="9">
        <v>12</v>
      </c>
      <c r="I302" s="13">
        <f t="shared" si="80"/>
        <v>36</v>
      </c>
      <c r="J302" s="13">
        <f t="shared" si="81"/>
        <v>417.5</v>
      </c>
      <c r="K302" s="13">
        <f t="shared" si="82"/>
        <v>416</v>
      </c>
      <c r="L302" s="13">
        <f t="shared" si="83"/>
        <v>24</v>
      </c>
      <c r="M302" s="13">
        <f t="shared" si="84"/>
        <v>2</v>
      </c>
      <c r="N302" s="13" t="b">
        <f t="shared" si="85"/>
        <v>0</v>
      </c>
      <c r="O302" s="13" t="b">
        <f t="shared" si="86"/>
        <v>1</v>
      </c>
      <c r="P302" s="13" t="str">
        <f t="shared" si="87"/>
        <v>C005112-tins</v>
      </c>
      <c r="Q302" s="14" t="str">
        <f t="shared" si="88"/>
        <v>T00836
3</v>
      </c>
      <c r="R302" s="13" t="b">
        <f t="shared" si="89"/>
        <v>0</v>
      </c>
      <c r="S302" s="13" t="str">
        <f t="shared" si="90"/>
        <v>23</v>
      </c>
      <c r="T302" s="13" t="str">
        <f t="shared" si="91"/>
        <v>TINS</v>
      </c>
      <c r="U302" s="13" t="str">
        <f t="shared" si="92"/>
        <v>tins</v>
      </c>
      <c r="V302" s="13">
        <f t="shared" si="93"/>
        <v>2</v>
      </c>
      <c r="W302" s="13" t="str">
        <f t="shared" si="94"/>
        <v>T00836 3</v>
      </c>
      <c r="X302" s="13" t="str">
        <f t="shared" si="95"/>
        <v>S55633</v>
      </c>
      <c r="Y302" s="13" t="str">
        <f t="shared" si="96"/>
        <v>T00</v>
      </c>
      <c r="Z302" s="13" t="str">
        <f t="shared" si="97"/>
        <v>836</v>
      </c>
      <c r="AA302" s="13">
        <f t="shared" si="98"/>
        <v>2</v>
      </c>
      <c r="AB302" s="13">
        <f t="shared" si="99"/>
        <v>4</v>
      </c>
      <c r="AC302" s="13"/>
      <c r="AD302" s="13"/>
      <c r="AE302" s="13"/>
    </row>
    <row r="303" spans="1:31" ht="30" x14ac:dyDescent="0.25">
      <c r="A303" s="9" t="s">
        <v>752</v>
      </c>
      <c r="B303" s="9" t="s">
        <v>1098</v>
      </c>
      <c r="C303" s="9" t="s">
        <v>1099</v>
      </c>
      <c r="D303" s="9" t="s">
        <v>557</v>
      </c>
      <c r="E303" s="9" t="s">
        <v>1100</v>
      </c>
      <c r="F303" s="9">
        <v>7</v>
      </c>
      <c r="G303" s="9" t="s">
        <v>36</v>
      </c>
      <c r="H303" s="9">
        <v>8</v>
      </c>
      <c r="I303" s="13">
        <f t="shared" si="80"/>
        <v>56</v>
      </c>
      <c r="J303" s="13">
        <f t="shared" si="81"/>
        <v>360.5</v>
      </c>
      <c r="K303" s="13">
        <f t="shared" si="82"/>
        <v>357</v>
      </c>
      <c r="L303" s="13">
        <f t="shared" si="83"/>
        <v>934.75</v>
      </c>
      <c r="M303" s="13">
        <f t="shared" si="84"/>
        <v>52</v>
      </c>
      <c r="N303" s="13" t="b">
        <f t="shared" si="85"/>
        <v>0</v>
      </c>
      <c r="O303" s="13" t="b">
        <f t="shared" si="86"/>
        <v>1</v>
      </c>
      <c r="P303" s="13" t="str">
        <f t="shared" si="87"/>
        <v>C004541-cans</v>
      </c>
      <c r="Q303" s="14" t="str">
        <f t="shared" si="88"/>
        <v>T039796
7</v>
      </c>
      <c r="R303" s="13" t="b">
        <f t="shared" si="89"/>
        <v>0</v>
      </c>
      <c r="S303" s="13" t="str">
        <f t="shared" si="90"/>
        <v>04</v>
      </c>
      <c r="T303" s="13" t="str">
        <f t="shared" si="91"/>
        <v>CANS</v>
      </c>
      <c r="U303" s="13" t="str">
        <f t="shared" si="92"/>
        <v>cans</v>
      </c>
      <c r="V303" s="13">
        <f t="shared" si="93"/>
        <v>2</v>
      </c>
      <c r="W303" s="13" t="str">
        <f t="shared" si="94"/>
        <v>T039796 7</v>
      </c>
      <c r="X303" s="13" t="str">
        <f t="shared" si="95"/>
        <v>S55719</v>
      </c>
      <c r="Y303" s="13" t="str">
        <f t="shared" si="96"/>
        <v>T03</v>
      </c>
      <c r="Z303" s="13" t="str">
        <f t="shared" si="97"/>
        <v>796</v>
      </c>
      <c r="AA303" s="13">
        <f t="shared" si="98"/>
        <v>2</v>
      </c>
      <c r="AB303" s="13">
        <f t="shared" si="99"/>
        <v>4</v>
      </c>
      <c r="AC303" s="13"/>
      <c r="AD303" s="13"/>
      <c r="AE303" s="13"/>
    </row>
    <row r="304" spans="1:31" ht="30" x14ac:dyDescent="0.25">
      <c r="A304" s="9" t="s">
        <v>63</v>
      </c>
      <c r="B304" s="9" t="s">
        <v>381</v>
      </c>
      <c r="C304" s="9" t="s">
        <v>1101</v>
      </c>
      <c r="D304" s="9" t="s">
        <v>612</v>
      </c>
      <c r="E304" s="9" t="s">
        <v>237</v>
      </c>
      <c r="F304" s="9">
        <v>6</v>
      </c>
      <c r="G304" s="9" t="s">
        <v>416</v>
      </c>
      <c r="H304" s="9">
        <v>21</v>
      </c>
      <c r="I304" s="13">
        <f t="shared" si="80"/>
        <v>126</v>
      </c>
      <c r="J304" s="13">
        <f t="shared" si="81"/>
        <v>157</v>
      </c>
      <c r="K304" s="13">
        <f t="shared" si="82"/>
        <v>154</v>
      </c>
      <c r="L304" s="13">
        <f t="shared" si="83"/>
        <v>65</v>
      </c>
      <c r="M304" s="13">
        <f t="shared" si="84"/>
        <v>4</v>
      </c>
      <c r="N304" s="13" t="b">
        <f t="shared" si="85"/>
        <v>1</v>
      </c>
      <c r="O304" s="13" t="b">
        <f t="shared" si="86"/>
        <v>1</v>
      </c>
      <c r="P304" s="13" t="str">
        <f t="shared" si="87"/>
        <v>C001890-pk</v>
      </c>
      <c r="Q304" s="14" t="str">
        <f t="shared" si="88"/>
        <v>T016001
6</v>
      </c>
      <c r="R304" s="13" t="b">
        <f t="shared" si="89"/>
        <v>0</v>
      </c>
      <c r="S304" s="13" t="str">
        <f t="shared" si="90"/>
        <v>25</v>
      </c>
      <c r="T304" s="13" t="str">
        <f t="shared" si="91"/>
        <v>PK</v>
      </c>
      <c r="U304" s="13" t="str">
        <f t="shared" si="92"/>
        <v>pk</v>
      </c>
      <c r="V304" s="13">
        <f t="shared" si="93"/>
        <v>2</v>
      </c>
      <c r="W304" s="13" t="str">
        <f t="shared" si="94"/>
        <v>T016001 6</v>
      </c>
      <c r="X304" s="13" t="str">
        <f t="shared" si="95"/>
        <v>S55716</v>
      </c>
      <c r="Y304" s="13" t="str">
        <f t="shared" si="96"/>
        <v>T01</v>
      </c>
      <c r="Z304" s="13" t="str">
        <f t="shared" si="97"/>
        <v>001</v>
      </c>
      <c r="AA304" s="13">
        <f t="shared" si="98"/>
        <v>2</v>
      </c>
      <c r="AB304" s="13">
        <f t="shared" si="99"/>
        <v>2</v>
      </c>
      <c r="AC304" s="13"/>
      <c r="AD304" s="13"/>
      <c r="AE304" s="13"/>
    </row>
    <row r="305" spans="1:31" ht="30" x14ac:dyDescent="0.25">
      <c r="A305" s="9" t="s">
        <v>752</v>
      </c>
      <c r="B305" s="9" t="s">
        <v>1102</v>
      </c>
      <c r="C305" s="9" t="s">
        <v>1103</v>
      </c>
      <c r="D305" s="9" t="s">
        <v>221</v>
      </c>
      <c r="E305" s="9" t="s">
        <v>551</v>
      </c>
      <c r="F305" s="9">
        <v>9</v>
      </c>
      <c r="G305" s="9" t="s">
        <v>14</v>
      </c>
      <c r="H305" s="9">
        <v>45</v>
      </c>
      <c r="I305" s="13">
        <f t="shared" si="80"/>
        <v>405</v>
      </c>
      <c r="J305" s="13">
        <f t="shared" si="81"/>
        <v>7</v>
      </c>
      <c r="K305" s="13">
        <f t="shared" si="82"/>
        <v>7</v>
      </c>
      <c r="L305" s="13">
        <f t="shared" si="83"/>
        <v>1333</v>
      </c>
      <c r="M305" s="13">
        <f t="shared" si="84"/>
        <v>68</v>
      </c>
      <c r="N305" s="13" t="b">
        <f t="shared" si="85"/>
        <v>1</v>
      </c>
      <c r="O305" s="13" t="b">
        <f t="shared" si="86"/>
        <v>1</v>
      </c>
      <c r="P305" s="13" t="str">
        <f t="shared" si="87"/>
        <v>C008249-ct</v>
      </c>
      <c r="Q305" s="14" t="str">
        <f t="shared" si="88"/>
        <v>T092806
9</v>
      </c>
      <c r="R305" s="13" t="b">
        <f t="shared" si="89"/>
        <v>0</v>
      </c>
      <c r="S305" s="13" t="str">
        <f t="shared" si="90"/>
        <v>12</v>
      </c>
      <c r="T305" s="13" t="str">
        <f t="shared" si="91"/>
        <v>CT</v>
      </c>
      <c r="U305" s="13" t="str">
        <f t="shared" si="92"/>
        <v>ct</v>
      </c>
      <c r="V305" s="13">
        <f t="shared" si="93"/>
        <v>2</v>
      </c>
      <c r="W305" s="13" t="str">
        <f t="shared" si="94"/>
        <v>T092806 9</v>
      </c>
      <c r="X305" s="13" t="str">
        <f t="shared" si="95"/>
        <v>S55551</v>
      </c>
      <c r="Y305" s="13" t="str">
        <f t="shared" si="96"/>
        <v>T09</v>
      </c>
      <c r="Z305" s="13" t="str">
        <f t="shared" si="97"/>
        <v>806</v>
      </c>
      <c r="AA305" s="13">
        <f t="shared" si="98"/>
        <v>2</v>
      </c>
      <c r="AB305" s="13">
        <f t="shared" si="99"/>
        <v>2</v>
      </c>
      <c r="AC305" s="13"/>
      <c r="AD305" s="13"/>
      <c r="AE305" s="13"/>
    </row>
    <row r="306" spans="1:31" ht="30" x14ac:dyDescent="0.25">
      <c r="A306" s="9" t="s">
        <v>125</v>
      </c>
      <c r="B306" s="9" t="s">
        <v>1104</v>
      </c>
      <c r="C306" s="9" t="s">
        <v>1105</v>
      </c>
      <c r="D306" s="9" t="s">
        <v>984</v>
      </c>
      <c r="E306" s="9" t="s">
        <v>1106</v>
      </c>
      <c r="F306" s="9">
        <v>5</v>
      </c>
      <c r="G306" s="9" t="s">
        <v>14</v>
      </c>
      <c r="H306" s="9">
        <v>17</v>
      </c>
      <c r="I306" s="13">
        <f t="shared" si="80"/>
        <v>85</v>
      </c>
      <c r="J306" s="13">
        <f t="shared" si="81"/>
        <v>258</v>
      </c>
      <c r="K306" s="13">
        <f t="shared" si="82"/>
        <v>257</v>
      </c>
      <c r="L306" s="13">
        <f t="shared" si="83"/>
        <v>1288</v>
      </c>
      <c r="M306" s="13">
        <f t="shared" si="84"/>
        <v>67</v>
      </c>
      <c r="N306" s="13" t="b">
        <f t="shared" si="85"/>
        <v>0</v>
      </c>
      <c r="O306" s="13" t="b">
        <f t="shared" si="86"/>
        <v>1</v>
      </c>
      <c r="P306" s="13" t="str">
        <f t="shared" si="87"/>
        <v>C007549-ct</v>
      </c>
      <c r="Q306" s="14" t="str">
        <f t="shared" si="88"/>
        <v>T093438
5</v>
      </c>
      <c r="R306" s="13" t="b">
        <f t="shared" si="89"/>
        <v>0</v>
      </c>
      <c r="S306" s="13" t="str">
        <f t="shared" si="90"/>
        <v>22</v>
      </c>
      <c r="T306" s="13" t="str">
        <f t="shared" si="91"/>
        <v>CT</v>
      </c>
      <c r="U306" s="13" t="str">
        <f t="shared" si="92"/>
        <v>ct</v>
      </c>
      <c r="V306" s="13">
        <f t="shared" si="93"/>
        <v>2</v>
      </c>
      <c r="W306" s="13" t="str">
        <f t="shared" si="94"/>
        <v>T093438 5</v>
      </c>
      <c r="X306" s="13" t="str">
        <f t="shared" si="95"/>
        <v>S55593</v>
      </c>
      <c r="Y306" s="13" t="str">
        <f t="shared" si="96"/>
        <v>T09</v>
      </c>
      <c r="Z306" s="13" t="str">
        <f t="shared" si="97"/>
        <v>438</v>
      </c>
      <c r="AA306" s="13">
        <f t="shared" si="98"/>
        <v>2</v>
      </c>
      <c r="AB306" s="13">
        <f t="shared" si="99"/>
        <v>2</v>
      </c>
      <c r="AC306" s="13"/>
      <c r="AD306" s="13"/>
      <c r="AE306" s="13"/>
    </row>
    <row r="307" spans="1:31" ht="30" x14ac:dyDescent="0.25">
      <c r="A307" s="9" t="s">
        <v>134</v>
      </c>
      <c r="B307" s="9" t="s">
        <v>1107</v>
      </c>
      <c r="C307" s="9" t="s">
        <v>1108</v>
      </c>
      <c r="D307" s="9" t="s">
        <v>485</v>
      </c>
      <c r="E307" s="9" t="s">
        <v>1109</v>
      </c>
      <c r="F307" s="9">
        <v>5</v>
      </c>
      <c r="G307" s="9" t="s">
        <v>14</v>
      </c>
      <c r="H307" s="9">
        <v>32</v>
      </c>
      <c r="I307" s="13">
        <f t="shared" si="80"/>
        <v>160</v>
      </c>
      <c r="J307" s="13">
        <f t="shared" si="81"/>
        <v>90.5</v>
      </c>
      <c r="K307" s="13">
        <f t="shared" si="82"/>
        <v>84</v>
      </c>
      <c r="L307" s="13">
        <f t="shared" si="83"/>
        <v>1271</v>
      </c>
      <c r="M307" s="13">
        <f t="shared" si="84"/>
        <v>66</v>
      </c>
      <c r="N307" s="13" t="b">
        <f t="shared" si="85"/>
        <v>1</v>
      </c>
      <c r="O307" s="13" t="b">
        <f t="shared" si="86"/>
        <v>1</v>
      </c>
      <c r="P307" s="13" t="str">
        <f t="shared" si="87"/>
        <v>C005685-ct</v>
      </c>
      <c r="Q307" s="14" t="str">
        <f t="shared" si="88"/>
        <v>T05277
5</v>
      </c>
      <c r="R307" s="13" t="b">
        <f t="shared" si="89"/>
        <v>0</v>
      </c>
      <c r="S307" s="13" t="str">
        <f t="shared" si="90"/>
        <v>13</v>
      </c>
      <c r="T307" s="13" t="str">
        <f t="shared" si="91"/>
        <v>CT</v>
      </c>
      <c r="U307" s="13" t="str">
        <f t="shared" si="92"/>
        <v>ct</v>
      </c>
      <c r="V307" s="13">
        <f t="shared" si="93"/>
        <v>2</v>
      </c>
      <c r="W307" s="13" t="str">
        <f t="shared" si="94"/>
        <v>T05277 5</v>
      </c>
      <c r="X307" s="13" t="str">
        <f t="shared" si="95"/>
        <v>S55247</v>
      </c>
      <c r="Y307" s="13" t="str">
        <f t="shared" si="96"/>
        <v>T05</v>
      </c>
      <c r="Z307" s="13" t="str">
        <f t="shared" si="97"/>
        <v>277</v>
      </c>
      <c r="AA307" s="13">
        <f t="shared" si="98"/>
        <v>2</v>
      </c>
      <c r="AB307" s="13">
        <f t="shared" si="99"/>
        <v>2</v>
      </c>
      <c r="AC307" s="13"/>
      <c r="AD307" s="13"/>
      <c r="AE307" s="13"/>
    </row>
    <row r="308" spans="1:31" ht="30" x14ac:dyDescent="0.25">
      <c r="A308" s="9" t="s">
        <v>227</v>
      </c>
      <c r="B308" s="9" t="s">
        <v>1110</v>
      </c>
      <c r="C308" s="9" t="s">
        <v>1111</v>
      </c>
      <c r="D308" s="9" t="s">
        <v>242</v>
      </c>
      <c r="E308" s="9" t="s">
        <v>1112</v>
      </c>
      <c r="F308" s="9">
        <v>5</v>
      </c>
      <c r="G308" s="9" t="s">
        <v>36</v>
      </c>
      <c r="H308" s="9">
        <v>6.75</v>
      </c>
      <c r="I308" s="13">
        <f t="shared" si="80"/>
        <v>33.75</v>
      </c>
      <c r="J308" s="13">
        <f t="shared" si="81"/>
        <v>426</v>
      </c>
      <c r="K308" s="13">
        <f t="shared" si="82"/>
        <v>424</v>
      </c>
      <c r="L308" s="13">
        <f t="shared" si="83"/>
        <v>926.75</v>
      </c>
      <c r="M308" s="13">
        <f t="shared" si="84"/>
        <v>51</v>
      </c>
      <c r="N308" s="13" t="b">
        <f t="shared" si="85"/>
        <v>0</v>
      </c>
      <c r="O308" s="13" t="b">
        <f t="shared" si="86"/>
        <v>1</v>
      </c>
      <c r="P308" s="13" t="str">
        <f t="shared" si="87"/>
        <v>C001656-cans</v>
      </c>
      <c r="Q308" s="14" t="str">
        <f t="shared" si="88"/>
        <v>T085875
5</v>
      </c>
      <c r="R308" s="13" t="b">
        <f t="shared" si="89"/>
        <v>0</v>
      </c>
      <c r="S308" s="13" t="str">
        <f t="shared" si="90"/>
        <v>00</v>
      </c>
      <c r="T308" s="13" t="str">
        <f t="shared" si="91"/>
        <v>CANS</v>
      </c>
      <c r="U308" s="13" t="str">
        <f t="shared" si="92"/>
        <v>cans</v>
      </c>
      <c r="V308" s="13">
        <f t="shared" si="93"/>
        <v>2</v>
      </c>
      <c r="W308" s="13" t="str">
        <f t="shared" si="94"/>
        <v>T085875 5</v>
      </c>
      <c r="X308" s="13" t="str">
        <f t="shared" si="95"/>
        <v>S55695</v>
      </c>
      <c r="Y308" s="13" t="str">
        <f t="shared" si="96"/>
        <v>T08</v>
      </c>
      <c r="Z308" s="13" t="str">
        <f t="shared" si="97"/>
        <v>875</v>
      </c>
      <c r="AA308" s="13">
        <f t="shared" si="98"/>
        <v>2</v>
      </c>
      <c r="AB308" s="13">
        <f t="shared" si="99"/>
        <v>4</v>
      </c>
      <c r="AC308" s="13"/>
      <c r="AD308" s="13"/>
      <c r="AE308" s="13"/>
    </row>
    <row r="309" spans="1:31" ht="30" x14ac:dyDescent="0.25">
      <c r="A309" s="9" t="s">
        <v>134</v>
      </c>
      <c r="B309" s="9" t="s">
        <v>1113</v>
      </c>
      <c r="C309" s="9" t="s">
        <v>1114</v>
      </c>
      <c r="D309" s="9" t="s">
        <v>423</v>
      </c>
      <c r="E309" s="9" t="s">
        <v>1115</v>
      </c>
      <c r="F309" s="9">
        <v>6</v>
      </c>
      <c r="G309" s="9" t="s">
        <v>416</v>
      </c>
      <c r="H309" s="9">
        <v>15</v>
      </c>
      <c r="I309" s="13">
        <f t="shared" si="80"/>
        <v>90</v>
      </c>
      <c r="J309" s="13">
        <f t="shared" si="81"/>
        <v>245</v>
      </c>
      <c r="K309" s="13">
        <f t="shared" si="82"/>
        <v>239</v>
      </c>
      <c r="L309" s="13">
        <f t="shared" si="83"/>
        <v>44</v>
      </c>
      <c r="M309" s="13">
        <f t="shared" si="84"/>
        <v>3</v>
      </c>
      <c r="N309" s="13" t="b">
        <f t="shared" si="85"/>
        <v>0</v>
      </c>
      <c r="O309" s="13" t="b">
        <f t="shared" si="86"/>
        <v>1</v>
      </c>
      <c r="P309" s="13" t="str">
        <f t="shared" si="87"/>
        <v>C003956-pk</v>
      </c>
      <c r="Q309" s="14" t="str">
        <f t="shared" si="88"/>
        <v>T014090
6</v>
      </c>
      <c r="R309" s="13" t="b">
        <f t="shared" si="89"/>
        <v>0</v>
      </c>
      <c r="S309" s="13" t="str">
        <f t="shared" si="90"/>
        <v>23</v>
      </c>
      <c r="T309" s="13" t="str">
        <f t="shared" si="91"/>
        <v>PK</v>
      </c>
      <c r="U309" s="13" t="str">
        <f t="shared" si="92"/>
        <v>pk</v>
      </c>
      <c r="V309" s="13">
        <f t="shared" si="93"/>
        <v>2</v>
      </c>
      <c r="W309" s="13" t="str">
        <f t="shared" si="94"/>
        <v>T014090 6</v>
      </c>
      <c r="X309" s="13" t="str">
        <f t="shared" si="95"/>
        <v>S55615</v>
      </c>
      <c r="Y309" s="13" t="str">
        <f t="shared" si="96"/>
        <v>T01</v>
      </c>
      <c r="Z309" s="13" t="str">
        <f t="shared" si="97"/>
        <v>090</v>
      </c>
      <c r="AA309" s="13">
        <f t="shared" si="98"/>
        <v>2</v>
      </c>
      <c r="AB309" s="13">
        <f t="shared" si="99"/>
        <v>2</v>
      </c>
      <c r="AC309" s="13"/>
      <c r="AD309" s="13"/>
      <c r="AE309" s="13"/>
    </row>
    <row r="310" spans="1:31" ht="30" x14ac:dyDescent="0.25">
      <c r="A310" s="9" t="s">
        <v>233</v>
      </c>
      <c r="B310" s="9" t="s">
        <v>1116</v>
      </c>
      <c r="C310" s="9" t="s">
        <v>1117</v>
      </c>
      <c r="D310" s="9" t="s">
        <v>984</v>
      </c>
      <c r="E310" s="9" t="s">
        <v>1118</v>
      </c>
      <c r="F310" s="9">
        <v>7</v>
      </c>
      <c r="G310" s="9" t="s">
        <v>14</v>
      </c>
      <c r="H310" s="9">
        <v>17</v>
      </c>
      <c r="I310" s="13">
        <f t="shared" si="80"/>
        <v>119</v>
      </c>
      <c r="J310" s="13">
        <f t="shared" si="81"/>
        <v>179.5</v>
      </c>
      <c r="K310" s="13">
        <f t="shared" si="82"/>
        <v>178</v>
      </c>
      <c r="L310" s="13">
        <f t="shared" si="83"/>
        <v>1239</v>
      </c>
      <c r="M310" s="13">
        <f t="shared" si="84"/>
        <v>65</v>
      </c>
      <c r="N310" s="13" t="b">
        <f t="shared" si="85"/>
        <v>0</v>
      </c>
      <c r="O310" s="13" t="b">
        <f t="shared" si="86"/>
        <v>1</v>
      </c>
      <c r="P310" s="13" t="str">
        <f t="shared" si="87"/>
        <v>C003913-ct</v>
      </c>
      <c r="Q310" s="14" t="str">
        <f t="shared" si="88"/>
        <v>T070720
7</v>
      </c>
      <c r="R310" s="13" t="b">
        <f t="shared" si="89"/>
        <v>0</v>
      </c>
      <c r="S310" s="13" t="str">
        <f t="shared" si="90"/>
        <v>22</v>
      </c>
      <c r="T310" s="13" t="str">
        <f t="shared" si="91"/>
        <v>CT</v>
      </c>
      <c r="U310" s="13" t="str">
        <f t="shared" si="92"/>
        <v>ct</v>
      </c>
      <c r="V310" s="13">
        <f t="shared" si="93"/>
        <v>2</v>
      </c>
      <c r="W310" s="13" t="str">
        <f t="shared" si="94"/>
        <v>T070720 7</v>
      </c>
      <c r="X310" s="13" t="str">
        <f t="shared" si="95"/>
        <v>S55146</v>
      </c>
      <c r="Y310" s="13" t="str">
        <f t="shared" si="96"/>
        <v>T07</v>
      </c>
      <c r="Z310" s="13" t="str">
        <f t="shared" si="97"/>
        <v>720</v>
      </c>
      <c r="AA310" s="13">
        <f t="shared" si="98"/>
        <v>2</v>
      </c>
      <c r="AB310" s="13">
        <f t="shared" si="99"/>
        <v>2</v>
      </c>
      <c r="AC310" s="13"/>
      <c r="AD310" s="13"/>
      <c r="AE310" s="13"/>
    </row>
    <row r="311" spans="1:31" ht="30" x14ac:dyDescent="0.25">
      <c r="A311" s="9" t="s">
        <v>116</v>
      </c>
      <c r="B311" s="9" t="s">
        <v>1119</v>
      </c>
      <c r="C311" s="9" t="s">
        <v>1120</v>
      </c>
      <c r="D311" s="9" t="s">
        <v>1121</v>
      </c>
      <c r="E311" s="9" t="s">
        <v>1122</v>
      </c>
      <c r="F311" s="9">
        <v>6</v>
      </c>
      <c r="G311" s="9" t="s">
        <v>416</v>
      </c>
      <c r="H311" s="9">
        <v>14</v>
      </c>
      <c r="I311" s="13">
        <f t="shared" si="80"/>
        <v>84</v>
      </c>
      <c r="J311" s="13">
        <f t="shared" si="81"/>
        <v>263.5</v>
      </c>
      <c r="K311" s="13">
        <f t="shared" si="82"/>
        <v>260</v>
      </c>
      <c r="L311" s="13">
        <f t="shared" si="83"/>
        <v>29</v>
      </c>
      <c r="M311" s="13">
        <f t="shared" si="84"/>
        <v>2</v>
      </c>
      <c r="N311" s="13" t="b">
        <f t="shared" si="85"/>
        <v>0</v>
      </c>
      <c r="O311" s="13" t="b">
        <f t="shared" si="86"/>
        <v>1</v>
      </c>
      <c r="P311" s="13" t="str">
        <f t="shared" si="87"/>
        <v>C000236-pk</v>
      </c>
      <c r="Q311" s="14" t="str">
        <f t="shared" si="88"/>
        <v>T08358
6</v>
      </c>
      <c r="R311" s="13" t="b">
        <f t="shared" si="89"/>
        <v>0</v>
      </c>
      <c r="S311" s="13" t="str">
        <f t="shared" si="90"/>
        <v>23</v>
      </c>
      <c r="T311" s="13" t="str">
        <f t="shared" si="91"/>
        <v>PK</v>
      </c>
      <c r="U311" s="13" t="str">
        <f t="shared" si="92"/>
        <v>pk</v>
      </c>
      <c r="V311" s="13">
        <f t="shared" si="93"/>
        <v>2</v>
      </c>
      <c r="W311" s="13" t="str">
        <f t="shared" si="94"/>
        <v>T08358 6</v>
      </c>
      <c r="X311" s="13" t="str">
        <f t="shared" si="95"/>
        <v>S55374</v>
      </c>
      <c r="Y311" s="13" t="str">
        <f t="shared" si="96"/>
        <v>T08</v>
      </c>
      <c r="Z311" s="13" t="str">
        <f t="shared" si="97"/>
        <v>358</v>
      </c>
      <c r="AA311" s="13">
        <f t="shared" si="98"/>
        <v>2</v>
      </c>
      <c r="AB311" s="13">
        <f t="shared" si="99"/>
        <v>2</v>
      </c>
      <c r="AC311" s="13"/>
      <c r="AD311" s="13"/>
      <c r="AE311" s="13"/>
    </row>
    <row r="312" spans="1:31" ht="30" x14ac:dyDescent="0.25">
      <c r="A312" s="9" t="s">
        <v>9</v>
      </c>
      <c r="B312" s="9" t="s">
        <v>1123</v>
      </c>
      <c r="C312" s="9" t="s">
        <v>1124</v>
      </c>
      <c r="D312" s="9" t="s">
        <v>458</v>
      </c>
      <c r="E312" s="9" t="s">
        <v>713</v>
      </c>
      <c r="F312" s="9">
        <v>5</v>
      </c>
      <c r="G312" s="9" t="s">
        <v>278</v>
      </c>
      <c r="H312" s="9">
        <v>13</v>
      </c>
      <c r="I312" s="13">
        <f t="shared" si="80"/>
        <v>65</v>
      </c>
      <c r="J312" s="13">
        <f t="shared" si="81"/>
        <v>321.5</v>
      </c>
      <c r="K312" s="13">
        <f t="shared" si="82"/>
        <v>320</v>
      </c>
      <c r="L312" s="13">
        <f t="shared" si="83"/>
        <v>123</v>
      </c>
      <c r="M312" s="13">
        <f t="shared" si="84"/>
        <v>9</v>
      </c>
      <c r="N312" s="13" t="b">
        <f t="shared" si="85"/>
        <v>0</v>
      </c>
      <c r="O312" s="13" t="b">
        <f t="shared" si="86"/>
        <v>1</v>
      </c>
      <c r="P312" s="13" t="str">
        <f t="shared" si="87"/>
        <v>C001625-ct.</v>
      </c>
      <c r="Q312" s="14" t="str">
        <f t="shared" si="88"/>
        <v>T083023
5</v>
      </c>
      <c r="R312" s="13" t="b">
        <f t="shared" si="89"/>
        <v>0</v>
      </c>
      <c r="S312" s="13" t="str">
        <f t="shared" si="90"/>
        <v>18</v>
      </c>
      <c r="T312" s="13" t="str">
        <f t="shared" si="91"/>
        <v>CT.</v>
      </c>
      <c r="U312" s="13" t="str">
        <f t="shared" si="92"/>
        <v>ct.</v>
      </c>
      <c r="V312" s="13">
        <f t="shared" si="93"/>
        <v>2</v>
      </c>
      <c r="W312" s="13" t="str">
        <f t="shared" si="94"/>
        <v>T083023 5</v>
      </c>
      <c r="X312" s="13" t="str">
        <f t="shared" si="95"/>
        <v>S55677</v>
      </c>
      <c r="Y312" s="13" t="str">
        <f t="shared" si="96"/>
        <v>T08</v>
      </c>
      <c r="Z312" s="13" t="str">
        <f t="shared" si="97"/>
        <v>023</v>
      </c>
      <c r="AA312" s="13">
        <f t="shared" si="98"/>
        <v>2</v>
      </c>
      <c r="AB312" s="13">
        <f t="shared" si="99"/>
        <v>3</v>
      </c>
      <c r="AC312" s="13"/>
      <c r="AD312" s="13"/>
      <c r="AE312" s="13"/>
    </row>
    <row r="313" spans="1:31" ht="30" x14ac:dyDescent="0.25">
      <c r="A313" s="9" t="s">
        <v>177</v>
      </c>
      <c r="B313" s="9" t="s">
        <v>1125</v>
      </c>
      <c r="C313" s="9" t="s">
        <v>1126</v>
      </c>
      <c r="D313" s="9" t="s">
        <v>458</v>
      </c>
      <c r="E313" s="9" t="s">
        <v>962</v>
      </c>
      <c r="F313" s="9">
        <v>2</v>
      </c>
      <c r="G313" s="9" t="s">
        <v>278</v>
      </c>
      <c r="H313" s="9">
        <v>13</v>
      </c>
      <c r="I313" s="13">
        <f t="shared" si="80"/>
        <v>26</v>
      </c>
      <c r="J313" s="13">
        <f t="shared" si="81"/>
        <v>448.5</v>
      </c>
      <c r="K313" s="13">
        <f t="shared" si="82"/>
        <v>447</v>
      </c>
      <c r="L313" s="13">
        <f t="shared" si="83"/>
        <v>110</v>
      </c>
      <c r="M313" s="13">
        <f t="shared" si="84"/>
        <v>8</v>
      </c>
      <c r="N313" s="13" t="b">
        <f t="shared" si="85"/>
        <v>0</v>
      </c>
      <c r="O313" s="13" t="b">
        <f t="shared" si="86"/>
        <v>1</v>
      </c>
      <c r="P313" s="13" t="str">
        <f t="shared" si="87"/>
        <v>C008610-ct.</v>
      </c>
      <c r="Q313" s="14" t="str">
        <f t="shared" si="88"/>
        <v>T095386
2</v>
      </c>
      <c r="R313" s="13" t="b">
        <f t="shared" si="89"/>
        <v>0</v>
      </c>
      <c r="S313" s="13" t="str">
        <f t="shared" si="90"/>
        <v>18</v>
      </c>
      <c r="T313" s="13" t="str">
        <f t="shared" si="91"/>
        <v>CT.</v>
      </c>
      <c r="U313" s="13" t="str">
        <f t="shared" si="92"/>
        <v>ct.</v>
      </c>
      <c r="V313" s="13">
        <f t="shared" si="93"/>
        <v>2</v>
      </c>
      <c r="W313" s="13" t="str">
        <f t="shared" si="94"/>
        <v>T095386 2</v>
      </c>
      <c r="X313" s="13" t="str">
        <f t="shared" si="95"/>
        <v>S55373</v>
      </c>
      <c r="Y313" s="13" t="str">
        <f t="shared" si="96"/>
        <v>T09</v>
      </c>
      <c r="Z313" s="13" t="str">
        <f t="shared" si="97"/>
        <v>386</v>
      </c>
      <c r="AA313" s="13">
        <f t="shared" si="98"/>
        <v>2</v>
      </c>
      <c r="AB313" s="13">
        <f t="shared" si="99"/>
        <v>3</v>
      </c>
      <c r="AC313" s="13"/>
      <c r="AD313" s="13"/>
      <c r="AE313" s="13"/>
    </row>
    <row r="314" spans="1:31" ht="30" x14ac:dyDescent="0.25">
      <c r="A314" s="9" t="s">
        <v>134</v>
      </c>
      <c r="B314" s="9" t="s">
        <v>1127</v>
      </c>
      <c r="C314" s="9" t="s">
        <v>1128</v>
      </c>
      <c r="D314" s="9" t="s">
        <v>230</v>
      </c>
      <c r="E314" s="9" t="s">
        <v>1129</v>
      </c>
      <c r="F314" s="9">
        <v>3</v>
      </c>
      <c r="G314" s="9" t="s">
        <v>232</v>
      </c>
      <c r="H314" s="9">
        <v>19</v>
      </c>
      <c r="I314" s="13">
        <f t="shared" si="80"/>
        <v>57</v>
      </c>
      <c r="J314" s="13">
        <f t="shared" si="81"/>
        <v>355</v>
      </c>
      <c r="K314" s="13">
        <f t="shared" si="82"/>
        <v>354</v>
      </c>
      <c r="L314" s="13">
        <f t="shared" si="83"/>
        <v>19</v>
      </c>
      <c r="M314" s="13">
        <f t="shared" si="84"/>
        <v>1</v>
      </c>
      <c r="N314" s="13" t="b">
        <f t="shared" si="85"/>
        <v>0</v>
      </c>
      <c r="O314" s="13" t="b">
        <f t="shared" si="86"/>
        <v>1</v>
      </c>
      <c r="P314" s="13" t="str">
        <f t="shared" si="87"/>
        <v>C001357-cartons</v>
      </c>
      <c r="Q314" s="14" t="str">
        <f t="shared" si="88"/>
        <v>T036196
3</v>
      </c>
      <c r="R314" s="13" t="b">
        <f t="shared" si="89"/>
        <v>0</v>
      </c>
      <c r="S314" s="13" t="str">
        <f t="shared" si="90"/>
        <v>09</v>
      </c>
      <c r="T314" s="13" t="str">
        <f t="shared" si="91"/>
        <v>CARTONS</v>
      </c>
      <c r="U314" s="13" t="str">
        <f t="shared" si="92"/>
        <v>cartons</v>
      </c>
      <c r="V314" s="13">
        <f t="shared" si="93"/>
        <v>2</v>
      </c>
      <c r="W314" s="13" t="str">
        <f t="shared" si="94"/>
        <v>T036196 3</v>
      </c>
      <c r="X314" s="13" t="str">
        <f t="shared" si="95"/>
        <v>S55412</v>
      </c>
      <c r="Y314" s="13" t="str">
        <f t="shared" si="96"/>
        <v>T03</v>
      </c>
      <c r="Z314" s="13" t="str">
        <f t="shared" si="97"/>
        <v>196</v>
      </c>
      <c r="AA314" s="13">
        <f t="shared" si="98"/>
        <v>2</v>
      </c>
      <c r="AB314" s="13">
        <f t="shared" si="99"/>
        <v>7</v>
      </c>
      <c r="AC314" s="13"/>
      <c r="AD314" s="13"/>
      <c r="AE314" s="13"/>
    </row>
    <row r="315" spans="1:31" ht="30" x14ac:dyDescent="0.25">
      <c r="A315" s="9" t="s">
        <v>171</v>
      </c>
      <c r="B315" s="9" t="s">
        <v>1130</v>
      </c>
      <c r="C315" s="9" t="s">
        <v>1131</v>
      </c>
      <c r="D315" s="9" t="s">
        <v>286</v>
      </c>
      <c r="E315" s="9" t="s">
        <v>358</v>
      </c>
      <c r="F315" s="9">
        <v>8</v>
      </c>
      <c r="G315" s="9" t="s">
        <v>14</v>
      </c>
      <c r="H315" s="9">
        <v>15</v>
      </c>
      <c r="I315" s="13">
        <f t="shared" si="80"/>
        <v>120</v>
      </c>
      <c r="J315" s="13">
        <f t="shared" si="81"/>
        <v>169.5</v>
      </c>
      <c r="K315" s="13">
        <f t="shared" si="82"/>
        <v>162</v>
      </c>
      <c r="L315" s="13">
        <f t="shared" si="83"/>
        <v>1222</v>
      </c>
      <c r="M315" s="13">
        <f t="shared" si="84"/>
        <v>64</v>
      </c>
      <c r="N315" s="13" t="b">
        <f t="shared" si="85"/>
        <v>0</v>
      </c>
      <c r="O315" s="13" t="b">
        <f t="shared" si="86"/>
        <v>1</v>
      </c>
      <c r="P315" s="13" t="str">
        <f t="shared" si="87"/>
        <v>C001865-ct</v>
      </c>
      <c r="Q315" s="14" t="str">
        <f t="shared" si="88"/>
        <v>T070372
8</v>
      </c>
      <c r="R315" s="13" t="b">
        <f t="shared" si="89"/>
        <v>0</v>
      </c>
      <c r="S315" s="13" t="str">
        <f t="shared" si="90"/>
        <v>12</v>
      </c>
      <c r="T315" s="13" t="str">
        <f t="shared" si="91"/>
        <v>CT</v>
      </c>
      <c r="U315" s="13" t="str">
        <f t="shared" si="92"/>
        <v>ct</v>
      </c>
      <c r="V315" s="13">
        <f t="shared" si="93"/>
        <v>2</v>
      </c>
      <c r="W315" s="13" t="str">
        <f t="shared" si="94"/>
        <v>T070372 8</v>
      </c>
      <c r="X315" s="13" t="str">
        <f t="shared" si="95"/>
        <v>S55362</v>
      </c>
      <c r="Y315" s="13" t="str">
        <f t="shared" si="96"/>
        <v>T07</v>
      </c>
      <c r="Z315" s="13" t="str">
        <f t="shared" si="97"/>
        <v>372</v>
      </c>
      <c r="AA315" s="13">
        <f t="shared" si="98"/>
        <v>2</v>
      </c>
      <c r="AB315" s="13">
        <f t="shared" si="99"/>
        <v>2</v>
      </c>
      <c r="AC315" s="13"/>
      <c r="AD315" s="13"/>
      <c r="AE315" s="13"/>
    </row>
    <row r="316" spans="1:31" ht="30" x14ac:dyDescent="0.25">
      <c r="A316" s="9" t="s">
        <v>79</v>
      </c>
      <c r="B316" s="9" t="s">
        <v>1132</v>
      </c>
      <c r="C316" s="9" t="s">
        <v>1133</v>
      </c>
      <c r="D316" s="9" t="s">
        <v>216</v>
      </c>
      <c r="E316" s="9" t="s">
        <v>1134</v>
      </c>
      <c r="F316" s="9">
        <v>1</v>
      </c>
      <c r="G316" s="9" t="s">
        <v>36</v>
      </c>
      <c r="H316" s="9">
        <v>16</v>
      </c>
      <c r="I316" s="13">
        <f t="shared" si="80"/>
        <v>16</v>
      </c>
      <c r="J316" s="13">
        <f t="shared" si="81"/>
        <v>471</v>
      </c>
      <c r="K316" s="13">
        <f t="shared" si="82"/>
        <v>470</v>
      </c>
      <c r="L316" s="13">
        <f t="shared" si="83"/>
        <v>920</v>
      </c>
      <c r="M316" s="13">
        <f t="shared" si="84"/>
        <v>50</v>
      </c>
      <c r="N316" s="13" t="b">
        <f t="shared" si="85"/>
        <v>0</v>
      </c>
      <c r="O316" s="13" t="b">
        <f t="shared" si="86"/>
        <v>1</v>
      </c>
      <c r="P316" s="13" t="str">
        <f t="shared" si="87"/>
        <v>C002961-cans</v>
      </c>
      <c r="Q316" s="14" t="str">
        <f t="shared" si="88"/>
        <v>T09001
1</v>
      </c>
      <c r="R316" s="13" t="b">
        <f t="shared" si="89"/>
        <v>0</v>
      </c>
      <c r="S316" s="13" t="str">
        <f t="shared" si="90"/>
        <v>03</v>
      </c>
      <c r="T316" s="13" t="str">
        <f t="shared" si="91"/>
        <v>CANS</v>
      </c>
      <c r="U316" s="13" t="str">
        <f t="shared" si="92"/>
        <v>cans</v>
      </c>
      <c r="V316" s="13">
        <f t="shared" si="93"/>
        <v>2</v>
      </c>
      <c r="W316" s="13" t="str">
        <f t="shared" si="94"/>
        <v>T09001 1</v>
      </c>
      <c r="X316" s="13" t="str">
        <f t="shared" si="95"/>
        <v>S55156</v>
      </c>
      <c r="Y316" s="13" t="str">
        <f t="shared" si="96"/>
        <v>T09</v>
      </c>
      <c r="Z316" s="13" t="str">
        <f t="shared" si="97"/>
        <v>001</v>
      </c>
      <c r="AA316" s="13">
        <f t="shared" si="98"/>
        <v>2</v>
      </c>
      <c r="AB316" s="13">
        <f t="shared" si="99"/>
        <v>4</v>
      </c>
      <c r="AC316" s="13"/>
      <c r="AD316" s="13"/>
      <c r="AE316" s="13"/>
    </row>
    <row r="317" spans="1:31" ht="30" x14ac:dyDescent="0.25">
      <c r="A317" s="9" t="s">
        <v>110</v>
      </c>
      <c r="B317" s="9" t="s">
        <v>1135</v>
      </c>
      <c r="C317" s="9" t="s">
        <v>1136</v>
      </c>
      <c r="D317" s="9" t="s">
        <v>319</v>
      </c>
      <c r="E317" s="9" t="s">
        <v>1137</v>
      </c>
      <c r="F317" s="9">
        <v>4</v>
      </c>
      <c r="G317" s="9" t="s">
        <v>36</v>
      </c>
      <c r="H317" s="9">
        <v>40</v>
      </c>
      <c r="I317" s="13">
        <f t="shared" si="80"/>
        <v>160</v>
      </c>
      <c r="J317" s="13">
        <f t="shared" si="81"/>
        <v>90.5</v>
      </c>
      <c r="K317" s="13">
        <f t="shared" si="82"/>
        <v>84</v>
      </c>
      <c r="L317" s="13">
        <f t="shared" si="83"/>
        <v>904</v>
      </c>
      <c r="M317" s="13">
        <f t="shared" si="84"/>
        <v>49</v>
      </c>
      <c r="N317" s="13" t="b">
        <f t="shared" si="85"/>
        <v>1</v>
      </c>
      <c r="O317" s="13" t="b">
        <f t="shared" si="86"/>
        <v>1</v>
      </c>
      <c r="P317" s="13" t="str">
        <f t="shared" si="87"/>
        <v>C003323-cans</v>
      </c>
      <c r="Q317" s="14" t="str">
        <f t="shared" si="88"/>
        <v>T083040
4</v>
      </c>
      <c r="R317" s="13" t="b">
        <f t="shared" si="89"/>
        <v>0</v>
      </c>
      <c r="S317" s="13" t="str">
        <f t="shared" si="90"/>
        <v>05</v>
      </c>
      <c r="T317" s="13" t="str">
        <f t="shared" si="91"/>
        <v>CANS</v>
      </c>
      <c r="U317" s="13" t="str">
        <f t="shared" si="92"/>
        <v>cans</v>
      </c>
      <c r="V317" s="13">
        <f t="shared" si="93"/>
        <v>2</v>
      </c>
      <c r="W317" s="13" t="str">
        <f t="shared" si="94"/>
        <v>T083040 4</v>
      </c>
      <c r="X317" s="13" t="str">
        <f t="shared" si="95"/>
        <v>S5517</v>
      </c>
      <c r="Y317" s="13" t="str">
        <f t="shared" si="96"/>
        <v>T08</v>
      </c>
      <c r="Z317" s="13" t="str">
        <f t="shared" si="97"/>
        <v>040</v>
      </c>
      <c r="AA317" s="13">
        <f t="shared" si="98"/>
        <v>2</v>
      </c>
      <c r="AB317" s="13">
        <f t="shared" si="99"/>
        <v>4</v>
      </c>
      <c r="AC317" s="13"/>
      <c r="AD317" s="13"/>
      <c r="AE317" s="13"/>
    </row>
    <row r="318" spans="1:31" ht="30" x14ac:dyDescent="0.25">
      <c r="A318" s="9" t="s">
        <v>171</v>
      </c>
      <c r="B318" s="9" t="s">
        <v>1138</v>
      </c>
      <c r="C318" s="9" t="s">
        <v>1139</v>
      </c>
      <c r="D318" s="9" t="s">
        <v>922</v>
      </c>
      <c r="E318" s="9" t="s">
        <v>1140</v>
      </c>
      <c r="F318" s="9">
        <v>4</v>
      </c>
      <c r="G318" s="9" t="s">
        <v>36</v>
      </c>
      <c r="H318" s="9">
        <v>6.75</v>
      </c>
      <c r="I318" s="13">
        <f t="shared" si="80"/>
        <v>27</v>
      </c>
      <c r="J318" s="13">
        <f t="shared" si="81"/>
        <v>445.5</v>
      </c>
      <c r="K318" s="13">
        <f t="shared" si="82"/>
        <v>445</v>
      </c>
      <c r="L318" s="13">
        <f t="shared" si="83"/>
        <v>864</v>
      </c>
      <c r="M318" s="13">
        <f t="shared" si="84"/>
        <v>48</v>
      </c>
      <c r="N318" s="13" t="b">
        <f t="shared" si="85"/>
        <v>0</v>
      </c>
      <c r="O318" s="13" t="b">
        <f t="shared" si="86"/>
        <v>1</v>
      </c>
      <c r="P318" s="13" t="str">
        <f t="shared" si="87"/>
        <v>C008344-cans</v>
      </c>
      <c r="Q318" s="14" t="str">
        <f t="shared" si="88"/>
        <v>T050991
4</v>
      </c>
      <c r="R318" s="13" t="b">
        <f t="shared" si="89"/>
        <v>0</v>
      </c>
      <c r="S318" s="13" t="str">
        <f t="shared" si="90"/>
        <v>01</v>
      </c>
      <c r="T318" s="13" t="str">
        <f t="shared" si="91"/>
        <v>CANS</v>
      </c>
      <c r="U318" s="13" t="str">
        <f t="shared" si="92"/>
        <v>cans</v>
      </c>
      <c r="V318" s="13">
        <f t="shared" si="93"/>
        <v>2</v>
      </c>
      <c r="W318" s="13" t="str">
        <f t="shared" si="94"/>
        <v>T050991 4</v>
      </c>
      <c r="X318" s="13" t="str">
        <f t="shared" si="95"/>
        <v>S55137</v>
      </c>
      <c r="Y318" s="13" t="str">
        <f t="shared" si="96"/>
        <v>T05</v>
      </c>
      <c r="Z318" s="13" t="str">
        <f t="shared" si="97"/>
        <v>991</v>
      </c>
      <c r="AA318" s="13">
        <f t="shared" si="98"/>
        <v>2</v>
      </c>
      <c r="AB318" s="13">
        <f t="shared" si="99"/>
        <v>4</v>
      </c>
      <c r="AC318" s="13"/>
      <c r="AD318" s="13"/>
      <c r="AE318" s="13"/>
    </row>
    <row r="319" spans="1:31" ht="30" x14ac:dyDescent="0.25">
      <c r="A319" s="9" t="s">
        <v>227</v>
      </c>
      <c r="B319" s="9" t="s">
        <v>651</v>
      </c>
      <c r="C319" s="9" t="s">
        <v>1141</v>
      </c>
      <c r="D319" s="9" t="s">
        <v>1142</v>
      </c>
      <c r="E319" s="9" t="s">
        <v>159</v>
      </c>
      <c r="F319" s="9">
        <v>9</v>
      </c>
      <c r="G319" s="9" t="s">
        <v>176</v>
      </c>
      <c r="H319" s="9">
        <v>19</v>
      </c>
      <c r="I319" s="13">
        <f t="shared" si="80"/>
        <v>171</v>
      </c>
      <c r="J319" s="13">
        <f t="shared" si="81"/>
        <v>70.5</v>
      </c>
      <c r="K319" s="13">
        <f t="shared" si="82"/>
        <v>70</v>
      </c>
      <c r="L319" s="13">
        <f t="shared" si="83"/>
        <v>206.5</v>
      </c>
      <c r="M319" s="13">
        <f t="shared" si="84"/>
        <v>13</v>
      </c>
      <c r="N319" s="13" t="b">
        <f t="shared" si="85"/>
        <v>0</v>
      </c>
      <c r="O319" s="13" t="b">
        <f t="shared" si="86"/>
        <v>1</v>
      </c>
      <c r="P319" s="13" t="str">
        <f t="shared" si="87"/>
        <v>C001377-oz</v>
      </c>
      <c r="Q319" s="14" t="str">
        <f t="shared" si="88"/>
        <v>T058240
9</v>
      </c>
      <c r="R319" s="13" t="b">
        <f t="shared" si="89"/>
        <v>0</v>
      </c>
      <c r="S319" s="13" t="str">
        <f t="shared" si="90"/>
        <v>17</v>
      </c>
      <c r="T319" s="13" t="str">
        <f t="shared" si="91"/>
        <v>OZ</v>
      </c>
      <c r="U319" s="13" t="str">
        <f t="shared" si="92"/>
        <v>oz</v>
      </c>
      <c r="V319" s="13">
        <f t="shared" si="93"/>
        <v>2</v>
      </c>
      <c r="W319" s="13" t="str">
        <f t="shared" si="94"/>
        <v>T058240 9</v>
      </c>
      <c r="X319" s="13" t="str">
        <f t="shared" si="95"/>
        <v>S55462</v>
      </c>
      <c r="Y319" s="13" t="str">
        <f t="shared" si="96"/>
        <v>T05</v>
      </c>
      <c r="Z319" s="13" t="str">
        <f t="shared" si="97"/>
        <v>240</v>
      </c>
      <c r="AA319" s="13">
        <f t="shared" si="98"/>
        <v>2</v>
      </c>
      <c r="AB319" s="13">
        <f t="shared" si="99"/>
        <v>2</v>
      </c>
      <c r="AC319" s="13"/>
      <c r="AD319" s="13"/>
      <c r="AE319" s="13"/>
    </row>
    <row r="320" spans="1:31" ht="30" x14ac:dyDescent="0.25">
      <c r="A320" s="9" t="s">
        <v>146</v>
      </c>
      <c r="B320" s="9" t="s">
        <v>1143</v>
      </c>
      <c r="C320" s="9" t="s">
        <v>1144</v>
      </c>
      <c r="D320" s="9" t="s">
        <v>601</v>
      </c>
      <c r="E320" s="9" t="s">
        <v>1145</v>
      </c>
      <c r="F320" s="9">
        <v>9</v>
      </c>
      <c r="G320" s="9" t="s">
        <v>14</v>
      </c>
      <c r="H320" s="9">
        <v>19</v>
      </c>
      <c r="I320" s="13">
        <f t="shared" si="80"/>
        <v>171</v>
      </c>
      <c r="J320" s="13">
        <f t="shared" si="81"/>
        <v>70.5</v>
      </c>
      <c r="K320" s="13">
        <f t="shared" si="82"/>
        <v>70</v>
      </c>
      <c r="L320" s="13">
        <f t="shared" si="83"/>
        <v>1207</v>
      </c>
      <c r="M320" s="13">
        <f t="shared" si="84"/>
        <v>63</v>
      </c>
      <c r="N320" s="13" t="b">
        <f t="shared" si="85"/>
        <v>0</v>
      </c>
      <c r="O320" s="13" t="b">
        <f t="shared" si="86"/>
        <v>1</v>
      </c>
      <c r="P320" s="13" t="str">
        <f t="shared" si="87"/>
        <v>C005023-ct</v>
      </c>
      <c r="Q320" s="14" t="str">
        <f t="shared" si="88"/>
        <v>T015790
9</v>
      </c>
      <c r="R320" s="13" t="b">
        <f t="shared" si="89"/>
        <v>0</v>
      </c>
      <c r="S320" s="13" t="str">
        <f t="shared" si="90"/>
        <v>18</v>
      </c>
      <c r="T320" s="13" t="str">
        <f t="shared" si="91"/>
        <v>CT</v>
      </c>
      <c r="U320" s="13" t="str">
        <f t="shared" si="92"/>
        <v>ct</v>
      </c>
      <c r="V320" s="13">
        <f t="shared" si="93"/>
        <v>2</v>
      </c>
      <c r="W320" s="13" t="str">
        <f t="shared" si="94"/>
        <v>T015790 9</v>
      </c>
      <c r="X320" s="13" t="str">
        <f t="shared" si="95"/>
        <v>S55688</v>
      </c>
      <c r="Y320" s="13" t="str">
        <f t="shared" si="96"/>
        <v>T01</v>
      </c>
      <c r="Z320" s="13" t="str">
        <f t="shared" si="97"/>
        <v>790</v>
      </c>
      <c r="AA320" s="13">
        <f t="shared" si="98"/>
        <v>2</v>
      </c>
      <c r="AB320" s="13">
        <f t="shared" si="99"/>
        <v>2</v>
      </c>
      <c r="AC320" s="13"/>
      <c r="AD320" s="13"/>
      <c r="AE320" s="13"/>
    </row>
    <row r="321" spans="1:31" ht="30" x14ac:dyDescent="0.25">
      <c r="A321" s="9" t="s">
        <v>532</v>
      </c>
      <c r="B321" s="9" t="s">
        <v>1146</v>
      </c>
      <c r="C321" s="9" t="s">
        <v>1147</v>
      </c>
      <c r="D321" s="9" t="s">
        <v>1148</v>
      </c>
      <c r="E321" s="9" t="s">
        <v>1149</v>
      </c>
      <c r="F321" s="9">
        <v>3</v>
      </c>
      <c r="G321" s="9" t="s">
        <v>14</v>
      </c>
      <c r="H321" s="9">
        <v>16</v>
      </c>
      <c r="I321" s="13">
        <f t="shared" si="80"/>
        <v>48</v>
      </c>
      <c r="J321" s="13">
        <f t="shared" si="81"/>
        <v>382.5</v>
      </c>
      <c r="K321" s="13">
        <f t="shared" si="82"/>
        <v>379</v>
      </c>
      <c r="L321" s="13">
        <f t="shared" si="83"/>
        <v>1188</v>
      </c>
      <c r="M321" s="13">
        <f t="shared" si="84"/>
        <v>62</v>
      </c>
      <c r="N321" s="13" t="b">
        <f t="shared" si="85"/>
        <v>0</v>
      </c>
      <c r="O321" s="13" t="b">
        <f t="shared" si="86"/>
        <v>1</v>
      </c>
      <c r="P321" s="13" t="str">
        <f t="shared" si="87"/>
        <v>C003555-ct</v>
      </c>
      <c r="Q321" s="14" t="str">
        <f t="shared" si="88"/>
        <v>T018787
3</v>
      </c>
      <c r="R321" s="13" t="b">
        <f t="shared" si="89"/>
        <v>0</v>
      </c>
      <c r="S321" s="13" t="str">
        <f t="shared" si="90"/>
        <v>16</v>
      </c>
      <c r="T321" s="13" t="str">
        <f t="shared" si="91"/>
        <v>CT</v>
      </c>
      <c r="U321" s="13" t="str">
        <f t="shared" si="92"/>
        <v>ct</v>
      </c>
      <c r="V321" s="13">
        <f t="shared" si="93"/>
        <v>2</v>
      </c>
      <c r="W321" s="13" t="str">
        <f t="shared" si="94"/>
        <v>T018787 3</v>
      </c>
      <c r="X321" s="13" t="str">
        <f t="shared" si="95"/>
        <v>S55279</v>
      </c>
      <c r="Y321" s="13" t="str">
        <f t="shared" si="96"/>
        <v>T01</v>
      </c>
      <c r="Z321" s="13" t="str">
        <f t="shared" si="97"/>
        <v>787</v>
      </c>
      <c r="AA321" s="13">
        <f t="shared" si="98"/>
        <v>2</v>
      </c>
      <c r="AB321" s="13">
        <f t="shared" si="99"/>
        <v>2</v>
      </c>
      <c r="AC321" s="13"/>
      <c r="AD321" s="13"/>
      <c r="AE321" s="13"/>
    </row>
    <row r="322" spans="1:31" ht="30" x14ac:dyDescent="0.25">
      <c r="A322" s="9" t="s">
        <v>182</v>
      </c>
      <c r="B322" s="9" t="s">
        <v>1150</v>
      </c>
      <c r="C322" s="9" t="s">
        <v>1151</v>
      </c>
      <c r="D322" s="9" t="s">
        <v>1152</v>
      </c>
      <c r="E322" s="9" t="s">
        <v>1153</v>
      </c>
      <c r="F322" s="9">
        <v>7</v>
      </c>
      <c r="G322" s="9" t="s">
        <v>14</v>
      </c>
      <c r="H322" s="9">
        <v>18</v>
      </c>
      <c r="I322" s="13">
        <f t="shared" si="80"/>
        <v>126</v>
      </c>
      <c r="J322" s="13">
        <f t="shared" si="81"/>
        <v>157</v>
      </c>
      <c r="K322" s="13">
        <f t="shared" si="82"/>
        <v>154</v>
      </c>
      <c r="L322" s="13">
        <f t="shared" si="83"/>
        <v>1172</v>
      </c>
      <c r="M322" s="13">
        <f t="shared" si="84"/>
        <v>61</v>
      </c>
      <c r="N322" s="13" t="b">
        <f t="shared" si="85"/>
        <v>0</v>
      </c>
      <c r="O322" s="13" t="b">
        <f t="shared" si="86"/>
        <v>1</v>
      </c>
      <c r="P322" s="13" t="str">
        <f t="shared" si="87"/>
        <v>C006578-ct</v>
      </c>
      <c r="Q322" s="14" t="str">
        <f t="shared" si="88"/>
        <v>T094169
7</v>
      </c>
      <c r="R322" s="13" t="b">
        <f t="shared" si="89"/>
        <v>0</v>
      </c>
      <c r="S322" s="13" t="str">
        <f t="shared" si="90"/>
        <v>14</v>
      </c>
      <c r="T322" s="13" t="str">
        <f t="shared" si="91"/>
        <v>CT</v>
      </c>
      <c r="U322" s="13" t="str">
        <f t="shared" si="92"/>
        <v>ct</v>
      </c>
      <c r="V322" s="13">
        <f t="shared" si="93"/>
        <v>2</v>
      </c>
      <c r="W322" s="13" t="str">
        <f t="shared" si="94"/>
        <v>T094169 7</v>
      </c>
      <c r="X322" s="13" t="str">
        <f t="shared" si="95"/>
        <v>S55512</v>
      </c>
      <c r="Y322" s="13" t="str">
        <f t="shared" si="96"/>
        <v>T09</v>
      </c>
      <c r="Z322" s="13" t="str">
        <f t="shared" si="97"/>
        <v>169</v>
      </c>
      <c r="AA322" s="13">
        <f t="shared" si="98"/>
        <v>2</v>
      </c>
      <c r="AB322" s="13">
        <f t="shared" si="99"/>
        <v>2</v>
      </c>
      <c r="AC322" s="13"/>
      <c r="AD322" s="13"/>
      <c r="AE322" s="13"/>
    </row>
    <row r="323" spans="1:31" ht="30" x14ac:dyDescent="0.25">
      <c r="A323" s="9" t="s">
        <v>31</v>
      </c>
      <c r="B323" s="9" t="s">
        <v>1154</v>
      </c>
      <c r="C323" s="9" t="s">
        <v>1155</v>
      </c>
      <c r="D323" s="9" t="s">
        <v>712</v>
      </c>
      <c r="E323" s="9" t="s">
        <v>1156</v>
      </c>
      <c r="F323" s="9">
        <v>5</v>
      </c>
      <c r="G323" s="9" t="s">
        <v>36</v>
      </c>
      <c r="H323" s="9">
        <v>16.25</v>
      </c>
      <c r="I323" s="13">
        <f t="shared" si="80"/>
        <v>81.25</v>
      </c>
      <c r="J323" s="13">
        <f t="shared" si="81"/>
        <v>270</v>
      </c>
      <c r="K323" s="13">
        <f t="shared" si="82"/>
        <v>270</v>
      </c>
      <c r="L323" s="13">
        <f t="shared" si="83"/>
        <v>857.25</v>
      </c>
      <c r="M323" s="13">
        <f t="shared" si="84"/>
        <v>47</v>
      </c>
      <c r="N323" s="13" t="b">
        <f t="shared" si="85"/>
        <v>0</v>
      </c>
      <c r="O323" s="13" t="b">
        <f t="shared" si="86"/>
        <v>1</v>
      </c>
      <c r="P323" s="13" t="str">
        <f t="shared" si="87"/>
        <v>C002672-cans</v>
      </c>
      <c r="Q323" s="14" t="str">
        <f t="shared" si="88"/>
        <v>T033654
5</v>
      </c>
      <c r="R323" s="13" t="b">
        <f t="shared" si="89"/>
        <v>0</v>
      </c>
      <c r="S323" s="13" t="str">
        <f t="shared" si="90"/>
        <v>02</v>
      </c>
      <c r="T323" s="13" t="str">
        <f t="shared" si="91"/>
        <v>CANS</v>
      </c>
      <c r="U323" s="13" t="str">
        <f t="shared" si="92"/>
        <v>cans</v>
      </c>
      <c r="V323" s="13">
        <f t="shared" si="93"/>
        <v>2</v>
      </c>
      <c r="W323" s="13" t="str">
        <f t="shared" si="94"/>
        <v>T033654 5</v>
      </c>
      <c r="X323" s="13" t="str">
        <f t="shared" si="95"/>
        <v>S55371</v>
      </c>
      <c r="Y323" s="13" t="str">
        <f t="shared" si="96"/>
        <v>T03</v>
      </c>
      <c r="Z323" s="13" t="str">
        <f t="shared" si="97"/>
        <v>654</v>
      </c>
      <c r="AA323" s="13">
        <f t="shared" si="98"/>
        <v>2</v>
      </c>
      <c r="AB323" s="13">
        <f t="shared" si="99"/>
        <v>4</v>
      </c>
      <c r="AC323" s="13"/>
      <c r="AD323" s="13"/>
      <c r="AE323" s="13"/>
    </row>
    <row r="324" spans="1:31" ht="30" x14ac:dyDescent="0.25">
      <c r="A324" s="9" t="s">
        <v>146</v>
      </c>
      <c r="B324" s="9" t="s">
        <v>1157</v>
      </c>
      <c r="C324" s="9" t="s">
        <v>1158</v>
      </c>
      <c r="D324" s="9" t="s">
        <v>625</v>
      </c>
      <c r="E324" s="9" t="s">
        <v>1159</v>
      </c>
      <c r="F324" s="9">
        <v>10</v>
      </c>
      <c r="G324" s="9" t="s">
        <v>14</v>
      </c>
      <c r="H324" s="9">
        <v>18</v>
      </c>
      <c r="I324" s="13">
        <f t="shared" si="80"/>
        <v>180</v>
      </c>
      <c r="J324" s="13">
        <f t="shared" si="81"/>
        <v>61.5</v>
      </c>
      <c r="K324" s="13">
        <f t="shared" si="82"/>
        <v>60</v>
      </c>
      <c r="L324" s="13">
        <f t="shared" si="83"/>
        <v>1154</v>
      </c>
      <c r="M324" s="13">
        <f t="shared" si="84"/>
        <v>60</v>
      </c>
      <c r="N324" s="13" t="b">
        <f t="shared" si="85"/>
        <v>0</v>
      </c>
      <c r="O324" s="13" t="b">
        <f t="shared" si="86"/>
        <v>1</v>
      </c>
      <c r="P324" s="13" t="str">
        <f t="shared" si="87"/>
        <v>C006701-ct</v>
      </c>
      <c r="Q324" s="14" t="str">
        <f t="shared" si="88"/>
        <v>T078795
10</v>
      </c>
      <c r="R324" s="13" t="b">
        <f t="shared" si="89"/>
        <v>0</v>
      </c>
      <c r="S324" s="13" t="str">
        <f t="shared" si="90"/>
        <v>19</v>
      </c>
      <c r="T324" s="13" t="str">
        <f t="shared" si="91"/>
        <v>CT</v>
      </c>
      <c r="U324" s="13" t="str">
        <f t="shared" si="92"/>
        <v>ct</v>
      </c>
      <c r="V324" s="13">
        <f t="shared" si="93"/>
        <v>2</v>
      </c>
      <c r="W324" s="13" t="str">
        <f t="shared" si="94"/>
        <v>T078795 10</v>
      </c>
      <c r="X324" s="13" t="str">
        <f t="shared" si="95"/>
        <v>S55493</v>
      </c>
      <c r="Y324" s="13" t="str">
        <f t="shared" si="96"/>
        <v>T07</v>
      </c>
      <c r="Z324" s="13" t="str">
        <f t="shared" si="97"/>
        <v>795</v>
      </c>
      <c r="AA324" s="13">
        <f t="shared" si="98"/>
        <v>2</v>
      </c>
      <c r="AB324" s="13">
        <f t="shared" si="99"/>
        <v>2</v>
      </c>
      <c r="AC324" s="13"/>
      <c r="AD324" s="13"/>
      <c r="AE324" s="13"/>
    </row>
    <row r="325" spans="1:31" ht="30" x14ac:dyDescent="0.25">
      <c r="A325" s="9" t="s">
        <v>249</v>
      </c>
      <c r="B325" s="9" t="s">
        <v>1160</v>
      </c>
      <c r="C325" s="9" t="s">
        <v>1161</v>
      </c>
      <c r="D325" s="9" t="s">
        <v>609</v>
      </c>
      <c r="E325" s="9" t="s">
        <v>208</v>
      </c>
      <c r="F325" s="9">
        <v>5</v>
      </c>
      <c r="G325" s="9" t="s">
        <v>36</v>
      </c>
      <c r="H325" s="9">
        <v>40</v>
      </c>
      <c r="I325" s="13">
        <f t="shared" si="80"/>
        <v>200</v>
      </c>
      <c r="J325" s="13">
        <f t="shared" si="81"/>
        <v>48</v>
      </c>
      <c r="K325" s="13">
        <f t="shared" si="82"/>
        <v>46</v>
      </c>
      <c r="L325" s="13">
        <f t="shared" si="83"/>
        <v>841</v>
      </c>
      <c r="M325" s="13">
        <f t="shared" si="84"/>
        <v>46</v>
      </c>
      <c r="N325" s="13" t="b">
        <f t="shared" si="85"/>
        <v>1</v>
      </c>
      <c r="O325" s="13" t="b">
        <f t="shared" si="86"/>
        <v>1</v>
      </c>
      <c r="P325" s="13" t="str">
        <f t="shared" si="87"/>
        <v>C005152-cans</v>
      </c>
      <c r="Q325" s="14" t="str">
        <f t="shared" si="88"/>
        <v>T098111
5</v>
      </c>
      <c r="R325" s="13" t="b">
        <f t="shared" si="89"/>
        <v>0</v>
      </c>
      <c r="S325" s="13" t="str">
        <f t="shared" si="90"/>
        <v>06</v>
      </c>
      <c r="T325" s="13" t="str">
        <f t="shared" si="91"/>
        <v>CANS</v>
      </c>
      <c r="U325" s="13" t="str">
        <f t="shared" si="92"/>
        <v>cans</v>
      </c>
      <c r="V325" s="13">
        <f t="shared" si="93"/>
        <v>2</v>
      </c>
      <c r="W325" s="13" t="str">
        <f t="shared" si="94"/>
        <v>T098111 5</v>
      </c>
      <c r="X325" s="13" t="str">
        <f t="shared" si="95"/>
        <v>S55759</v>
      </c>
      <c r="Y325" s="13" t="str">
        <f t="shared" si="96"/>
        <v>T09</v>
      </c>
      <c r="Z325" s="13" t="str">
        <f t="shared" si="97"/>
        <v>111</v>
      </c>
      <c r="AA325" s="13">
        <f t="shared" si="98"/>
        <v>2</v>
      </c>
      <c r="AB325" s="13">
        <f t="shared" si="99"/>
        <v>4</v>
      </c>
      <c r="AC325" s="13"/>
      <c r="AD325" s="13"/>
      <c r="AE325" s="13"/>
    </row>
    <row r="326" spans="1:31" ht="30" x14ac:dyDescent="0.25">
      <c r="A326" s="9" t="s">
        <v>91</v>
      </c>
      <c r="B326" s="9" t="s">
        <v>1162</v>
      </c>
      <c r="C326" s="9" t="s">
        <v>1163</v>
      </c>
      <c r="D326" s="9" t="s">
        <v>246</v>
      </c>
      <c r="E326" s="9" t="s">
        <v>1164</v>
      </c>
      <c r="F326" s="9">
        <v>4</v>
      </c>
      <c r="G326" s="9" t="s">
        <v>248</v>
      </c>
      <c r="H326" s="9">
        <v>15</v>
      </c>
      <c r="I326" s="13">
        <f t="shared" ref="I326:I389" si="100">$F326*H326</f>
        <v>60</v>
      </c>
      <c r="J326" s="13">
        <f t="shared" ref="J326:J389" si="101">_xlfn.RANK.AVG(I326,$I$5:$I$550000)</f>
        <v>344.5</v>
      </c>
      <c r="K326" s="13">
        <f t="shared" ref="K326:K389" si="102">_xlfn.RANK.EQ(I326,$I$5:$I$550000)</f>
        <v>337</v>
      </c>
      <c r="L326" s="13">
        <f t="shared" ref="L326:L389" si="103">SUMIF(G326:G738,G326,H326:H821)</f>
        <v>75</v>
      </c>
      <c r="M326" s="13">
        <f t="shared" ref="M326:M389" si="104">COUNTIF(G326:G738,G326)</f>
        <v>5</v>
      </c>
      <c r="N326" s="13" t="b">
        <f t="shared" ref="N326:N389" si="105">AND(H326&gt;20,H326&lt;70)</f>
        <v>0</v>
      </c>
      <c r="O326" s="13" t="b">
        <f t="shared" ref="O326:O389" si="106">OR(H326&gt;10,H326&lt;60)</f>
        <v>1</v>
      </c>
      <c r="P326" s="13" t="str">
        <f t="shared" ref="P326:P389" si="107">_xlfn.CONCAT(B326,"-",G326)</f>
        <v>C001720-lb</v>
      </c>
      <c r="Q326" s="14" t="str">
        <f t="shared" ref="Q326:Q389" si="108">_xlfn.CONCAT(C326,CHAR(10),F326)</f>
        <v>T055754
4</v>
      </c>
      <c r="R326" s="13" t="b">
        <f t="shared" ref="R326:R389" si="109">EXACT(D326,E326)</f>
        <v>0</v>
      </c>
      <c r="S326" s="13" t="str">
        <f t="shared" ref="S326:S389" si="110">MID(D326,4,2)</f>
        <v>22</v>
      </c>
      <c r="T326" s="13" t="str">
        <f t="shared" ref="T326:T389" si="111">UPPER(G326)</f>
        <v>LB</v>
      </c>
      <c r="U326" s="13" t="str">
        <f t="shared" ref="U326:U389" si="112">LOWER(G326)</f>
        <v>lb</v>
      </c>
      <c r="V326" s="13">
        <f t="shared" ref="V326:V389" si="113">SEARCH("0",E326)</f>
        <v>2</v>
      </c>
      <c r="W326" s="13" t="str">
        <f t="shared" ref="W326:W389" si="114">_xlfn.TEXTJOIN(" ",TRUE,C326,F326)</f>
        <v>T055754 4</v>
      </c>
      <c r="X326" s="13" t="str">
        <f t="shared" ref="X326:X389" si="115">SUBSTITUTE(E326,"0","5")</f>
        <v>S5585</v>
      </c>
      <c r="Y326" s="13" t="str">
        <f t="shared" ref="Y326:Y389" si="116">LEFT(C326,3)</f>
        <v>T05</v>
      </c>
      <c r="Z326" s="13" t="str">
        <f t="shared" ref="Z326:Z389" si="117">RIGHT(C326,3)</f>
        <v>754</v>
      </c>
      <c r="AA326" s="13">
        <f t="shared" ref="AA326:AA389" si="118">FIND("0",A326)</f>
        <v>2</v>
      </c>
      <c r="AB326" s="13">
        <f t="shared" ref="AB326:AB389" si="119">LEN(G326)</f>
        <v>2</v>
      </c>
      <c r="AC326" s="13"/>
      <c r="AD326" s="13"/>
      <c r="AE326" s="13"/>
    </row>
    <row r="327" spans="1:31" ht="30" x14ac:dyDescent="0.25">
      <c r="A327" s="9" t="s">
        <v>348</v>
      </c>
      <c r="B327" s="9" t="s">
        <v>1165</v>
      </c>
      <c r="C327" s="9" t="s">
        <v>1166</v>
      </c>
      <c r="D327" s="9" t="s">
        <v>605</v>
      </c>
      <c r="E327" s="9" t="s">
        <v>1167</v>
      </c>
      <c r="F327" s="9">
        <v>10</v>
      </c>
      <c r="G327" s="9" t="s">
        <v>187</v>
      </c>
      <c r="H327" s="9">
        <v>16</v>
      </c>
      <c r="I327" s="13">
        <f t="shared" si="100"/>
        <v>160</v>
      </c>
      <c r="J327" s="13">
        <f t="shared" si="101"/>
        <v>90.5</v>
      </c>
      <c r="K327" s="13">
        <f t="shared" si="102"/>
        <v>84</v>
      </c>
      <c r="L327" s="13">
        <f t="shared" si="103"/>
        <v>62</v>
      </c>
      <c r="M327" s="13">
        <f t="shared" si="104"/>
        <v>4</v>
      </c>
      <c r="N327" s="13" t="b">
        <f t="shared" si="105"/>
        <v>0</v>
      </c>
      <c r="O327" s="13" t="b">
        <f t="shared" si="106"/>
        <v>1</v>
      </c>
      <c r="P327" s="13" t="str">
        <f t="shared" si="107"/>
        <v>C006757-tubs</v>
      </c>
      <c r="Q327" s="14" t="str">
        <f t="shared" si="108"/>
        <v>T041781
10</v>
      </c>
      <c r="R327" s="13" t="b">
        <f t="shared" si="109"/>
        <v>0</v>
      </c>
      <c r="S327" s="13" t="str">
        <f t="shared" si="110"/>
        <v>10</v>
      </c>
      <c r="T327" s="13" t="str">
        <f t="shared" si="111"/>
        <v>TUBS</v>
      </c>
      <c r="U327" s="13" t="str">
        <f t="shared" si="112"/>
        <v>tubs</v>
      </c>
      <c r="V327" s="13">
        <f t="shared" si="113"/>
        <v>2</v>
      </c>
      <c r="W327" s="13" t="str">
        <f t="shared" si="114"/>
        <v>T041781 10</v>
      </c>
      <c r="X327" s="13" t="str">
        <f t="shared" si="115"/>
        <v>S55392</v>
      </c>
      <c r="Y327" s="13" t="str">
        <f t="shared" si="116"/>
        <v>T04</v>
      </c>
      <c r="Z327" s="13" t="str">
        <f t="shared" si="117"/>
        <v>781</v>
      </c>
      <c r="AA327" s="13">
        <f t="shared" si="118"/>
        <v>2</v>
      </c>
      <c r="AB327" s="13">
        <f t="shared" si="119"/>
        <v>4</v>
      </c>
      <c r="AC327" s="13"/>
      <c r="AD327" s="13"/>
      <c r="AE327" s="13"/>
    </row>
    <row r="328" spans="1:31" ht="30" x14ac:dyDescent="0.25">
      <c r="A328" s="9" t="s">
        <v>125</v>
      </c>
      <c r="B328" s="9" t="s">
        <v>1168</v>
      </c>
      <c r="C328" s="9" t="s">
        <v>1169</v>
      </c>
      <c r="D328" s="9" t="s">
        <v>207</v>
      </c>
      <c r="E328" s="9" t="s">
        <v>1170</v>
      </c>
      <c r="F328" s="9">
        <v>1</v>
      </c>
      <c r="G328" s="9" t="s">
        <v>68</v>
      </c>
      <c r="H328" s="9">
        <v>20</v>
      </c>
      <c r="I328" s="13">
        <f t="shared" si="100"/>
        <v>20</v>
      </c>
      <c r="J328" s="13">
        <f t="shared" si="101"/>
        <v>464</v>
      </c>
      <c r="K328" s="13">
        <f t="shared" si="102"/>
        <v>462</v>
      </c>
      <c r="L328" s="13">
        <f t="shared" si="103"/>
        <v>356.5</v>
      </c>
      <c r="M328" s="13">
        <f t="shared" si="104"/>
        <v>21</v>
      </c>
      <c r="N328" s="13" t="b">
        <f t="shared" si="105"/>
        <v>0</v>
      </c>
      <c r="O328" s="13" t="b">
        <f t="shared" si="106"/>
        <v>1</v>
      </c>
      <c r="P328" s="13" t="str">
        <f t="shared" si="107"/>
        <v>C004274-bottles</v>
      </c>
      <c r="Q328" s="14" t="str">
        <f t="shared" si="108"/>
        <v>T073065
1</v>
      </c>
      <c r="R328" s="13" t="b">
        <f t="shared" si="109"/>
        <v>0</v>
      </c>
      <c r="S328" s="13" t="str">
        <f t="shared" si="110"/>
        <v>06</v>
      </c>
      <c r="T328" s="13" t="str">
        <f t="shared" si="111"/>
        <v>BOTTLES</v>
      </c>
      <c r="U328" s="13" t="str">
        <f t="shared" si="112"/>
        <v>bottles</v>
      </c>
      <c r="V328" s="13">
        <f t="shared" si="113"/>
        <v>2</v>
      </c>
      <c r="W328" s="13" t="str">
        <f t="shared" si="114"/>
        <v>T073065 1</v>
      </c>
      <c r="X328" s="13" t="str">
        <f t="shared" si="115"/>
        <v>S55359</v>
      </c>
      <c r="Y328" s="13" t="str">
        <f t="shared" si="116"/>
        <v>T07</v>
      </c>
      <c r="Z328" s="13" t="str">
        <f t="shared" si="117"/>
        <v>065</v>
      </c>
      <c r="AA328" s="13">
        <f t="shared" si="118"/>
        <v>2</v>
      </c>
      <c r="AB328" s="13">
        <f t="shared" si="119"/>
        <v>7</v>
      </c>
      <c r="AC328" s="13"/>
      <c r="AD328" s="13"/>
      <c r="AE328" s="13"/>
    </row>
    <row r="329" spans="1:31" ht="30" x14ac:dyDescent="0.25">
      <c r="A329" s="9" t="s">
        <v>21</v>
      </c>
      <c r="B329" s="9" t="s">
        <v>1171</v>
      </c>
      <c r="C329" s="9" t="s">
        <v>1172</v>
      </c>
      <c r="D329" s="9" t="s">
        <v>185</v>
      </c>
      <c r="E329" s="9" t="s">
        <v>1173</v>
      </c>
      <c r="F329" s="9">
        <v>7</v>
      </c>
      <c r="G329" s="9" t="s">
        <v>187</v>
      </c>
      <c r="H329" s="9">
        <v>15</v>
      </c>
      <c r="I329" s="13">
        <f t="shared" si="100"/>
        <v>105</v>
      </c>
      <c r="J329" s="13">
        <f t="shared" si="101"/>
        <v>202.5</v>
      </c>
      <c r="K329" s="13">
        <f t="shared" si="102"/>
        <v>199</v>
      </c>
      <c r="L329" s="13">
        <f t="shared" si="103"/>
        <v>46</v>
      </c>
      <c r="M329" s="13">
        <f t="shared" si="104"/>
        <v>3</v>
      </c>
      <c r="N329" s="13" t="b">
        <f t="shared" si="105"/>
        <v>0</v>
      </c>
      <c r="O329" s="13" t="b">
        <f t="shared" si="106"/>
        <v>1</v>
      </c>
      <c r="P329" s="13" t="str">
        <f t="shared" si="107"/>
        <v>C000869-tubs</v>
      </c>
      <c r="Q329" s="14" t="str">
        <f t="shared" si="108"/>
        <v>T024299
7</v>
      </c>
      <c r="R329" s="13" t="b">
        <f t="shared" si="109"/>
        <v>0</v>
      </c>
      <c r="S329" s="13" t="str">
        <f t="shared" si="110"/>
        <v>10</v>
      </c>
      <c r="T329" s="13" t="str">
        <f t="shared" si="111"/>
        <v>TUBS</v>
      </c>
      <c r="U329" s="13" t="str">
        <f t="shared" si="112"/>
        <v>tubs</v>
      </c>
      <c r="V329" s="13">
        <f t="shared" si="113"/>
        <v>2</v>
      </c>
      <c r="W329" s="13" t="str">
        <f t="shared" si="114"/>
        <v>T024299 7</v>
      </c>
      <c r="X329" s="13" t="str">
        <f t="shared" si="115"/>
        <v>S55634</v>
      </c>
      <c r="Y329" s="13" t="str">
        <f t="shared" si="116"/>
        <v>T02</v>
      </c>
      <c r="Z329" s="13" t="str">
        <f t="shared" si="117"/>
        <v>299</v>
      </c>
      <c r="AA329" s="13">
        <f t="shared" si="118"/>
        <v>2</v>
      </c>
      <c r="AB329" s="13">
        <f t="shared" si="119"/>
        <v>4</v>
      </c>
      <c r="AC329" s="13"/>
      <c r="AD329" s="13"/>
      <c r="AE329" s="13"/>
    </row>
    <row r="330" spans="1:31" ht="30" x14ac:dyDescent="0.25">
      <c r="A330" s="9" t="s">
        <v>116</v>
      </c>
      <c r="B330" s="9" t="s">
        <v>1174</v>
      </c>
      <c r="C330" s="9" t="s">
        <v>1175</v>
      </c>
      <c r="D330" s="9" t="s">
        <v>1176</v>
      </c>
      <c r="E330" s="9" t="s">
        <v>1177</v>
      </c>
      <c r="F330" s="9">
        <v>11</v>
      </c>
      <c r="G330" s="9" t="s">
        <v>36</v>
      </c>
      <c r="H330" s="9">
        <v>6.75</v>
      </c>
      <c r="I330" s="13">
        <f t="shared" si="100"/>
        <v>74.25</v>
      </c>
      <c r="J330" s="13">
        <f t="shared" si="101"/>
        <v>289.5</v>
      </c>
      <c r="K330" s="13">
        <f t="shared" si="102"/>
        <v>288</v>
      </c>
      <c r="L330" s="13">
        <f t="shared" si="103"/>
        <v>801</v>
      </c>
      <c r="M330" s="13">
        <f t="shared" si="104"/>
        <v>45</v>
      </c>
      <c r="N330" s="13" t="b">
        <f t="shared" si="105"/>
        <v>0</v>
      </c>
      <c r="O330" s="13" t="b">
        <f t="shared" si="106"/>
        <v>1</v>
      </c>
      <c r="P330" s="13" t="str">
        <f t="shared" si="107"/>
        <v>C007319-cans</v>
      </c>
      <c r="Q330" s="14" t="str">
        <f t="shared" si="108"/>
        <v>T011112
11</v>
      </c>
      <c r="R330" s="13" t="b">
        <f t="shared" si="109"/>
        <v>0</v>
      </c>
      <c r="S330" s="13" t="str">
        <f t="shared" si="110"/>
        <v>01</v>
      </c>
      <c r="T330" s="13" t="str">
        <f t="shared" si="111"/>
        <v>CANS</v>
      </c>
      <c r="U330" s="13" t="str">
        <f t="shared" si="112"/>
        <v>cans</v>
      </c>
      <c r="V330" s="13">
        <f t="shared" si="113"/>
        <v>2</v>
      </c>
      <c r="W330" s="13" t="str">
        <f t="shared" si="114"/>
        <v>T011112 11</v>
      </c>
      <c r="X330" s="13" t="str">
        <f t="shared" si="115"/>
        <v>S55272</v>
      </c>
      <c r="Y330" s="13" t="str">
        <f t="shared" si="116"/>
        <v>T01</v>
      </c>
      <c r="Z330" s="13" t="str">
        <f t="shared" si="117"/>
        <v>112</v>
      </c>
      <c r="AA330" s="13">
        <f t="shared" si="118"/>
        <v>2</v>
      </c>
      <c r="AB330" s="13">
        <f t="shared" si="119"/>
        <v>4</v>
      </c>
      <c r="AC330" s="13"/>
      <c r="AD330" s="13"/>
      <c r="AE330" s="13"/>
    </row>
    <row r="331" spans="1:31" ht="30" x14ac:dyDescent="0.25">
      <c r="A331" s="9" t="s">
        <v>79</v>
      </c>
      <c r="B331" s="9" t="s">
        <v>1178</v>
      </c>
      <c r="C331" s="9" t="s">
        <v>1179</v>
      </c>
      <c r="D331" s="9" t="s">
        <v>1180</v>
      </c>
      <c r="E331" s="9" t="s">
        <v>949</v>
      </c>
      <c r="F331" s="9">
        <v>3</v>
      </c>
      <c r="G331" s="9" t="s">
        <v>14</v>
      </c>
      <c r="H331" s="9">
        <v>44</v>
      </c>
      <c r="I331" s="13">
        <f t="shared" si="100"/>
        <v>132</v>
      </c>
      <c r="J331" s="13">
        <f t="shared" si="101"/>
        <v>139.5</v>
      </c>
      <c r="K331" s="13">
        <f t="shared" si="102"/>
        <v>137</v>
      </c>
      <c r="L331" s="13">
        <f t="shared" si="103"/>
        <v>1136</v>
      </c>
      <c r="M331" s="13">
        <f t="shared" si="104"/>
        <v>59</v>
      </c>
      <c r="N331" s="13" t="b">
        <f t="shared" si="105"/>
        <v>1</v>
      </c>
      <c r="O331" s="13" t="b">
        <f t="shared" si="106"/>
        <v>1</v>
      </c>
      <c r="P331" s="13" t="str">
        <f t="shared" si="107"/>
        <v>C008171-ct</v>
      </c>
      <c r="Q331" s="14" t="str">
        <f t="shared" si="108"/>
        <v>T080676
3</v>
      </c>
      <c r="R331" s="13" t="b">
        <f t="shared" si="109"/>
        <v>0</v>
      </c>
      <c r="S331" s="13" t="str">
        <f t="shared" si="110"/>
        <v>11</v>
      </c>
      <c r="T331" s="13" t="str">
        <f t="shared" si="111"/>
        <v>CT</v>
      </c>
      <c r="U331" s="13" t="str">
        <f t="shared" si="112"/>
        <v>ct</v>
      </c>
      <c r="V331" s="13">
        <f t="shared" si="113"/>
        <v>2</v>
      </c>
      <c r="W331" s="13" t="str">
        <f t="shared" si="114"/>
        <v>T080676 3</v>
      </c>
      <c r="X331" s="13" t="str">
        <f t="shared" si="115"/>
        <v>S55592</v>
      </c>
      <c r="Y331" s="13" t="str">
        <f t="shared" si="116"/>
        <v>T08</v>
      </c>
      <c r="Z331" s="13" t="str">
        <f t="shared" si="117"/>
        <v>676</v>
      </c>
      <c r="AA331" s="13">
        <f t="shared" si="118"/>
        <v>2</v>
      </c>
      <c r="AB331" s="13">
        <f t="shared" si="119"/>
        <v>2</v>
      </c>
      <c r="AC331" s="13"/>
      <c r="AD331" s="13"/>
      <c r="AE331" s="13"/>
    </row>
    <row r="332" spans="1:31" ht="30" x14ac:dyDescent="0.25">
      <c r="A332" s="9" t="s">
        <v>130</v>
      </c>
      <c r="B332" s="9" t="s">
        <v>1181</v>
      </c>
      <c r="C332" s="9" t="s">
        <v>1182</v>
      </c>
      <c r="D332" s="9" t="s">
        <v>174</v>
      </c>
      <c r="E332" s="9" t="s">
        <v>1183</v>
      </c>
      <c r="F332" s="9">
        <v>11</v>
      </c>
      <c r="G332" s="9" t="s">
        <v>176</v>
      </c>
      <c r="H332" s="9">
        <v>15</v>
      </c>
      <c r="I332" s="13">
        <f t="shared" si="100"/>
        <v>165</v>
      </c>
      <c r="J332" s="13">
        <f t="shared" si="101"/>
        <v>79.5</v>
      </c>
      <c r="K332" s="13">
        <f t="shared" si="102"/>
        <v>77</v>
      </c>
      <c r="L332" s="13">
        <f t="shared" si="103"/>
        <v>187.5</v>
      </c>
      <c r="M332" s="13">
        <f t="shared" si="104"/>
        <v>12</v>
      </c>
      <c r="N332" s="13" t="b">
        <f t="shared" si="105"/>
        <v>0</v>
      </c>
      <c r="O332" s="13" t="b">
        <f t="shared" si="106"/>
        <v>1</v>
      </c>
      <c r="P332" s="13" t="str">
        <f t="shared" si="107"/>
        <v>C001278-oz</v>
      </c>
      <c r="Q332" s="14" t="str">
        <f t="shared" si="108"/>
        <v>T063772
11</v>
      </c>
      <c r="R332" s="13" t="b">
        <f t="shared" si="109"/>
        <v>0</v>
      </c>
      <c r="S332" s="13" t="str">
        <f t="shared" si="110"/>
        <v>10</v>
      </c>
      <c r="T332" s="13" t="str">
        <f t="shared" si="111"/>
        <v>OZ</v>
      </c>
      <c r="U332" s="13" t="str">
        <f t="shared" si="112"/>
        <v>oz</v>
      </c>
      <c r="V332" s="13">
        <f t="shared" si="113"/>
        <v>2</v>
      </c>
      <c r="W332" s="13" t="str">
        <f t="shared" si="114"/>
        <v>T063772 11</v>
      </c>
      <c r="X332" s="13" t="str">
        <f t="shared" si="115"/>
        <v>S55128</v>
      </c>
      <c r="Y332" s="13" t="str">
        <f t="shared" si="116"/>
        <v>T06</v>
      </c>
      <c r="Z332" s="13" t="str">
        <f t="shared" si="117"/>
        <v>772</v>
      </c>
      <c r="AA332" s="13">
        <f t="shared" si="118"/>
        <v>2</v>
      </c>
      <c r="AB332" s="13">
        <f t="shared" si="119"/>
        <v>2</v>
      </c>
      <c r="AC332" s="13"/>
      <c r="AD332" s="13"/>
      <c r="AE332" s="13"/>
    </row>
    <row r="333" spans="1:31" ht="30" x14ac:dyDescent="0.25">
      <c r="A333" s="9" t="s">
        <v>155</v>
      </c>
      <c r="B333" s="9" t="s">
        <v>1184</v>
      </c>
      <c r="C333" s="9" t="s">
        <v>1185</v>
      </c>
      <c r="D333" s="9" t="s">
        <v>1186</v>
      </c>
      <c r="E333" s="9" t="s">
        <v>1187</v>
      </c>
      <c r="F333" s="9">
        <v>9</v>
      </c>
      <c r="G333" s="9" t="s">
        <v>14</v>
      </c>
      <c r="H333" s="9">
        <v>12.5</v>
      </c>
      <c r="I333" s="13">
        <f t="shared" si="100"/>
        <v>112.5</v>
      </c>
      <c r="J333" s="13">
        <f t="shared" si="101"/>
        <v>185</v>
      </c>
      <c r="K333" s="13">
        <f t="shared" si="102"/>
        <v>185</v>
      </c>
      <c r="L333" s="13">
        <f t="shared" si="103"/>
        <v>1092</v>
      </c>
      <c r="M333" s="13">
        <f t="shared" si="104"/>
        <v>58</v>
      </c>
      <c r="N333" s="13" t="b">
        <f t="shared" si="105"/>
        <v>0</v>
      </c>
      <c r="O333" s="13" t="b">
        <f t="shared" si="106"/>
        <v>1</v>
      </c>
      <c r="P333" s="13" t="str">
        <f t="shared" si="107"/>
        <v>C007272-ct</v>
      </c>
      <c r="Q333" s="14" t="str">
        <f t="shared" si="108"/>
        <v>T031469
9</v>
      </c>
      <c r="R333" s="13" t="b">
        <f t="shared" si="109"/>
        <v>0</v>
      </c>
      <c r="S333" s="13" t="str">
        <f t="shared" si="110"/>
        <v>14</v>
      </c>
      <c r="T333" s="13" t="str">
        <f t="shared" si="111"/>
        <v>CT</v>
      </c>
      <c r="U333" s="13" t="str">
        <f t="shared" si="112"/>
        <v>ct</v>
      </c>
      <c r="V333" s="13">
        <f t="shared" si="113"/>
        <v>2</v>
      </c>
      <c r="W333" s="13" t="str">
        <f t="shared" si="114"/>
        <v>T031469 9</v>
      </c>
      <c r="X333" s="13" t="str">
        <f t="shared" si="115"/>
        <v>S55344</v>
      </c>
      <c r="Y333" s="13" t="str">
        <f t="shared" si="116"/>
        <v>T03</v>
      </c>
      <c r="Z333" s="13" t="str">
        <f t="shared" si="117"/>
        <v>469</v>
      </c>
      <c r="AA333" s="13">
        <f t="shared" si="118"/>
        <v>2</v>
      </c>
      <c r="AB333" s="13">
        <f t="shared" si="119"/>
        <v>2</v>
      </c>
      <c r="AC333" s="13"/>
      <c r="AD333" s="13"/>
      <c r="AE333" s="13"/>
    </row>
    <row r="334" spans="1:31" ht="30" x14ac:dyDescent="0.25">
      <c r="A334" s="9" t="s">
        <v>316</v>
      </c>
      <c r="B334" s="9" t="s">
        <v>1188</v>
      </c>
      <c r="C334" s="9" t="s">
        <v>1189</v>
      </c>
      <c r="D334" s="9" t="s">
        <v>1190</v>
      </c>
      <c r="E334" s="9" t="s">
        <v>1137</v>
      </c>
      <c r="F334" s="9">
        <v>5</v>
      </c>
      <c r="G334" s="9" t="s">
        <v>14</v>
      </c>
      <c r="H334" s="9">
        <v>14</v>
      </c>
      <c r="I334" s="13">
        <f t="shared" si="100"/>
        <v>70</v>
      </c>
      <c r="J334" s="13">
        <f t="shared" si="101"/>
        <v>301.5</v>
      </c>
      <c r="K334" s="13">
        <f t="shared" si="102"/>
        <v>300</v>
      </c>
      <c r="L334" s="13">
        <f t="shared" si="103"/>
        <v>1079.5</v>
      </c>
      <c r="M334" s="13">
        <f t="shared" si="104"/>
        <v>57</v>
      </c>
      <c r="N334" s="13" t="b">
        <f t="shared" si="105"/>
        <v>0</v>
      </c>
      <c r="O334" s="13" t="b">
        <f t="shared" si="106"/>
        <v>1</v>
      </c>
      <c r="P334" s="13" t="str">
        <f t="shared" si="107"/>
        <v>C000821-ct</v>
      </c>
      <c r="Q334" s="14" t="str">
        <f t="shared" si="108"/>
        <v>T033931
5</v>
      </c>
      <c r="R334" s="13" t="b">
        <f t="shared" si="109"/>
        <v>0</v>
      </c>
      <c r="S334" s="13" t="str">
        <f t="shared" si="110"/>
        <v>10</v>
      </c>
      <c r="T334" s="13" t="str">
        <f t="shared" si="111"/>
        <v>CT</v>
      </c>
      <c r="U334" s="13" t="str">
        <f t="shared" si="112"/>
        <v>ct</v>
      </c>
      <c r="V334" s="13">
        <f t="shared" si="113"/>
        <v>2</v>
      </c>
      <c r="W334" s="13" t="str">
        <f t="shared" si="114"/>
        <v>T033931 5</v>
      </c>
      <c r="X334" s="13" t="str">
        <f t="shared" si="115"/>
        <v>S5517</v>
      </c>
      <c r="Y334" s="13" t="str">
        <f t="shared" si="116"/>
        <v>T03</v>
      </c>
      <c r="Z334" s="13" t="str">
        <f t="shared" si="117"/>
        <v>931</v>
      </c>
      <c r="AA334" s="13">
        <f t="shared" si="118"/>
        <v>2</v>
      </c>
      <c r="AB334" s="13">
        <f t="shared" si="119"/>
        <v>2</v>
      </c>
      <c r="AC334" s="13"/>
      <c r="AD334" s="13"/>
      <c r="AE334" s="13"/>
    </row>
    <row r="335" spans="1:31" ht="30" x14ac:dyDescent="0.25">
      <c r="A335" s="9" t="s">
        <v>69</v>
      </c>
      <c r="B335" s="9" t="s">
        <v>1191</v>
      </c>
      <c r="C335" s="9" t="s">
        <v>1192</v>
      </c>
      <c r="D335" s="9" t="s">
        <v>290</v>
      </c>
      <c r="E335" s="9" t="s">
        <v>1193</v>
      </c>
      <c r="F335" s="9">
        <v>10</v>
      </c>
      <c r="G335" s="9" t="s">
        <v>14</v>
      </c>
      <c r="H335" s="9">
        <v>35</v>
      </c>
      <c r="I335" s="13">
        <f t="shared" si="100"/>
        <v>350</v>
      </c>
      <c r="J335" s="13">
        <f t="shared" si="101"/>
        <v>13</v>
      </c>
      <c r="K335" s="13">
        <f t="shared" si="102"/>
        <v>13</v>
      </c>
      <c r="L335" s="13">
        <f t="shared" si="103"/>
        <v>1065.5</v>
      </c>
      <c r="M335" s="13">
        <f t="shared" si="104"/>
        <v>56</v>
      </c>
      <c r="N335" s="13" t="b">
        <f t="shared" si="105"/>
        <v>1</v>
      </c>
      <c r="O335" s="13" t="b">
        <f t="shared" si="106"/>
        <v>1</v>
      </c>
      <c r="P335" s="13" t="str">
        <f t="shared" si="107"/>
        <v>C001332-ct</v>
      </c>
      <c r="Q335" s="14" t="str">
        <f t="shared" si="108"/>
        <v>T05979
10</v>
      </c>
      <c r="R335" s="13" t="b">
        <f t="shared" si="109"/>
        <v>0</v>
      </c>
      <c r="S335" s="13" t="str">
        <f t="shared" si="110"/>
        <v>18</v>
      </c>
      <c r="T335" s="13" t="str">
        <f t="shared" si="111"/>
        <v>CT</v>
      </c>
      <c r="U335" s="13" t="str">
        <f t="shared" si="112"/>
        <v>ct</v>
      </c>
      <c r="V335" s="13">
        <f t="shared" si="113"/>
        <v>2</v>
      </c>
      <c r="W335" s="13" t="str">
        <f t="shared" si="114"/>
        <v>T05979 10</v>
      </c>
      <c r="X335" s="13" t="str">
        <f t="shared" si="115"/>
        <v>S55431</v>
      </c>
      <c r="Y335" s="13" t="str">
        <f t="shared" si="116"/>
        <v>T05</v>
      </c>
      <c r="Z335" s="13" t="str">
        <f t="shared" si="117"/>
        <v>979</v>
      </c>
      <c r="AA335" s="13">
        <f t="shared" si="118"/>
        <v>2</v>
      </c>
      <c r="AB335" s="13">
        <f t="shared" si="119"/>
        <v>2</v>
      </c>
      <c r="AC335" s="13"/>
      <c r="AD335" s="13"/>
      <c r="AE335" s="13"/>
    </row>
    <row r="336" spans="1:31" ht="30" x14ac:dyDescent="0.25">
      <c r="A336" s="9" t="s">
        <v>9</v>
      </c>
      <c r="B336" s="9" t="s">
        <v>1194</v>
      </c>
      <c r="C336" s="9" t="s">
        <v>1195</v>
      </c>
      <c r="D336" s="9" t="s">
        <v>203</v>
      </c>
      <c r="E336" s="9" t="s">
        <v>1196</v>
      </c>
      <c r="F336" s="9">
        <v>4</v>
      </c>
      <c r="G336" s="9" t="s">
        <v>14</v>
      </c>
      <c r="H336" s="9">
        <v>9</v>
      </c>
      <c r="I336" s="13">
        <f t="shared" si="100"/>
        <v>36</v>
      </c>
      <c r="J336" s="13">
        <f t="shared" si="101"/>
        <v>417.5</v>
      </c>
      <c r="K336" s="13">
        <f t="shared" si="102"/>
        <v>416</v>
      </c>
      <c r="L336" s="13">
        <f t="shared" si="103"/>
        <v>1030.5</v>
      </c>
      <c r="M336" s="13">
        <f t="shared" si="104"/>
        <v>55</v>
      </c>
      <c r="N336" s="13" t="b">
        <f t="shared" si="105"/>
        <v>0</v>
      </c>
      <c r="O336" s="13" t="b">
        <f t="shared" si="106"/>
        <v>1</v>
      </c>
      <c r="P336" s="13" t="str">
        <f t="shared" si="107"/>
        <v>C003410-ct</v>
      </c>
      <c r="Q336" s="14" t="str">
        <f t="shared" si="108"/>
        <v>T044675
4</v>
      </c>
      <c r="R336" s="13" t="b">
        <f t="shared" si="109"/>
        <v>0</v>
      </c>
      <c r="S336" s="13" t="str">
        <f t="shared" si="110"/>
        <v>12</v>
      </c>
      <c r="T336" s="13" t="str">
        <f t="shared" si="111"/>
        <v>CT</v>
      </c>
      <c r="U336" s="13" t="str">
        <f t="shared" si="112"/>
        <v>ct</v>
      </c>
      <c r="V336" s="13">
        <f t="shared" si="113"/>
        <v>2</v>
      </c>
      <c r="W336" s="13" t="str">
        <f t="shared" si="114"/>
        <v>T044675 4</v>
      </c>
      <c r="X336" s="13" t="str">
        <f t="shared" si="115"/>
        <v>S55188</v>
      </c>
      <c r="Y336" s="13" t="str">
        <f t="shared" si="116"/>
        <v>T04</v>
      </c>
      <c r="Z336" s="13" t="str">
        <f t="shared" si="117"/>
        <v>675</v>
      </c>
      <c r="AA336" s="13">
        <f t="shared" si="118"/>
        <v>2</v>
      </c>
      <c r="AB336" s="13">
        <f t="shared" si="119"/>
        <v>2</v>
      </c>
      <c r="AC336" s="13"/>
      <c r="AD336" s="13"/>
      <c r="AE336" s="13"/>
    </row>
    <row r="337" spans="1:31" ht="30" x14ac:dyDescent="0.25">
      <c r="A337" s="9" t="s">
        <v>171</v>
      </c>
      <c r="B337" s="9" t="s">
        <v>1197</v>
      </c>
      <c r="C337" s="9" t="s">
        <v>1198</v>
      </c>
      <c r="D337" s="9" t="s">
        <v>1152</v>
      </c>
      <c r="E337" s="9" t="s">
        <v>1199</v>
      </c>
      <c r="F337" s="9">
        <v>4</v>
      </c>
      <c r="G337" s="9" t="s">
        <v>14</v>
      </c>
      <c r="H337" s="9">
        <v>18</v>
      </c>
      <c r="I337" s="13">
        <f t="shared" si="100"/>
        <v>72</v>
      </c>
      <c r="J337" s="13">
        <f t="shared" si="101"/>
        <v>295.5</v>
      </c>
      <c r="K337" s="13">
        <f t="shared" si="102"/>
        <v>292</v>
      </c>
      <c r="L337" s="13">
        <f t="shared" si="103"/>
        <v>1021.5</v>
      </c>
      <c r="M337" s="13">
        <f t="shared" si="104"/>
        <v>54</v>
      </c>
      <c r="N337" s="13" t="b">
        <f t="shared" si="105"/>
        <v>0</v>
      </c>
      <c r="O337" s="13" t="b">
        <f t="shared" si="106"/>
        <v>1</v>
      </c>
      <c r="P337" s="13" t="str">
        <f t="shared" si="107"/>
        <v>C005453-ct</v>
      </c>
      <c r="Q337" s="14" t="str">
        <f t="shared" si="108"/>
        <v>T090694
4</v>
      </c>
      <c r="R337" s="13" t="b">
        <f t="shared" si="109"/>
        <v>0</v>
      </c>
      <c r="S337" s="13" t="str">
        <f t="shared" si="110"/>
        <v>14</v>
      </c>
      <c r="T337" s="13" t="str">
        <f t="shared" si="111"/>
        <v>CT</v>
      </c>
      <c r="U337" s="13" t="str">
        <f t="shared" si="112"/>
        <v>ct</v>
      </c>
      <c r="V337" s="13">
        <f t="shared" si="113"/>
        <v>2</v>
      </c>
      <c r="W337" s="13" t="str">
        <f t="shared" si="114"/>
        <v>T090694 4</v>
      </c>
      <c r="X337" s="13" t="str">
        <f t="shared" si="115"/>
        <v>S55546</v>
      </c>
      <c r="Y337" s="13" t="str">
        <f t="shared" si="116"/>
        <v>T09</v>
      </c>
      <c r="Z337" s="13" t="str">
        <f t="shared" si="117"/>
        <v>694</v>
      </c>
      <c r="AA337" s="13">
        <f t="shared" si="118"/>
        <v>2</v>
      </c>
      <c r="AB337" s="13">
        <f t="shared" si="119"/>
        <v>2</v>
      </c>
      <c r="AC337" s="13"/>
      <c r="AD337" s="13"/>
      <c r="AE337" s="13"/>
    </row>
    <row r="338" spans="1:31" ht="30" x14ac:dyDescent="0.25">
      <c r="A338" s="9" t="s">
        <v>233</v>
      </c>
      <c r="B338" s="9" t="s">
        <v>1200</v>
      </c>
      <c r="C338" s="9" t="s">
        <v>1201</v>
      </c>
      <c r="D338" s="9" t="s">
        <v>153</v>
      </c>
      <c r="E338" s="9" t="s">
        <v>1202</v>
      </c>
      <c r="F338" s="9">
        <v>7</v>
      </c>
      <c r="G338" s="9" t="s">
        <v>14</v>
      </c>
      <c r="H338" s="9">
        <v>42</v>
      </c>
      <c r="I338" s="13">
        <f t="shared" si="100"/>
        <v>294</v>
      </c>
      <c r="J338" s="13">
        <f t="shared" si="101"/>
        <v>20</v>
      </c>
      <c r="K338" s="13">
        <f t="shared" si="102"/>
        <v>20</v>
      </c>
      <c r="L338" s="13">
        <f t="shared" si="103"/>
        <v>1003.5</v>
      </c>
      <c r="M338" s="13">
        <f t="shared" si="104"/>
        <v>53</v>
      </c>
      <c r="N338" s="13" t="b">
        <f t="shared" si="105"/>
        <v>1</v>
      </c>
      <c r="O338" s="13" t="b">
        <f t="shared" si="106"/>
        <v>1</v>
      </c>
      <c r="P338" s="13" t="str">
        <f t="shared" si="107"/>
        <v>C004840-ct</v>
      </c>
      <c r="Q338" s="14" t="str">
        <f t="shared" si="108"/>
        <v>T071290
7</v>
      </c>
      <c r="R338" s="13" t="b">
        <f t="shared" si="109"/>
        <v>0</v>
      </c>
      <c r="S338" s="13" t="str">
        <f t="shared" si="110"/>
        <v>11</v>
      </c>
      <c r="T338" s="13" t="str">
        <f t="shared" si="111"/>
        <v>CT</v>
      </c>
      <c r="U338" s="13" t="str">
        <f t="shared" si="112"/>
        <v>ct</v>
      </c>
      <c r="V338" s="13">
        <f t="shared" si="113"/>
        <v>2</v>
      </c>
      <c r="W338" s="13" t="str">
        <f t="shared" si="114"/>
        <v>T071290 7</v>
      </c>
      <c r="X338" s="13" t="str">
        <f t="shared" si="115"/>
        <v>S5575</v>
      </c>
      <c r="Y338" s="13" t="str">
        <f t="shared" si="116"/>
        <v>T07</v>
      </c>
      <c r="Z338" s="13" t="str">
        <f t="shared" si="117"/>
        <v>290</v>
      </c>
      <c r="AA338" s="13">
        <f t="shared" si="118"/>
        <v>2</v>
      </c>
      <c r="AB338" s="13">
        <f t="shared" si="119"/>
        <v>2</v>
      </c>
      <c r="AC338" s="13"/>
      <c r="AD338" s="13"/>
      <c r="AE338" s="13"/>
    </row>
    <row r="339" spans="1:31" ht="30" x14ac:dyDescent="0.25">
      <c r="A339" s="9" t="s">
        <v>209</v>
      </c>
      <c r="B339" s="9" t="s">
        <v>1203</v>
      </c>
      <c r="C339" s="9" t="s">
        <v>1204</v>
      </c>
      <c r="D339" s="9" t="s">
        <v>1205</v>
      </c>
      <c r="E339" s="9" t="s">
        <v>1206</v>
      </c>
      <c r="F339" s="9">
        <v>11</v>
      </c>
      <c r="G339" s="9" t="s">
        <v>36</v>
      </c>
      <c r="H339" s="9">
        <v>6.75</v>
      </c>
      <c r="I339" s="13">
        <f t="shared" si="100"/>
        <v>74.25</v>
      </c>
      <c r="J339" s="13">
        <f t="shared" si="101"/>
        <v>289.5</v>
      </c>
      <c r="K339" s="13">
        <f t="shared" si="102"/>
        <v>288</v>
      </c>
      <c r="L339" s="13">
        <f t="shared" si="103"/>
        <v>794.25</v>
      </c>
      <c r="M339" s="13">
        <f t="shared" si="104"/>
        <v>44</v>
      </c>
      <c r="N339" s="13" t="b">
        <f t="shared" si="105"/>
        <v>0</v>
      </c>
      <c r="O339" s="13" t="b">
        <f t="shared" si="106"/>
        <v>1</v>
      </c>
      <c r="P339" s="13" t="str">
        <f t="shared" si="107"/>
        <v>C000308-cans</v>
      </c>
      <c r="Q339" s="14" t="str">
        <f t="shared" si="108"/>
        <v>T019349
11</v>
      </c>
      <c r="R339" s="13" t="b">
        <f t="shared" si="109"/>
        <v>0</v>
      </c>
      <c r="S339" s="13" t="str">
        <f t="shared" si="110"/>
        <v>01</v>
      </c>
      <c r="T339" s="13" t="str">
        <f t="shared" si="111"/>
        <v>CANS</v>
      </c>
      <c r="U339" s="13" t="str">
        <f t="shared" si="112"/>
        <v>cans</v>
      </c>
      <c r="V339" s="13">
        <f t="shared" si="113"/>
        <v>2</v>
      </c>
      <c r="W339" s="13" t="str">
        <f t="shared" si="114"/>
        <v>T019349 11</v>
      </c>
      <c r="X339" s="13" t="str">
        <f t="shared" si="115"/>
        <v>S55532</v>
      </c>
      <c r="Y339" s="13" t="str">
        <f t="shared" si="116"/>
        <v>T01</v>
      </c>
      <c r="Z339" s="13" t="str">
        <f t="shared" si="117"/>
        <v>349</v>
      </c>
      <c r="AA339" s="13">
        <f t="shared" si="118"/>
        <v>2</v>
      </c>
      <c r="AB339" s="13">
        <f t="shared" si="119"/>
        <v>4</v>
      </c>
      <c r="AC339" s="13"/>
      <c r="AD339" s="13"/>
      <c r="AE339" s="13"/>
    </row>
    <row r="340" spans="1:31" ht="30" x14ac:dyDescent="0.25">
      <c r="A340" s="9" t="s">
        <v>218</v>
      </c>
      <c r="B340" s="9" t="s">
        <v>1207</v>
      </c>
      <c r="C340" s="9" t="s">
        <v>1208</v>
      </c>
      <c r="D340" s="9" t="s">
        <v>712</v>
      </c>
      <c r="E340" s="9" t="s">
        <v>1209</v>
      </c>
      <c r="F340" s="9">
        <v>2</v>
      </c>
      <c r="G340" s="9" t="s">
        <v>36</v>
      </c>
      <c r="H340" s="9">
        <v>16.25</v>
      </c>
      <c r="I340" s="13">
        <f t="shared" si="100"/>
        <v>32.5</v>
      </c>
      <c r="J340" s="13">
        <f t="shared" si="101"/>
        <v>430.5</v>
      </c>
      <c r="K340" s="13">
        <f t="shared" si="102"/>
        <v>429</v>
      </c>
      <c r="L340" s="13">
        <f t="shared" si="103"/>
        <v>787.5</v>
      </c>
      <c r="M340" s="13">
        <f t="shared" si="104"/>
        <v>43</v>
      </c>
      <c r="N340" s="13" t="b">
        <f t="shared" si="105"/>
        <v>0</v>
      </c>
      <c r="O340" s="13" t="b">
        <f t="shared" si="106"/>
        <v>1</v>
      </c>
      <c r="P340" s="13" t="str">
        <f t="shared" si="107"/>
        <v>C006171-cans</v>
      </c>
      <c r="Q340" s="14" t="str">
        <f t="shared" si="108"/>
        <v>T038745
2</v>
      </c>
      <c r="R340" s="13" t="b">
        <f t="shared" si="109"/>
        <v>0</v>
      </c>
      <c r="S340" s="13" t="str">
        <f t="shared" si="110"/>
        <v>02</v>
      </c>
      <c r="T340" s="13" t="str">
        <f t="shared" si="111"/>
        <v>CANS</v>
      </c>
      <c r="U340" s="13" t="str">
        <f t="shared" si="112"/>
        <v>cans</v>
      </c>
      <c r="V340" s="13">
        <f t="shared" si="113"/>
        <v>2</v>
      </c>
      <c r="W340" s="13" t="str">
        <f t="shared" si="114"/>
        <v>T038745 2</v>
      </c>
      <c r="X340" s="13" t="str">
        <f t="shared" si="115"/>
        <v>S55351</v>
      </c>
      <c r="Y340" s="13" t="str">
        <f t="shared" si="116"/>
        <v>T03</v>
      </c>
      <c r="Z340" s="13" t="str">
        <f t="shared" si="117"/>
        <v>745</v>
      </c>
      <c r="AA340" s="13">
        <f t="shared" si="118"/>
        <v>2</v>
      </c>
      <c r="AB340" s="13">
        <f t="shared" si="119"/>
        <v>4</v>
      </c>
      <c r="AC340" s="13"/>
      <c r="AD340" s="13"/>
      <c r="AE340" s="13"/>
    </row>
    <row r="341" spans="1:31" ht="30" x14ac:dyDescent="0.25">
      <c r="A341" s="9" t="s">
        <v>368</v>
      </c>
      <c r="B341" s="9" t="s">
        <v>1210</v>
      </c>
      <c r="C341" s="9" t="s">
        <v>1211</v>
      </c>
      <c r="D341" s="9" t="s">
        <v>984</v>
      </c>
      <c r="E341" s="9" t="s">
        <v>1212</v>
      </c>
      <c r="F341" s="9">
        <v>6</v>
      </c>
      <c r="G341" s="9" t="s">
        <v>14</v>
      </c>
      <c r="H341" s="9">
        <v>17</v>
      </c>
      <c r="I341" s="13">
        <f t="shared" si="100"/>
        <v>102</v>
      </c>
      <c r="J341" s="13">
        <f t="shared" si="101"/>
        <v>210.5</v>
      </c>
      <c r="K341" s="13">
        <f t="shared" si="102"/>
        <v>210</v>
      </c>
      <c r="L341" s="13">
        <f t="shared" si="103"/>
        <v>961.5</v>
      </c>
      <c r="M341" s="13">
        <f t="shared" si="104"/>
        <v>52</v>
      </c>
      <c r="N341" s="13" t="b">
        <f t="shared" si="105"/>
        <v>0</v>
      </c>
      <c r="O341" s="13" t="b">
        <f t="shared" si="106"/>
        <v>1</v>
      </c>
      <c r="P341" s="13" t="str">
        <f t="shared" si="107"/>
        <v>C000624-ct</v>
      </c>
      <c r="Q341" s="14" t="str">
        <f t="shared" si="108"/>
        <v>T013797
6</v>
      </c>
      <c r="R341" s="13" t="b">
        <f t="shared" si="109"/>
        <v>0</v>
      </c>
      <c r="S341" s="13" t="str">
        <f t="shared" si="110"/>
        <v>22</v>
      </c>
      <c r="T341" s="13" t="str">
        <f t="shared" si="111"/>
        <v>CT</v>
      </c>
      <c r="U341" s="13" t="str">
        <f t="shared" si="112"/>
        <v>ct</v>
      </c>
      <c r="V341" s="13">
        <f t="shared" si="113"/>
        <v>2</v>
      </c>
      <c r="W341" s="13" t="str">
        <f t="shared" si="114"/>
        <v>T013797 6</v>
      </c>
      <c r="X341" s="13" t="str">
        <f t="shared" si="115"/>
        <v>S55184</v>
      </c>
      <c r="Y341" s="13" t="str">
        <f t="shared" si="116"/>
        <v>T01</v>
      </c>
      <c r="Z341" s="13" t="str">
        <f t="shared" si="117"/>
        <v>797</v>
      </c>
      <c r="AA341" s="13">
        <f t="shared" si="118"/>
        <v>2</v>
      </c>
      <c r="AB341" s="13">
        <f t="shared" si="119"/>
        <v>2</v>
      </c>
      <c r="AC341" s="13"/>
      <c r="AD341" s="13"/>
      <c r="AE341" s="13"/>
    </row>
    <row r="342" spans="1:31" ht="30" x14ac:dyDescent="0.25">
      <c r="A342" s="9" t="s">
        <v>91</v>
      </c>
      <c r="B342" s="9" t="s">
        <v>1213</v>
      </c>
      <c r="C342" s="9" t="s">
        <v>1214</v>
      </c>
      <c r="D342" s="9" t="s">
        <v>1057</v>
      </c>
      <c r="E342" s="9" t="s">
        <v>265</v>
      </c>
      <c r="F342" s="9">
        <v>2</v>
      </c>
      <c r="G342" s="9" t="s">
        <v>36</v>
      </c>
      <c r="H342" s="9">
        <v>16</v>
      </c>
      <c r="I342" s="13">
        <f t="shared" si="100"/>
        <v>32</v>
      </c>
      <c r="J342" s="13">
        <f t="shared" si="101"/>
        <v>435</v>
      </c>
      <c r="K342" s="13">
        <f t="shared" si="102"/>
        <v>433</v>
      </c>
      <c r="L342" s="13">
        <f t="shared" si="103"/>
        <v>771.25</v>
      </c>
      <c r="M342" s="13">
        <f t="shared" si="104"/>
        <v>42</v>
      </c>
      <c r="N342" s="13" t="b">
        <f t="shared" si="105"/>
        <v>0</v>
      </c>
      <c r="O342" s="13" t="b">
        <f t="shared" si="106"/>
        <v>1</v>
      </c>
      <c r="P342" s="13" t="str">
        <f t="shared" si="107"/>
        <v>C001232-cans</v>
      </c>
      <c r="Q342" s="14" t="str">
        <f t="shared" si="108"/>
        <v>T027823
2</v>
      </c>
      <c r="R342" s="13" t="b">
        <f t="shared" si="109"/>
        <v>0</v>
      </c>
      <c r="S342" s="13" t="str">
        <f t="shared" si="110"/>
        <v>03</v>
      </c>
      <c r="T342" s="13" t="str">
        <f t="shared" si="111"/>
        <v>CANS</v>
      </c>
      <c r="U342" s="13" t="str">
        <f t="shared" si="112"/>
        <v>cans</v>
      </c>
      <c r="V342" s="13">
        <f t="shared" si="113"/>
        <v>2</v>
      </c>
      <c r="W342" s="13" t="str">
        <f t="shared" si="114"/>
        <v>T027823 2</v>
      </c>
      <c r="X342" s="13" t="str">
        <f t="shared" si="115"/>
        <v>S55291</v>
      </c>
      <c r="Y342" s="13" t="str">
        <f t="shared" si="116"/>
        <v>T02</v>
      </c>
      <c r="Z342" s="13" t="str">
        <f t="shared" si="117"/>
        <v>823</v>
      </c>
      <c r="AA342" s="13">
        <f t="shared" si="118"/>
        <v>2</v>
      </c>
      <c r="AB342" s="13">
        <f t="shared" si="119"/>
        <v>4</v>
      </c>
      <c r="AC342" s="13"/>
      <c r="AD342" s="13"/>
      <c r="AE342" s="13"/>
    </row>
    <row r="343" spans="1:31" ht="30" x14ac:dyDescent="0.25">
      <c r="A343" s="9" t="s">
        <v>292</v>
      </c>
      <c r="B343" s="9" t="s">
        <v>1215</v>
      </c>
      <c r="C343" s="9" t="s">
        <v>1216</v>
      </c>
      <c r="D343" s="9" t="s">
        <v>677</v>
      </c>
      <c r="E343" s="9" t="s">
        <v>1217</v>
      </c>
      <c r="F343" s="9">
        <v>5</v>
      </c>
      <c r="G343" s="9" t="s">
        <v>20</v>
      </c>
      <c r="H343" s="9">
        <v>26</v>
      </c>
      <c r="I343" s="13">
        <f t="shared" si="100"/>
        <v>130</v>
      </c>
      <c r="J343" s="13">
        <f t="shared" si="101"/>
        <v>145</v>
      </c>
      <c r="K343" s="13">
        <f t="shared" si="102"/>
        <v>143</v>
      </c>
      <c r="L343" s="13">
        <f t="shared" si="103"/>
        <v>26</v>
      </c>
      <c r="M343" s="13">
        <f t="shared" si="104"/>
        <v>1</v>
      </c>
      <c r="N343" s="13" t="b">
        <f t="shared" si="105"/>
        <v>1</v>
      </c>
      <c r="O343" s="13" t="b">
        <f t="shared" si="106"/>
        <v>1</v>
      </c>
      <c r="P343" s="13" t="str">
        <f t="shared" si="107"/>
        <v>C006164-rolls</v>
      </c>
      <c r="Q343" s="14" t="str">
        <f t="shared" si="108"/>
        <v>T089465
5</v>
      </c>
      <c r="R343" s="13" t="b">
        <f t="shared" si="109"/>
        <v>0</v>
      </c>
      <c r="S343" s="13" t="str">
        <f t="shared" si="110"/>
        <v>24</v>
      </c>
      <c r="T343" s="13" t="str">
        <f t="shared" si="111"/>
        <v>ROLLS</v>
      </c>
      <c r="U343" s="13" t="str">
        <f t="shared" si="112"/>
        <v>rolls</v>
      </c>
      <c r="V343" s="13">
        <f t="shared" si="113"/>
        <v>2</v>
      </c>
      <c r="W343" s="13" t="str">
        <f t="shared" si="114"/>
        <v>T089465 5</v>
      </c>
      <c r="X343" s="13" t="str">
        <f t="shared" si="115"/>
        <v>S55121</v>
      </c>
      <c r="Y343" s="13" t="str">
        <f t="shared" si="116"/>
        <v>T08</v>
      </c>
      <c r="Z343" s="13" t="str">
        <f t="shared" si="117"/>
        <v>465</v>
      </c>
      <c r="AA343" s="13">
        <f t="shared" si="118"/>
        <v>2</v>
      </c>
      <c r="AB343" s="13">
        <f t="shared" si="119"/>
        <v>5</v>
      </c>
      <c r="AC343" s="13"/>
      <c r="AD343" s="13"/>
      <c r="AE343" s="13"/>
    </row>
    <row r="344" spans="1:31" ht="30" x14ac:dyDescent="0.25">
      <c r="A344" s="9" t="s">
        <v>177</v>
      </c>
      <c r="B344" s="9" t="s">
        <v>1218</v>
      </c>
      <c r="C344" s="9" t="s">
        <v>1219</v>
      </c>
      <c r="D344" s="9" t="s">
        <v>402</v>
      </c>
      <c r="E344" s="9" t="s">
        <v>1220</v>
      </c>
      <c r="F344" s="9">
        <v>3</v>
      </c>
      <c r="G344" s="9" t="s">
        <v>176</v>
      </c>
      <c r="H344" s="9">
        <v>15</v>
      </c>
      <c r="I344" s="13">
        <f t="shared" si="100"/>
        <v>45</v>
      </c>
      <c r="J344" s="13">
        <f t="shared" si="101"/>
        <v>396.5</v>
      </c>
      <c r="K344" s="13">
        <f t="shared" si="102"/>
        <v>394</v>
      </c>
      <c r="L344" s="13">
        <f t="shared" si="103"/>
        <v>172.5</v>
      </c>
      <c r="M344" s="13">
        <f t="shared" si="104"/>
        <v>11</v>
      </c>
      <c r="N344" s="13" t="b">
        <f t="shared" si="105"/>
        <v>0</v>
      </c>
      <c r="O344" s="13" t="b">
        <f t="shared" si="106"/>
        <v>1</v>
      </c>
      <c r="P344" s="13" t="str">
        <f t="shared" si="107"/>
        <v>C007612-oz</v>
      </c>
      <c r="Q344" s="14" t="str">
        <f t="shared" si="108"/>
        <v>T062563
3</v>
      </c>
      <c r="R344" s="13" t="b">
        <f t="shared" si="109"/>
        <v>0</v>
      </c>
      <c r="S344" s="13" t="str">
        <f t="shared" si="110"/>
        <v>24</v>
      </c>
      <c r="T344" s="13" t="str">
        <f t="shared" si="111"/>
        <v>OZ</v>
      </c>
      <c r="U344" s="13" t="str">
        <f t="shared" si="112"/>
        <v>oz</v>
      </c>
      <c r="V344" s="13">
        <f t="shared" si="113"/>
        <v>2</v>
      </c>
      <c r="W344" s="13" t="str">
        <f t="shared" si="114"/>
        <v>T062563 3</v>
      </c>
      <c r="X344" s="13" t="str">
        <f t="shared" si="115"/>
        <v>S55758</v>
      </c>
      <c r="Y344" s="13" t="str">
        <f t="shared" si="116"/>
        <v>T06</v>
      </c>
      <c r="Z344" s="13" t="str">
        <f t="shared" si="117"/>
        <v>563</v>
      </c>
      <c r="AA344" s="13">
        <f t="shared" si="118"/>
        <v>2</v>
      </c>
      <c r="AB344" s="13">
        <f t="shared" si="119"/>
        <v>2</v>
      </c>
      <c r="AC344" s="13"/>
      <c r="AD344" s="13"/>
      <c r="AE344" s="13"/>
    </row>
    <row r="345" spans="1:31" ht="30" x14ac:dyDescent="0.25">
      <c r="A345" s="9" t="s">
        <v>528</v>
      </c>
      <c r="B345" s="9" t="s">
        <v>1221</v>
      </c>
      <c r="C345" s="9" t="s">
        <v>1222</v>
      </c>
      <c r="D345" s="9" t="s">
        <v>605</v>
      </c>
      <c r="E345" s="9" t="s">
        <v>751</v>
      </c>
      <c r="F345" s="9">
        <v>7</v>
      </c>
      <c r="G345" s="9" t="s">
        <v>187</v>
      </c>
      <c r="H345" s="9">
        <v>16</v>
      </c>
      <c r="I345" s="13">
        <f t="shared" si="100"/>
        <v>112</v>
      </c>
      <c r="J345" s="13">
        <f t="shared" si="101"/>
        <v>188.5</v>
      </c>
      <c r="K345" s="13">
        <f t="shared" si="102"/>
        <v>186</v>
      </c>
      <c r="L345" s="13">
        <f t="shared" si="103"/>
        <v>31</v>
      </c>
      <c r="M345" s="13">
        <f t="shared" si="104"/>
        <v>2</v>
      </c>
      <c r="N345" s="13" t="b">
        <f t="shared" si="105"/>
        <v>0</v>
      </c>
      <c r="O345" s="13" t="b">
        <f t="shared" si="106"/>
        <v>1</v>
      </c>
      <c r="P345" s="13" t="str">
        <f t="shared" si="107"/>
        <v>C008768-tubs</v>
      </c>
      <c r="Q345" s="14" t="str">
        <f t="shared" si="108"/>
        <v>T042661
7</v>
      </c>
      <c r="R345" s="13" t="b">
        <f t="shared" si="109"/>
        <v>0</v>
      </c>
      <c r="S345" s="13" t="str">
        <f t="shared" si="110"/>
        <v>10</v>
      </c>
      <c r="T345" s="13" t="str">
        <f t="shared" si="111"/>
        <v>TUBS</v>
      </c>
      <c r="U345" s="13" t="str">
        <f t="shared" si="112"/>
        <v>tubs</v>
      </c>
      <c r="V345" s="13">
        <f t="shared" si="113"/>
        <v>2</v>
      </c>
      <c r="W345" s="13" t="str">
        <f t="shared" si="114"/>
        <v>T042661 7</v>
      </c>
      <c r="X345" s="13" t="str">
        <f t="shared" si="115"/>
        <v>S55243</v>
      </c>
      <c r="Y345" s="13" t="str">
        <f t="shared" si="116"/>
        <v>T04</v>
      </c>
      <c r="Z345" s="13" t="str">
        <f t="shared" si="117"/>
        <v>661</v>
      </c>
      <c r="AA345" s="13">
        <f t="shared" si="118"/>
        <v>2</v>
      </c>
      <c r="AB345" s="13">
        <f t="shared" si="119"/>
        <v>4</v>
      </c>
      <c r="AC345" s="13"/>
      <c r="AD345" s="13"/>
      <c r="AE345" s="13"/>
    </row>
    <row r="346" spans="1:31" ht="30" x14ac:dyDescent="0.25">
      <c r="A346" s="9" t="s">
        <v>130</v>
      </c>
      <c r="B346" s="9" t="s">
        <v>1223</v>
      </c>
      <c r="C346" s="9" t="s">
        <v>1224</v>
      </c>
      <c r="D346" s="9" t="s">
        <v>1225</v>
      </c>
      <c r="E346" s="9" t="s">
        <v>1226</v>
      </c>
      <c r="F346" s="9">
        <v>4</v>
      </c>
      <c r="G346" s="9" t="s">
        <v>36</v>
      </c>
      <c r="H346" s="9">
        <v>37</v>
      </c>
      <c r="I346" s="13">
        <f t="shared" si="100"/>
        <v>148</v>
      </c>
      <c r="J346" s="13">
        <f t="shared" si="101"/>
        <v>113</v>
      </c>
      <c r="K346" s="13">
        <f t="shared" si="102"/>
        <v>113</v>
      </c>
      <c r="L346" s="13">
        <f t="shared" si="103"/>
        <v>755.25</v>
      </c>
      <c r="M346" s="13">
        <f t="shared" si="104"/>
        <v>41</v>
      </c>
      <c r="N346" s="13" t="b">
        <f t="shared" si="105"/>
        <v>1</v>
      </c>
      <c r="O346" s="13" t="b">
        <f t="shared" si="106"/>
        <v>1</v>
      </c>
      <c r="P346" s="13" t="str">
        <f t="shared" si="107"/>
        <v>C006811-cans</v>
      </c>
      <c r="Q346" s="14" t="str">
        <f t="shared" si="108"/>
        <v>T059551
4</v>
      </c>
      <c r="R346" s="13" t="b">
        <f t="shared" si="109"/>
        <v>0</v>
      </c>
      <c r="S346" s="13" t="str">
        <f t="shared" si="110"/>
        <v>06</v>
      </c>
      <c r="T346" s="13" t="str">
        <f t="shared" si="111"/>
        <v>CANS</v>
      </c>
      <c r="U346" s="13" t="str">
        <f t="shared" si="112"/>
        <v>cans</v>
      </c>
      <c r="V346" s="13">
        <f t="shared" si="113"/>
        <v>2</v>
      </c>
      <c r="W346" s="13" t="str">
        <f t="shared" si="114"/>
        <v>T059551 4</v>
      </c>
      <c r="X346" s="13" t="str">
        <f t="shared" si="115"/>
        <v>S55235</v>
      </c>
      <c r="Y346" s="13" t="str">
        <f t="shared" si="116"/>
        <v>T05</v>
      </c>
      <c r="Z346" s="13" t="str">
        <f t="shared" si="117"/>
        <v>551</v>
      </c>
      <c r="AA346" s="13">
        <f t="shared" si="118"/>
        <v>2</v>
      </c>
      <c r="AB346" s="13">
        <f t="shared" si="119"/>
        <v>4</v>
      </c>
      <c r="AC346" s="13"/>
      <c r="AD346" s="13"/>
      <c r="AE346" s="13"/>
    </row>
    <row r="347" spans="1:31" ht="30" x14ac:dyDescent="0.25">
      <c r="A347" s="9" t="s">
        <v>171</v>
      </c>
      <c r="B347" s="9" t="s">
        <v>1227</v>
      </c>
      <c r="C347" s="9" t="s">
        <v>1228</v>
      </c>
      <c r="D347" s="9" t="s">
        <v>1148</v>
      </c>
      <c r="E347" s="9" t="s">
        <v>217</v>
      </c>
      <c r="F347" s="9">
        <v>8</v>
      </c>
      <c r="G347" s="9" t="s">
        <v>14</v>
      </c>
      <c r="H347" s="9">
        <v>16</v>
      </c>
      <c r="I347" s="13">
        <f t="shared" si="100"/>
        <v>128</v>
      </c>
      <c r="J347" s="13">
        <f t="shared" si="101"/>
        <v>150</v>
      </c>
      <c r="K347" s="13">
        <f t="shared" si="102"/>
        <v>148</v>
      </c>
      <c r="L347" s="13">
        <f t="shared" si="103"/>
        <v>944.5</v>
      </c>
      <c r="M347" s="13">
        <f t="shared" si="104"/>
        <v>51</v>
      </c>
      <c r="N347" s="13" t="b">
        <f t="shared" si="105"/>
        <v>0</v>
      </c>
      <c r="O347" s="13" t="b">
        <f t="shared" si="106"/>
        <v>1</v>
      </c>
      <c r="P347" s="13" t="str">
        <f t="shared" si="107"/>
        <v>C003139-ct</v>
      </c>
      <c r="Q347" s="14" t="str">
        <f t="shared" si="108"/>
        <v>T057738
8</v>
      </c>
      <c r="R347" s="13" t="b">
        <f t="shared" si="109"/>
        <v>0</v>
      </c>
      <c r="S347" s="13" t="str">
        <f t="shared" si="110"/>
        <v>16</v>
      </c>
      <c r="T347" s="13" t="str">
        <f t="shared" si="111"/>
        <v>CT</v>
      </c>
      <c r="U347" s="13" t="str">
        <f t="shared" si="112"/>
        <v>ct</v>
      </c>
      <c r="V347" s="13">
        <f t="shared" si="113"/>
        <v>2</v>
      </c>
      <c r="W347" s="13" t="str">
        <f t="shared" si="114"/>
        <v>T057738 8</v>
      </c>
      <c r="X347" s="13" t="str">
        <f t="shared" si="115"/>
        <v>S55343</v>
      </c>
      <c r="Y347" s="13" t="str">
        <f t="shared" si="116"/>
        <v>T05</v>
      </c>
      <c r="Z347" s="13" t="str">
        <f t="shared" si="117"/>
        <v>738</v>
      </c>
      <c r="AA347" s="13">
        <f t="shared" si="118"/>
        <v>2</v>
      </c>
      <c r="AB347" s="13">
        <f t="shared" si="119"/>
        <v>2</v>
      </c>
      <c r="AC347" s="13"/>
      <c r="AD347" s="13"/>
      <c r="AE347" s="13"/>
    </row>
    <row r="348" spans="1:31" ht="30" x14ac:dyDescent="0.25">
      <c r="A348" s="9" t="s">
        <v>91</v>
      </c>
      <c r="B348" s="9" t="s">
        <v>1229</v>
      </c>
      <c r="C348" s="9" t="s">
        <v>1230</v>
      </c>
      <c r="D348" s="9" t="s">
        <v>649</v>
      </c>
      <c r="E348" s="9" t="s">
        <v>247</v>
      </c>
      <c r="F348" s="9">
        <v>11</v>
      </c>
      <c r="G348" s="9" t="s">
        <v>14</v>
      </c>
      <c r="H348" s="9">
        <v>17</v>
      </c>
      <c r="I348" s="13">
        <f t="shared" si="100"/>
        <v>187</v>
      </c>
      <c r="J348" s="13">
        <f t="shared" si="101"/>
        <v>55.5</v>
      </c>
      <c r="K348" s="13">
        <f t="shared" si="102"/>
        <v>55</v>
      </c>
      <c r="L348" s="13">
        <f t="shared" si="103"/>
        <v>928.5</v>
      </c>
      <c r="M348" s="13">
        <f t="shared" si="104"/>
        <v>50</v>
      </c>
      <c r="N348" s="13" t="b">
        <f t="shared" si="105"/>
        <v>0</v>
      </c>
      <c r="O348" s="13" t="b">
        <f t="shared" si="106"/>
        <v>1</v>
      </c>
      <c r="P348" s="13" t="str">
        <f t="shared" si="107"/>
        <v>C007079-ct</v>
      </c>
      <c r="Q348" s="14" t="str">
        <f t="shared" si="108"/>
        <v>T091659
11</v>
      </c>
      <c r="R348" s="13" t="b">
        <f t="shared" si="109"/>
        <v>0</v>
      </c>
      <c r="S348" s="13" t="str">
        <f t="shared" si="110"/>
        <v>16</v>
      </c>
      <c r="T348" s="13" t="str">
        <f t="shared" si="111"/>
        <v>CT</v>
      </c>
      <c r="U348" s="13" t="str">
        <f t="shared" si="112"/>
        <v>ct</v>
      </c>
      <c r="V348" s="13">
        <f t="shared" si="113"/>
        <v>2</v>
      </c>
      <c r="W348" s="13" t="str">
        <f t="shared" si="114"/>
        <v>T091659 11</v>
      </c>
      <c r="X348" s="13" t="str">
        <f t="shared" si="115"/>
        <v>S55582</v>
      </c>
      <c r="Y348" s="13" t="str">
        <f t="shared" si="116"/>
        <v>T09</v>
      </c>
      <c r="Z348" s="13" t="str">
        <f t="shared" si="117"/>
        <v>659</v>
      </c>
      <c r="AA348" s="13">
        <f t="shared" si="118"/>
        <v>2</v>
      </c>
      <c r="AB348" s="13">
        <f t="shared" si="119"/>
        <v>2</v>
      </c>
      <c r="AC348" s="13"/>
      <c r="AD348" s="13"/>
      <c r="AE348" s="13"/>
    </row>
    <row r="349" spans="1:31" ht="30" x14ac:dyDescent="0.25">
      <c r="A349" s="9" t="s">
        <v>297</v>
      </c>
      <c r="B349" s="9" t="s">
        <v>1231</v>
      </c>
      <c r="C349" s="9" t="s">
        <v>1232</v>
      </c>
      <c r="D349" s="9" t="s">
        <v>1090</v>
      </c>
      <c r="E349" s="9" t="s">
        <v>1233</v>
      </c>
      <c r="F349" s="9">
        <v>11</v>
      </c>
      <c r="G349" s="9" t="s">
        <v>14</v>
      </c>
      <c r="H349" s="9">
        <v>15</v>
      </c>
      <c r="I349" s="13">
        <f t="shared" si="100"/>
        <v>165</v>
      </c>
      <c r="J349" s="13">
        <f t="shared" si="101"/>
        <v>79.5</v>
      </c>
      <c r="K349" s="13">
        <f t="shared" si="102"/>
        <v>77</v>
      </c>
      <c r="L349" s="13">
        <f t="shared" si="103"/>
        <v>911.5</v>
      </c>
      <c r="M349" s="13">
        <f t="shared" si="104"/>
        <v>49</v>
      </c>
      <c r="N349" s="13" t="b">
        <f t="shared" si="105"/>
        <v>0</v>
      </c>
      <c r="O349" s="13" t="b">
        <f t="shared" si="106"/>
        <v>1</v>
      </c>
      <c r="P349" s="13" t="str">
        <f t="shared" si="107"/>
        <v>C004632-ct</v>
      </c>
      <c r="Q349" s="14" t="str">
        <f t="shared" si="108"/>
        <v>T046946
11</v>
      </c>
      <c r="R349" s="13" t="b">
        <f t="shared" si="109"/>
        <v>0</v>
      </c>
      <c r="S349" s="13" t="str">
        <f t="shared" si="110"/>
        <v>12</v>
      </c>
      <c r="T349" s="13" t="str">
        <f t="shared" si="111"/>
        <v>CT</v>
      </c>
      <c r="U349" s="13" t="str">
        <f t="shared" si="112"/>
        <v>ct</v>
      </c>
      <c r="V349" s="13">
        <f t="shared" si="113"/>
        <v>2</v>
      </c>
      <c r="W349" s="13" t="str">
        <f t="shared" si="114"/>
        <v>T046946 11</v>
      </c>
      <c r="X349" s="13" t="str">
        <f t="shared" si="115"/>
        <v>S55684</v>
      </c>
      <c r="Y349" s="13" t="str">
        <f t="shared" si="116"/>
        <v>T04</v>
      </c>
      <c r="Z349" s="13" t="str">
        <f t="shared" si="117"/>
        <v>946</v>
      </c>
      <c r="AA349" s="13">
        <f t="shared" si="118"/>
        <v>2</v>
      </c>
      <c r="AB349" s="13">
        <f t="shared" si="119"/>
        <v>2</v>
      </c>
      <c r="AC349" s="13"/>
      <c r="AD349" s="13"/>
      <c r="AE349" s="13"/>
    </row>
    <row r="350" spans="1:31" ht="30" x14ac:dyDescent="0.25">
      <c r="A350" s="9" t="s">
        <v>116</v>
      </c>
      <c r="B350" s="9" t="s">
        <v>1234</v>
      </c>
      <c r="C350" s="9" t="s">
        <v>1235</v>
      </c>
      <c r="D350" s="9" t="s">
        <v>1236</v>
      </c>
      <c r="E350" s="9" t="s">
        <v>336</v>
      </c>
      <c r="F350" s="9">
        <v>4</v>
      </c>
      <c r="G350" s="9" t="s">
        <v>411</v>
      </c>
      <c r="H350" s="9">
        <v>26</v>
      </c>
      <c r="I350" s="13">
        <f t="shared" si="100"/>
        <v>104</v>
      </c>
      <c r="J350" s="13">
        <f t="shared" si="101"/>
        <v>207.5</v>
      </c>
      <c r="K350" s="13">
        <f t="shared" si="102"/>
        <v>207</v>
      </c>
      <c r="L350" s="13">
        <f t="shared" si="103"/>
        <v>81.5</v>
      </c>
      <c r="M350" s="13">
        <f t="shared" si="104"/>
        <v>4</v>
      </c>
      <c r="N350" s="13" t="b">
        <f t="shared" si="105"/>
        <v>1</v>
      </c>
      <c r="O350" s="13" t="b">
        <f t="shared" si="106"/>
        <v>1</v>
      </c>
      <c r="P350" s="13" t="str">
        <f t="shared" si="107"/>
        <v>C007752-pack</v>
      </c>
      <c r="Q350" s="14" t="str">
        <f t="shared" si="108"/>
        <v>T05232
4</v>
      </c>
      <c r="R350" s="13" t="b">
        <f t="shared" si="109"/>
        <v>0</v>
      </c>
      <c r="S350" s="13" t="str">
        <f t="shared" si="110"/>
        <v>25</v>
      </c>
      <c r="T350" s="13" t="str">
        <f t="shared" si="111"/>
        <v>PACK</v>
      </c>
      <c r="U350" s="13" t="str">
        <f t="shared" si="112"/>
        <v>pack</v>
      </c>
      <c r="V350" s="13">
        <f t="shared" si="113"/>
        <v>2</v>
      </c>
      <c r="W350" s="13" t="str">
        <f t="shared" si="114"/>
        <v>T05232 4</v>
      </c>
      <c r="X350" s="13" t="str">
        <f t="shared" si="115"/>
        <v>S55324</v>
      </c>
      <c r="Y350" s="13" t="str">
        <f t="shared" si="116"/>
        <v>T05</v>
      </c>
      <c r="Z350" s="13" t="str">
        <f t="shared" si="117"/>
        <v>232</v>
      </c>
      <c r="AA350" s="13">
        <f t="shared" si="118"/>
        <v>2</v>
      </c>
      <c r="AB350" s="13">
        <f t="shared" si="119"/>
        <v>4</v>
      </c>
      <c r="AC350" s="13"/>
      <c r="AD350" s="13"/>
      <c r="AE350" s="13"/>
    </row>
    <row r="351" spans="1:31" ht="30" x14ac:dyDescent="0.25">
      <c r="A351" s="9" t="s">
        <v>116</v>
      </c>
      <c r="B351" s="9" t="s">
        <v>1237</v>
      </c>
      <c r="C351" s="9" t="s">
        <v>1238</v>
      </c>
      <c r="D351" s="9" t="s">
        <v>246</v>
      </c>
      <c r="E351" s="9" t="s">
        <v>1239</v>
      </c>
      <c r="F351" s="9">
        <v>5</v>
      </c>
      <c r="G351" s="9" t="s">
        <v>248</v>
      </c>
      <c r="H351" s="9">
        <v>15</v>
      </c>
      <c r="I351" s="13">
        <f t="shared" si="100"/>
        <v>75</v>
      </c>
      <c r="J351" s="13">
        <f t="shared" si="101"/>
        <v>285</v>
      </c>
      <c r="K351" s="13">
        <f t="shared" si="102"/>
        <v>283</v>
      </c>
      <c r="L351" s="13">
        <f t="shared" si="103"/>
        <v>60</v>
      </c>
      <c r="M351" s="13">
        <f t="shared" si="104"/>
        <v>4</v>
      </c>
      <c r="N351" s="13" t="b">
        <f t="shared" si="105"/>
        <v>0</v>
      </c>
      <c r="O351" s="13" t="b">
        <f t="shared" si="106"/>
        <v>1</v>
      </c>
      <c r="P351" s="13" t="str">
        <f t="shared" si="107"/>
        <v>C001501-lb</v>
      </c>
      <c r="Q351" s="14" t="str">
        <f t="shared" si="108"/>
        <v>T074523
5</v>
      </c>
      <c r="R351" s="13" t="b">
        <f t="shared" si="109"/>
        <v>0</v>
      </c>
      <c r="S351" s="13" t="str">
        <f t="shared" si="110"/>
        <v>22</v>
      </c>
      <c r="T351" s="13" t="str">
        <f t="shared" si="111"/>
        <v>LB</v>
      </c>
      <c r="U351" s="13" t="str">
        <f t="shared" si="112"/>
        <v>lb</v>
      </c>
      <c r="V351" s="13">
        <f t="shared" si="113"/>
        <v>2</v>
      </c>
      <c r="W351" s="13" t="str">
        <f t="shared" si="114"/>
        <v>T074523 5</v>
      </c>
      <c r="X351" s="13" t="str">
        <f t="shared" si="115"/>
        <v>S55159</v>
      </c>
      <c r="Y351" s="13" t="str">
        <f t="shared" si="116"/>
        <v>T07</v>
      </c>
      <c r="Z351" s="13" t="str">
        <f t="shared" si="117"/>
        <v>523</v>
      </c>
      <c r="AA351" s="13">
        <f t="shared" si="118"/>
        <v>2</v>
      </c>
      <c r="AB351" s="13">
        <f t="shared" si="119"/>
        <v>2</v>
      </c>
      <c r="AC351" s="13"/>
      <c r="AD351" s="13"/>
      <c r="AE351" s="13"/>
    </row>
    <row r="352" spans="1:31" ht="30" x14ac:dyDescent="0.25">
      <c r="A352" s="9" t="s">
        <v>752</v>
      </c>
      <c r="B352" s="9" t="s">
        <v>1240</v>
      </c>
      <c r="C352" s="9" t="s">
        <v>1241</v>
      </c>
      <c r="D352" s="9" t="s">
        <v>904</v>
      </c>
      <c r="E352" s="9" t="s">
        <v>1242</v>
      </c>
      <c r="F352" s="9">
        <v>10</v>
      </c>
      <c r="G352" s="9" t="s">
        <v>68</v>
      </c>
      <c r="H352" s="9">
        <v>9</v>
      </c>
      <c r="I352" s="13">
        <f t="shared" si="100"/>
        <v>90</v>
      </c>
      <c r="J352" s="13">
        <f t="shared" si="101"/>
        <v>245</v>
      </c>
      <c r="K352" s="13">
        <f t="shared" si="102"/>
        <v>239</v>
      </c>
      <c r="L352" s="13">
        <f t="shared" si="103"/>
        <v>336.5</v>
      </c>
      <c r="M352" s="13">
        <f t="shared" si="104"/>
        <v>20</v>
      </c>
      <c r="N352" s="13" t="b">
        <f t="shared" si="105"/>
        <v>0</v>
      </c>
      <c r="O352" s="13" t="b">
        <f t="shared" si="106"/>
        <v>1</v>
      </c>
      <c r="P352" s="13" t="str">
        <f t="shared" si="107"/>
        <v>C000339-bottles</v>
      </c>
      <c r="Q352" s="14" t="str">
        <f t="shared" si="108"/>
        <v>T089384
10</v>
      </c>
      <c r="R352" s="13" t="b">
        <f t="shared" si="109"/>
        <v>0</v>
      </c>
      <c r="S352" s="13" t="str">
        <f t="shared" si="110"/>
        <v>08</v>
      </c>
      <c r="T352" s="13" t="str">
        <f t="shared" si="111"/>
        <v>BOTTLES</v>
      </c>
      <c r="U352" s="13" t="str">
        <f t="shared" si="112"/>
        <v>bottles</v>
      </c>
      <c r="V352" s="13">
        <f t="shared" si="113"/>
        <v>2</v>
      </c>
      <c r="W352" s="13" t="str">
        <f t="shared" si="114"/>
        <v>T089384 10</v>
      </c>
      <c r="X352" s="13" t="str">
        <f t="shared" si="115"/>
        <v>S55611</v>
      </c>
      <c r="Y352" s="13" t="str">
        <f t="shared" si="116"/>
        <v>T08</v>
      </c>
      <c r="Z352" s="13" t="str">
        <f t="shared" si="117"/>
        <v>384</v>
      </c>
      <c r="AA352" s="13">
        <f t="shared" si="118"/>
        <v>2</v>
      </c>
      <c r="AB352" s="13">
        <f t="shared" si="119"/>
        <v>7</v>
      </c>
      <c r="AC352" s="13"/>
      <c r="AD352" s="13"/>
      <c r="AE352" s="13"/>
    </row>
    <row r="353" spans="1:31" ht="30" x14ac:dyDescent="0.25">
      <c r="A353" s="9" t="s">
        <v>752</v>
      </c>
      <c r="B353" s="9" t="s">
        <v>1243</v>
      </c>
      <c r="C353" s="9" t="s">
        <v>1244</v>
      </c>
      <c r="D353" s="9" t="s">
        <v>1245</v>
      </c>
      <c r="E353" s="9" t="s">
        <v>1246</v>
      </c>
      <c r="F353" s="9">
        <v>4</v>
      </c>
      <c r="G353" s="9" t="s">
        <v>278</v>
      </c>
      <c r="H353" s="9">
        <v>12</v>
      </c>
      <c r="I353" s="13">
        <f t="shared" si="100"/>
        <v>48</v>
      </c>
      <c r="J353" s="13">
        <f t="shared" si="101"/>
        <v>382.5</v>
      </c>
      <c r="K353" s="13">
        <f t="shared" si="102"/>
        <v>379</v>
      </c>
      <c r="L353" s="13">
        <f t="shared" si="103"/>
        <v>97</v>
      </c>
      <c r="M353" s="13">
        <f t="shared" si="104"/>
        <v>7</v>
      </c>
      <c r="N353" s="13" t="b">
        <f t="shared" si="105"/>
        <v>0</v>
      </c>
      <c r="O353" s="13" t="b">
        <f t="shared" si="106"/>
        <v>1</v>
      </c>
      <c r="P353" s="13" t="str">
        <f t="shared" si="107"/>
        <v>C005675-ct.</v>
      </c>
      <c r="Q353" s="14" t="str">
        <f t="shared" si="108"/>
        <v>T080151
4</v>
      </c>
      <c r="R353" s="13" t="b">
        <f t="shared" si="109"/>
        <v>0</v>
      </c>
      <c r="S353" s="13" t="str">
        <f t="shared" si="110"/>
        <v>20</v>
      </c>
      <c r="T353" s="13" t="str">
        <f t="shared" si="111"/>
        <v>CT.</v>
      </c>
      <c r="U353" s="13" t="str">
        <f t="shared" si="112"/>
        <v>ct.</v>
      </c>
      <c r="V353" s="13">
        <f t="shared" si="113"/>
        <v>2</v>
      </c>
      <c r="W353" s="13" t="str">
        <f t="shared" si="114"/>
        <v>T080151 4</v>
      </c>
      <c r="X353" s="13" t="str">
        <f t="shared" si="115"/>
        <v>S55223</v>
      </c>
      <c r="Y353" s="13" t="str">
        <f t="shared" si="116"/>
        <v>T08</v>
      </c>
      <c r="Z353" s="13" t="str">
        <f t="shared" si="117"/>
        <v>151</v>
      </c>
      <c r="AA353" s="13">
        <f t="shared" si="118"/>
        <v>2</v>
      </c>
      <c r="AB353" s="13">
        <f t="shared" si="119"/>
        <v>3</v>
      </c>
      <c r="AC353" s="13"/>
      <c r="AD353" s="13"/>
      <c r="AE353" s="13"/>
    </row>
    <row r="354" spans="1:31" ht="30" x14ac:dyDescent="0.25">
      <c r="A354" s="9" t="s">
        <v>348</v>
      </c>
      <c r="B354" s="9" t="s">
        <v>1247</v>
      </c>
      <c r="C354" s="9" t="s">
        <v>1248</v>
      </c>
      <c r="D354" s="9" t="s">
        <v>314</v>
      </c>
      <c r="E354" s="9" t="s">
        <v>1129</v>
      </c>
      <c r="F354" s="9">
        <v>7</v>
      </c>
      <c r="G354" s="9" t="s">
        <v>36</v>
      </c>
      <c r="H354" s="9">
        <v>8</v>
      </c>
      <c r="I354" s="13">
        <f t="shared" si="100"/>
        <v>56</v>
      </c>
      <c r="J354" s="13">
        <f t="shared" si="101"/>
        <v>360.5</v>
      </c>
      <c r="K354" s="13">
        <f t="shared" si="102"/>
        <v>357</v>
      </c>
      <c r="L354" s="13">
        <f t="shared" si="103"/>
        <v>718.25</v>
      </c>
      <c r="M354" s="13">
        <f t="shared" si="104"/>
        <v>40</v>
      </c>
      <c r="N354" s="13" t="b">
        <f t="shared" si="105"/>
        <v>0</v>
      </c>
      <c r="O354" s="13" t="b">
        <f t="shared" si="106"/>
        <v>1</v>
      </c>
      <c r="P354" s="13" t="str">
        <f t="shared" si="107"/>
        <v>C005584-cans</v>
      </c>
      <c r="Q354" s="14" t="str">
        <f t="shared" si="108"/>
        <v>T068963
7</v>
      </c>
      <c r="R354" s="13" t="b">
        <f t="shared" si="109"/>
        <v>0</v>
      </c>
      <c r="S354" s="13" t="str">
        <f t="shared" si="110"/>
        <v>04</v>
      </c>
      <c r="T354" s="13" t="str">
        <f t="shared" si="111"/>
        <v>CANS</v>
      </c>
      <c r="U354" s="13" t="str">
        <f t="shared" si="112"/>
        <v>cans</v>
      </c>
      <c r="V354" s="13">
        <f t="shared" si="113"/>
        <v>2</v>
      </c>
      <c r="W354" s="13" t="str">
        <f t="shared" si="114"/>
        <v>T068963 7</v>
      </c>
      <c r="X354" s="13" t="str">
        <f t="shared" si="115"/>
        <v>S55412</v>
      </c>
      <c r="Y354" s="13" t="str">
        <f t="shared" si="116"/>
        <v>T06</v>
      </c>
      <c r="Z354" s="13" t="str">
        <f t="shared" si="117"/>
        <v>963</v>
      </c>
      <c r="AA354" s="13">
        <f t="shared" si="118"/>
        <v>2</v>
      </c>
      <c r="AB354" s="13">
        <f t="shared" si="119"/>
        <v>4</v>
      </c>
      <c r="AC354" s="13"/>
      <c r="AD354" s="13"/>
      <c r="AE354" s="13"/>
    </row>
    <row r="355" spans="1:31" ht="30" x14ac:dyDescent="0.25">
      <c r="A355" s="9" t="s">
        <v>79</v>
      </c>
      <c r="B355" s="9" t="s">
        <v>1249</v>
      </c>
      <c r="C355" s="9" t="s">
        <v>1250</v>
      </c>
      <c r="D355" s="9" t="s">
        <v>1251</v>
      </c>
      <c r="E355" s="9" t="s">
        <v>573</v>
      </c>
      <c r="F355" s="9">
        <v>11</v>
      </c>
      <c r="G355" s="9" t="s">
        <v>36</v>
      </c>
      <c r="H355" s="9">
        <v>40</v>
      </c>
      <c r="I355" s="13">
        <f t="shared" si="100"/>
        <v>440</v>
      </c>
      <c r="J355" s="13">
        <f t="shared" si="101"/>
        <v>3.5</v>
      </c>
      <c r="K355" s="13">
        <f t="shared" si="102"/>
        <v>2</v>
      </c>
      <c r="L355" s="13">
        <f t="shared" si="103"/>
        <v>710.25</v>
      </c>
      <c r="M355" s="13">
        <f t="shared" si="104"/>
        <v>39</v>
      </c>
      <c r="N355" s="13" t="b">
        <f t="shared" si="105"/>
        <v>1</v>
      </c>
      <c r="O355" s="13" t="b">
        <f t="shared" si="106"/>
        <v>1</v>
      </c>
      <c r="P355" s="13" t="str">
        <f t="shared" si="107"/>
        <v>C007097-cans</v>
      </c>
      <c r="Q355" s="14" t="str">
        <f t="shared" si="108"/>
        <v>T034021
11</v>
      </c>
      <c r="R355" s="13" t="b">
        <f t="shared" si="109"/>
        <v>0</v>
      </c>
      <c r="S355" s="13" t="str">
        <f t="shared" si="110"/>
        <v>05</v>
      </c>
      <c r="T355" s="13" t="str">
        <f t="shared" si="111"/>
        <v>CANS</v>
      </c>
      <c r="U355" s="13" t="str">
        <f t="shared" si="112"/>
        <v>cans</v>
      </c>
      <c r="V355" s="13">
        <f t="shared" si="113"/>
        <v>2</v>
      </c>
      <c r="W355" s="13" t="str">
        <f t="shared" si="114"/>
        <v>T034021 11</v>
      </c>
      <c r="X355" s="13" t="str">
        <f t="shared" si="115"/>
        <v>S55753</v>
      </c>
      <c r="Y355" s="13" t="str">
        <f t="shared" si="116"/>
        <v>T03</v>
      </c>
      <c r="Z355" s="13" t="str">
        <f t="shared" si="117"/>
        <v>021</v>
      </c>
      <c r="AA355" s="13">
        <f t="shared" si="118"/>
        <v>2</v>
      </c>
      <c r="AB355" s="13">
        <f t="shared" si="119"/>
        <v>4</v>
      </c>
      <c r="AC355" s="13"/>
      <c r="AD355" s="13"/>
      <c r="AE355" s="13"/>
    </row>
    <row r="356" spans="1:31" ht="30" x14ac:dyDescent="0.25">
      <c r="A356" s="9" t="s">
        <v>69</v>
      </c>
      <c r="B356" s="9" t="s">
        <v>1252</v>
      </c>
      <c r="C356" s="9" t="s">
        <v>1253</v>
      </c>
      <c r="D356" s="9" t="s">
        <v>526</v>
      </c>
      <c r="E356" s="9" t="s">
        <v>638</v>
      </c>
      <c r="F356" s="9">
        <v>10</v>
      </c>
      <c r="G356" s="9" t="s">
        <v>14</v>
      </c>
      <c r="H356" s="9">
        <v>20</v>
      </c>
      <c r="I356" s="13">
        <f t="shared" si="100"/>
        <v>200</v>
      </c>
      <c r="J356" s="13">
        <f t="shared" si="101"/>
        <v>48</v>
      </c>
      <c r="K356" s="13">
        <f t="shared" si="102"/>
        <v>46</v>
      </c>
      <c r="L356" s="13">
        <f t="shared" si="103"/>
        <v>896.5</v>
      </c>
      <c r="M356" s="13">
        <f t="shared" si="104"/>
        <v>48</v>
      </c>
      <c r="N356" s="13" t="b">
        <f t="shared" si="105"/>
        <v>0</v>
      </c>
      <c r="O356" s="13" t="b">
        <f t="shared" si="106"/>
        <v>1</v>
      </c>
      <c r="P356" s="13" t="str">
        <f t="shared" si="107"/>
        <v>C001350-ct</v>
      </c>
      <c r="Q356" s="14" t="str">
        <f t="shared" si="108"/>
        <v>T050819
10</v>
      </c>
      <c r="R356" s="13" t="b">
        <f t="shared" si="109"/>
        <v>0</v>
      </c>
      <c r="S356" s="13" t="str">
        <f t="shared" si="110"/>
        <v>14</v>
      </c>
      <c r="T356" s="13" t="str">
        <f t="shared" si="111"/>
        <v>CT</v>
      </c>
      <c r="U356" s="13" t="str">
        <f t="shared" si="112"/>
        <v>ct</v>
      </c>
      <c r="V356" s="13">
        <f t="shared" si="113"/>
        <v>2</v>
      </c>
      <c r="W356" s="13" t="str">
        <f t="shared" si="114"/>
        <v>T050819 10</v>
      </c>
      <c r="X356" s="13" t="str">
        <f t="shared" si="115"/>
        <v>S55275</v>
      </c>
      <c r="Y356" s="13" t="str">
        <f t="shared" si="116"/>
        <v>T05</v>
      </c>
      <c r="Z356" s="13" t="str">
        <f t="shared" si="117"/>
        <v>819</v>
      </c>
      <c r="AA356" s="13">
        <f t="shared" si="118"/>
        <v>2</v>
      </c>
      <c r="AB356" s="13">
        <f t="shared" si="119"/>
        <v>2</v>
      </c>
      <c r="AC356" s="13"/>
      <c r="AD356" s="13"/>
      <c r="AE356" s="13"/>
    </row>
    <row r="357" spans="1:31" ht="30" x14ac:dyDescent="0.25">
      <c r="A357" s="9" t="s">
        <v>348</v>
      </c>
      <c r="B357" s="9" t="s">
        <v>1254</v>
      </c>
      <c r="C357" s="9" t="s">
        <v>1255</v>
      </c>
      <c r="D357" s="9" t="s">
        <v>762</v>
      </c>
      <c r="E357" s="9" t="s">
        <v>1256</v>
      </c>
      <c r="F357" s="9">
        <v>1</v>
      </c>
      <c r="G357" s="9" t="s">
        <v>36</v>
      </c>
      <c r="H357" s="9">
        <v>11.5</v>
      </c>
      <c r="I357" s="13">
        <f t="shared" si="100"/>
        <v>11.5</v>
      </c>
      <c r="J357" s="13">
        <f t="shared" si="101"/>
        <v>490</v>
      </c>
      <c r="K357" s="13">
        <f t="shared" si="102"/>
        <v>490</v>
      </c>
      <c r="L357" s="13">
        <f t="shared" si="103"/>
        <v>670.25</v>
      </c>
      <c r="M357" s="13">
        <f t="shared" si="104"/>
        <v>38</v>
      </c>
      <c r="N357" s="13" t="b">
        <f t="shared" si="105"/>
        <v>0</v>
      </c>
      <c r="O357" s="13" t="b">
        <f t="shared" si="106"/>
        <v>1</v>
      </c>
      <c r="P357" s="13" t="str">
        <f t="shared" si="107"/>
        <v>C008892-cans</v>
      </c>
      <c r="Q357" s="14" t="str">
        <f t="shared" si="108"/>
        <v>T056778
1</v>
      </c>
      <c r="R357" s="13" t="b">
        <f t="shared" si="109"/>
        <v>0</v>
      </c>
      <c r="S357" s="13" t="str">
        <f t="shared" si="110"/>
        <v>02</v>
      </c>
      <c r="T357" s="13" t="str">
        <f t="shared" si="111"/>
        <v>CANS</v>
      </c>
      <c r="U357" s="13" t="str">
        <f t="shared" si="112"/>
        <v>cans</v>
      </c>
      <c r="V357" s="13">
        <f t="shared" si="113"/>
        <v>2</v>
      </c>
      <c r="W357" s="13" t="str">
        <f t="shared" si="114"/>
        <v>T056778 1</v>
      </c>
      <c r="X357" s="13" t="str">
        <f t="shared" si="115"/>
        <v>S55451</v>
      </c>
      <c r="Y357" s="13" t="str">
        <f t="shared" si="116"/>
        <v>T05</v>
      </c>
      <c r="Z357" s="13" t="str">
        <f t="shared" si="117"/>
        <v>778</v>
      </c>
      <c r="AA357" s="13">
        <f t="shared" si="118"/>
        <v>2</v>
      </c>
      <c r="AB357" s="13">
        <f t="shared" si="119"/>
        <v>4</v>
      </c>
      <c r="AC357" s="13"/>
      <c r="AD357" s="13"/>
      <c r="AE357" s="13"/>
    </row>
    <row r="358" spans="1:31" ht="30" x14ac:dyDescent="0.25">
      <c r="A358" s="9" t="s">
        <v>116</v>
      </c>
      <c r="B358" s="9" t="s">
        <v>1257</v>
      </c>
      <c r="C358" s="9" t="s">
        <v>1258</v>
      </c>
      <c r="D358" s="9" t="s">
        <v>1259</v>
      </c>
      <c r="E358" s="9" t="s">
        <v>431</v>
      </c>
      <c r="F358" s="9">
        <v>7</v>
      </c>
      <c r="G358" s="9" t="s">
        <v>68</v>
      </c>
      <c r="H358" s="9">
        <v>18</v>
      </c>
      <c r="I358" s="13">
        <f t="shared" si="100"/>
        <v>126</v>
      </c>
      <c r="J358" s="13">
        <f t="shared" si="101"/>
        <v>157</v>
      </c>
      <c r="K358" s="13">
        <f t="shared" si="102"/>
        <v>154</v>
      </c>
      <c r="L358" s="13">
        <f t="shared" si="103"/>
        <v>327.5</v>
      </c>
      <c r="M358" s="13">
        <f t="shared" si="104"/>
        <v>19</v>
      </c>
      <c r="N358" s="13" t="b">
        <f t="shared" si="105"/>
        <v>0</v>
      </c>
      <c r="O358" s="13" t="b">
        <f t="shared" si="106"/>
        <v>1</v>
      </c>
      <c r="P358" s="13" t="str">
        <f t="shared" si="107"/>
        <v>C003035-bottles</v>
      </c>
      <c r="Q358" s="14" t="str">
        <f t="shared" si="108"/>
        <v>T089712
7</v>
      </c>
      <c r="R358" s="13" t="b">
        <f t="shared" si="109"/>
        <v>0</v>
      </c>
      <c r="S358" s="13" t="str">
        <f t="shared" si="110"/>
        <v>08</v>
      </c>
      <c r="T358" s="13" t="str">
        <f t="shared" si="111"/>
        <v>BOTTLES</v>
      </c>
      <c r="U358" s="13" t="str">
        <f t="shared" si="112"/>
        <v>bottles</v>
      </c>
      <c r="V358" s="13">
        <f t="shared" si="113"/>
        <v>2</v>
      </c>
      <c r="W358" s="13" t="str">
        <f t="shared" si="114"/>
        <v>T089712 7</v>
      </c>
      <c r="X358" s="13" t="str">
        <f t="shared" si="115"/>
        <v>S55675</v>
      </c>
      <c r="Y358" s="13" t="str">
        <f t="shared" si="116"/>
        <v>T08</v>
      </c>
      <c r="Z358" s="13" t="str">
        <f t="shared" si="117"/>
        <v>712</v>
      </c>
      <c r="AA358" s="13">
        <f t="shared" si="118"/>
        <v>2</v>
      </c>
      <c r="AB358" s="13">
        <f t="shared" si="119"/>
        <v>7</v>
      </c>
      <c r="AC358" s="13"/>
      <c r="AD358" s="13"/>
      <c r="AE358" s="13"/>
    </row>
    <row r="359" spans="1:31" ht="30" x14ac:dyDescent="0.25">
      <c r="A359" s="9" t="s">
        <v>105</v>
      </c>
      <c r="B359" s="9" t="s">
        <v>1260</v>
      </c>
      <c r="C359" s="9" t="s">
        <v>1261</v>
      </c>
      <c r="D359" s="9" t="s">
        <v>1142</v>
      </c>
      <c r="E359" s="9" t="s">
        <v>1262</v>
      </c>
      <c r="F359" s="9">
        <v>11</v>
      </c>
      <c r="G359" s="9" t="s">
        <v>176</v>
      </c>
      <c r="H359" s="9">
        <v>19</v>
      </c>
      <c r="I359" s="13">
        <f t="shared" si="100"/>
        <v>209</v>
      </c>
      <c r="J359" s="13">
        <f t="shared" si="101"/>
        <v>42.5</v>
      </c>
      <c r="K359" s="13">
        <f t="shared" si="102"/>
        <v>42</v>
      </c>
      <c r="L359" s="13">
        <f t="shared" si="103"/>
        <v>157.5</v>
      </c>
      <c r="M359" s="13">
        <f t="shared" si="104"/>
        <v>10</v>
      </c>
      <c r="N359" s="13" t="b">
        <f t="shared" si="105"/>
        <v>0</v>
      </c>
      <c r="O359" s="13" t="b">
        <f t="shared" si="106"/>
        <v>1</v>
      </c>
      <c r="P359" s="13" t="str">
        <f t="shared" si="107"/>
        <v>C005881-oz</v>
      </c>
      <c r="Q359" s="14" t="str">
        <f t="shared" si="108"/>
        <v>T060602
11</v>
      </c>
      <c r="R359" s="13" t="b">
        <f t="shared" si="109"/>
        <v>0</v>
      </c>
      <c r="S359" s="13" t="str">
        <f t="shared" si="110"/>
        <v>17</v>
      </c>
      <c r="T359" s="13" t="str">
        <f t="shared" si="111"/>
        <v>OZ</v>
      </c>
      <c r="U359" s="13" t="str">
        <f t="shared" si="112"/>
        <v>oz</v>
      </c>
      <c r="V359" s="13">
        <f t="shared" si="113"/>
        <v>2</v>
      </c>
      <c r="W359" s="13" t="str">
        <f t="shared" si="114"/>
        <v>T060602 11</v>
      </c>
      <c r="X359" s="13" t="str">
        <f t="shared" si="115"/>
        <v>S55683</v>
      </c>
      <c r="Y359" s="13" t="str">
        <f t="shared" si="116"/>
        <v>T06</v>
      </c>
      <c r="Z359" s="13" t="str">
        <f t="shared" si="117"/>
        <v>602</v>
      </c>
      <c r="AA359" s="13">
        <f t="shared" si="118"/>
        <v>2</v>
      </c>
      <c r="AB359" s="13">
        <f t="shared" si="119"/>
        <v>2</v>
      </c>
      <c r="AC359" s="13"/>
      <c r="AD359" s="13"/>
      <c r="AE359" s="13"/>
    </row>
    <row r="360" spans="1:31" ht="30" x14ac:dyDescent="0.25">
      <c r="A360" s="9" t="s">
        <v>182</v>
      </c>
      <c r="B360" s="9" t="s">
        <v>1263</v>
      </c>
      <c r="C360" s="9" t="s">
        <v>1264</v>
      </c>
      <c r="D360" s="9" t="s">
        <v>1148</v>
      </c>
      <c r="E360" s="9" t="s">
        <v>501</v>
      </c>
      <c r="F360" s="9">
        <v>6</v>
      </c>
      <c r="G360" s="9" t="s">
        <v>14</v>
      </c>
      <c r="H360" s="9">
        <v>16</v>
      </c>
      <c r="I360" s="13">
        <f t="shared" si="100"/>
        <v>96</v>
      </c>
      <c r="J360" s="13">
        <f t="shared" si="101"/>
        <v>231.5</v>
      </c>
      <c r="K360" s="13">
        <f t="shared" si="102"/>
        <v>228</v>
      </c>
      <c r="L360" s="13">
        <f t="shared" si="103"/>
        <v>876.5</v>
      </c>
      <c r="M360" s="13">
        <f t="shared" si="104"/>
        <v>47</v>
      </c>
      <c r="N360" s="13" t="b">
        <f t="shared" si="105"/>
        <v>0</v>
      </c>
      <c r="O360" s="13" t="b">
        <f t="shared" si="106"/>
        <v>1</v>
      </c>
      <c r="P360" s="13" t="str">
        <f t="shared" si="107"/>
        <v>C006570-ct</v>
      </c>
      <c r="Q360" s="14" t="str">
        <f t="shared" si="108"/>
        <v>T060616
6</v>
      </c>
      <c r="R360" s="13" t="b">
        <f t="shared" si="109"/>
        <v>0</v>
      </c>
      <c r="S360" s="13" t="str">
        <f t="shared" si="110"/>
        <v>16</v>
      </c>
      <c r="T360" s="13" t="str">
        <f t="shared" si="111"/>
        <v>CT</v>
      </c>
      <c r="U360" s="13" t="str">
        <f t="shared" si="112"/>
        <v>ct</v>
      </c>
      <c r="V360" s="13">
        <f t="shared" si="113"/>
        <v>2</v>
      </c>
      <c r="W360" s="13" t="str">
        <f t="shared" si="114"/>
        <v>T060616 6</v>
      </c>
      <c r="X360" s="13" t="str">
        <f t="shared" si="115"/>
        <v>S55381</v>
      </c>
      <c r="Y360" s="13" t="str">
        <f t="shared" si="116"/>
        <v>T06</v>
      </c>
      <c r="Z360" s="13" t="str">
        <f t="shared" si="117"/>
        <v>616</v>
      </c>
      <c r="AA360" s="13">
        <f t="shared" si="118"/>
        <v>2</v>
      </c>
      <c r="AB360" s="13">
        <f t="shared" si="119"/>
        <v>2</v>
      </c>
      <c r="AC360" s="13"/>
      <c r="AD360" s="13"/>
      <c r="AE360" s="13"/>
    </row>
    <row r="361" spans="1:31" ht="30" x14ac:dyDescent="0.25">
      <c r="A361" s="9" t="s">
        <v>130</v>
      </c>
      <c r="B361" s="9" t="s">
        <v>1265</v>
      </c>
      <c r="C361" s="9" t="s">
        <v>1266</v>
      </c>
      <c r="D361" s="9" t="s">
        <v>653</v>
      </c>
      <c r="E361" s="9" t="s">
        <v>1267</v>
      </c>
      <c r="F361" s="9">
        <v>11</v>
      </c>
      <c r="G361" s="9" t="s">
        <v>115</v>
      </c>
      <c r="H361" s="9">
        <v>21</v>
      </c>
      <c r="I361" s="13">
        <f t="shared" si="100"/>
        <v>231</v>
      </c>
      <c r="J361" s="13">
        <f t="shared" si="101"/>
        <v>31</v>
      </c>
      <c r="K361" s="13">
        <f t="shared" si="102"/>
        <v>31</v>
      </c>
      <c r="L361" s="13">
        <f t="shared" si="103"/>
        <v>181</v>
      </c>
      <c r="M361" s="13">
        <f t="shared" si="104"/>
        <v>11</v>
      </c>
      <c r="N361" s="13" t="b">
        <f t="shared" si="105"/>
        <v>1</v>
      </c>
      <c r="O361" s="13" t="b">
        <f t="shared" si="106"/>
        <v>1</v>
      </c>
      <c r="P361" s="13" t="str">
        <f t="shared" si="107"/>
        <v>C003225-bags</v>
      </c>
      <c r="Q361" s="14" t="str">
        <f t="shared" si="108"/>
        <v>T037570
11</v>
      </c>
      <c r="R361" s="13" t="b">
        <f t="shared" si="109"/>
        <v>0</v>
      </c>
      <c r="S361" s="13" t="str">
        <f t="shared" si="110"/>
        <v>25</v>
      </c>
      <c r="T361" s="13" t="str">
        <f t="shared" si="111"/>
        <v>BAGS</v>
      </c>
      <c r="U361" s="13" t="str">
        <f t="shared" si="112"/>
        <v>bags</v>
      </c>
      <c r="V361" s="13">
        <f t="shared" si="113"/>
        <v>2</v>
      </c>
      <c r="W361" s="13" t="str">
        <f t="shared" si="114"/>
        <v>T037570 11</v>
      </c>
      <c r="X361" s="13" t="str">
        <f t="shared" si="115"/>
        <v>S55579</v>
      </c>
      <c r="Y361" s="13" t="str">
        <f t="shared" si="116"/>
        <v>T03</v>
      </c>
      <c r="Z361" s="13" t="str">
        <f t="shared" si="117"/>
        <v>570</v>
      </c>
      <c r="AA361" s="13">
        <f t="shared" si="118"/>
        <v>2</v>
      </c>
      <c r="AB361" s="13">
        <f t="shared" si="119"/>
        <v>4</v>
      </c>
      <c r="AC361" s="13"/>
      <c r="AD361" s="13"/>
      <c r="AE361" s="13"/>
    </row>
    <row r="362" spans="1:31" ht="30" x14ac:dyDescent="0.25">
      <c r="A362" s="9" t="s">
        <v>79</v>
      </c>
      <c r="B362" s="9" t="s">
        <v>1268</v>
      </c>
      <c r="C362" s="9" t="s">
        <v>1269</v>
      </c>
      <c r="D362" s="9" t="s">
        <v>587</v>
      </c>
      <c r="E362" s="9" t="s">
        <v>1270</v>
      </c>
      <c r="F362" s="9">
        <v>8</v>
      </c>
      <c r="G362" s="9" t="s">
        <v>14</v>
      </c>
      <c r="H362" s="9">
        <v>22</v>
      </c>
      <c r="I362" s="13">
        <f t="shared" si="100"/>
        <v>176</v>
      </c>
      <c r="J362" s="13">
        <f t="shared" si="101"/>
        <v>67</v>
      </c>
      <c r="K362" s="13">
        <f t="shared" si="102"/>
        <v>65</v>
      </c>
      <c r="L362" s="13">
        <f t="shared" si="103"/>
        <v>860.5</v>
      </c>
      <c r="M362" s="13">
        <f t="shared" si="104"/>
        <v>46</v>
      </c>
      <c r="N362" s="13" t="b">
        <f t="shared" si="105"/>
        <v>1</v>
      </c>
      <c r="O362" s="13" t="b">
        <f t="shared" si="106"/>
        <v>1</v>
      </c>
      <c r="P362" s="13" t="str">
        <f t="shared" si="107"/>
        <v>C008021-ct</v>
      </c>
      <c r="Q362" s="14" t="str">
        <f t="shared" si="108"/>
        <v>T070924
8</v>
      </c>
      <c r="R362" s="13" t="b">
        <f t="shared" si="109"/>
        <v>0</v>
      </c>
      <c r="S362" s="13" t="str">
        <f t="shared" si="110"/>
        <v>21</v>
      </c>
      <c r="T362" s="13" t="str">
        <f t="shared" si="111"/>
        <v>CT</v>
      </c>
      <c r="U362" s="13" t="str">
        <f t="shared" si="112"/>
        <v>ct</v>
      </c>
      <c r="V362" s="13">
        <f t="shared" si="113"/>
        <v>2</v>
      </c>
      <c r="W362" s="13" t="str">
        <f t="shared" si="114"/>
        <v>T070924 8</v>
      </c>
      <c r="X362" s="13" t="str">
        <f t="shared" si="115"/>
        <v>S55153</v>
      </c>
      <c r="Y362" s="13" t="str">
        <f t="shared" si="116"/>
        <v>T07</v>
      </c>
      <c r="Z362" s="13" t="str">
        <f t="shared" si="117"/>
        <v>924</v>
      </c>
      <c r="AA362" s="13">
        <f t="shared" si="118"/>
        <v>2</v>
      </c>
      <c r="AB362" s="13">
        <f t="shared" si="119"/>
        <v>2</v>
      </c>
      <c r="AC362" s="13"/>
      <c r="AD362" s="13"/>
      <c r="AE362" s="13"/>
    </row>
    <row r="363" spans="1:31" ht="30" x14ac:dyDescent="0.25">
      <c r="A363" s="9" t="s">
        <v>69</v>
      </c>
      <c r="B363" s="9" t="s">
        <v>1271</v>
      </c>
      <c r="C363" s="9" t="s">
        <v>1272</v>
      </c>
      <c r="D363" s="9" t="s">
        <v>113</v>
      </c>
      <c r="E363" s="9" t="s">
        <v>501</v>
      </c>
      <c r="F363" s="9">
        <v>1</v>
      </c>
      <c r="G363" s="9" t="s">
        <v>115</v>
      </c>
      <c r="H363" s="9">
        <v>15</v>
      </c>
      <c r="I363" s="13">
        <f t="shared" si="100"/>
        <v>15</v>
      </c>
      <c r="J363" s="13">
        <f t="shared" si="101"/>
        <v>476.5</v>
      </c>
      <c r="K363" s="13">
        <f t="shared" si="102"/>
        <v>473</v>
      </c>
      <c r="L363" s="13">
        <f t="shared" si="103"/>
        <v>160</v>
      </c>
      <c r="M363" s="13">
        <f t="shared" si="104"/>
        <v>10</v>
      </c>
      <c r="N363" s="13" t="b">
        <f t="shared" si="105"/>
        <v>0</v>
      </c>
      <c r="O363" s="13" t="b">
        <f t="shared" si="106"/>
        <v>1</v>
      </c>
      <c r="P363" s="13" t="str">
        <f t="shared" si="107"/>
        <v>C006300-bags</v>
      </c>
      <c r="Q363" s="14" t="str">
        <f t="shared" si="108"/>
        <v>T057235
1</v>
      </c>
      <c r="R363" s="13" t="b">
        <f t="shared" si="109"/>
        <v>0</v>
      </c>
      <c r="S363" s="13" t="str">
        <f t="shared" si="110"/>
        <v>16</v>
      </c>
      <c r="T363" s="13" t="str">
        <f t="shared" si="111"/>
        <v>BAGS</v>
      </c>
      <c r="U363" s="13" t="str">
        <f t="shared" si="112"/>
        <v>bags</v>
      </c>
      <c r="V363" s="13">
        <f t="shared" si="113"/>
        <v>2</v>
      </c>
      <c r="W363" s="13" t="str">
        <f t="shared" si="114"/>
        <v>T057235 1</v>
      </c>
      <c r="X363" s="13" t="str">
        <f t="shared" si="115"/>
        <v>S55381</v>
      </c>
      <c r="Y363" s="13" t="str">
        <f t="shared" si="116"/>
        <v>T05</v>
      </c>
      <c r="Z363" s="13" t="str">
        <f t="shared" si="117"/>
        <v>235</v>
      </c>
      <c r="AA363" s="13">
        <f t="shared" si="118"/>
        <v>2</v>
      </c>
      <c r="AB363" s="13">
        <f t="shared" si="119"/>
        <v>4</v>
      </c>
      <c r="AC363" s="13"/>
      <c r="AD363" s="13"/>
      <c r="AE363" s="13"/>
    </row>
    <row r="364" spans="1:31" ht="30" x14ac:dyDescent="0.25">
      <c r="A364" s="9" t="s">
        <v>196</v>
      </c>
      <c r="B364" s="9" t="s">
        <v>1273</v>
      </c>
      <c r="C364" s="9" t="s">
        <v>1274</v>
      </c>
      <c r="D364" s="9" t="s">
        <v>66</v>
      </c>
      <c r="E364" s="9" t="s">
        <v>354</v>
      </c>
      <c r="F364" s="9">
        <v>1</v>
      </c>
      <c r="G364" s="9" t="s">
        <v>68</v>
      </c>
      <c r="H364" s="9">
        <v>22</v>
      </c>
      <c r="I364" s="13">
        <f t="shared" si="100"/>
        <v>22</v>
      </c>
      <c r="J364" s="13">
        <f t="shared" si="101"/>
        <v>457</v>
      </c>
      <c r="K364" s="13">
        <f t="shared" si="102"/>
        <v>457</v>
      </c>
      <c r="L364" s="13">
        <f t="shared" si="103"/>
        <v>309.5</v>
      </c>
      <c r="M364" s="13">
        <f t="shared" si="104"/>
        <v>18</v>
      </c>
      <c r="N364" s="13" t="b">
        <f t="shared" si="105"/>
        <v>1</v>
      </c>
      <c r="O364" s="13" t="b">
        <f t="shared" si="106"/>
        <v>1</v>
      </c>
      <c r="P364" s="13" t="str">
        <f t="shared" si="107"/>
        <v>C001717-bottles</v>
      </c>
      <c r="Q364" s="14" t="str">
        <f t="shared" si="108"/>
        <v>T035860
1</v>
      </c>
      <c r="R364" s="13" t="b">
        <f t="shared" si="109"/>
        <v>0</v>
      </c>
      <c r="S364" s="13" t="str">
        <f t="shared" si="110"/>
        <v>05</v>
      </c>
      <c r="T364" s="13" t="str">
        <f t="shared" si="111"/>
        <v>BOTTLES</v>
      </c>
      <c r="U364" s="13" t="str">
        <f t="shared" si="112"/>
        <v>bottles</v>
      </c>
      <c r="V364" s="13">
        <f t="shared" si="113"/>
        <v>2</v>
      </c>
      <c r="W364" s="13" t="str">
        <f t="shared" si="114"/>
        <v>T035860 1</v>
      </c>
      <c r="X364" s="13" t="str">
        <f t="shared" si="115"/>
        <v>S55389</v>
      </c>
      <c r="Y364" s="13" t="str">
        <f t="shared" si="116"/>
        <v>T03</v>
      </c>
      <c r="Z364" s="13" t="str">
        <f t="shared" si="117"/>
        <v>860</v>
      </c>
      <c r="AA364" s="13">
        <f t="shared" si="118"/>
        <v>2</v>
      </c>
      <c r="AB364" s="13">
        <f t="shared" si="119"/>
        <v>7</v>
      </c>
      <c r="AC364" s="13"/>
      <c r="AD364" s="13"/>
      <c r="AE364" s="13"/>
    </row>
    <row r="365" spans="1:31" ht="30" x14ac:dyDescent="0.25">
      <c r="A365" s="9" t="s">
        <v>155</v>
      </c>
      <c r="B365" s="9" t="s">
        <v>1275</v>
      </c>
      <c r="C365" s="9" t="s">
        <v>1276</v>
      </c>
      <c r="D365" s="9" t="s">
        <v>1277</v>
      </c>
      <c r="E365" s="9" t="s">
        <v>1278</v>
      </c>
      <c r="F365" s="9">
        <v>6</v>
      </c>
      <c r="G365" s="9" t="s">
        <v>176</v>
      </c>
      <c r="H365" s="9">
        <v>11</v>
      </c>
      <c r="I365" s="13">
        <f t="shared" si="100"/>
        <v>66</v>
      </c>
      <c r="J365" s="13">
        <f t="shared" si="101"/>
        <v>317</v>
      </c>
      <c r="K365" s="13">
        <f t="shared" si="102"/>
        <v>315</v>
      </c>
      <c r="L365" s="13">
        <f t="shared" si="103"/>
        <v>138.5</v>
      </c>
      <c r="M365" s="13">
        <f t="shared" si="104"/>
        <v>9</v>
      </c>
      <c r="N365" s="13" t="b">
        <f t="shared" si="105"/>
        <v>0</v>
      </c>
      <c r="O365" s="13" t="b">
        <f t="shared" si="106"/>
        <v>1</v>
      </c>
      <c r="P365" s="13" t="str">
        <f t="shared" si="107"/>
        <v>C000909-oz</v>
      </c>
      <c r="Q365" s="14" t="str">
        <f t="shared" si="108"/>
        <v>T05183
6</v>
      </c>
      <c r="R365" s="13" t="b">
        <f t="shared" si="109"/>
        <v>0</v>
      </c>
      <c r="S365" s="13" t="str">
        <f t="shared" si="110"/>
        <v>22</v>
      </c>
      <c r="T365" s="13" t="str">
        <f t="shared" si="111"/>
        <v>OZ</v>
      </c>
      <c r="U365" s="13" t="str">
        <f t="shared" si="112"/>
        <v>oz</v>
      </c>
      <c r="V365" s="13">
        <f t="shared" si="113"/>
        <v>2</v>
      </c>
      <c r="W365" s="13" t="str">
        <f t="shared" si="114"/>
        <v>T05183 6</v>
      </c>
      <c r="X365" s="13" t="str">
        <f t="shared" si="115"/>
        <v>S55441</v>
      </c>
      <c r="Y365" s="13" t="str">
        <f t="shared" si="116"/>
        <v>T05</v>
      </c>
      <c r="Z365" s="13" t="str">
        <f t="shared" si="117"/>
        <v>183</v>
      </c>
      <c r="AA365" s="13">
        <f t="shared" si="118"/>
        <v>2</v>
      </c>
      <c r="AB365" s="13">
        <f t="shared" si="119"/>
        <v>2</v>
      </c>
      <c r="AC365" s="13"/>
      <c r="AD365" s="13"/>
      <c r="AE365" s="13"/>
    </row>
    <row r="366" spans="1:31" ht="30" x14ac:dyDescent="0.25">
      <c r="A366" s="9" t="s">
        <v>468</v>
      </c>
      <c r="B366" s="9" t="s">
        <v>1279</v>
      </c>
      <c r="C366" s="9" t="s">
        <v>1280</v>
      </c>
      <c r="D366" s="9" t="s">
        <v>550</v>
      </c>
      <c r="E366" s="9" t="s">
        <v>1281</v>
      </c>
      <c r="F366" s="9">
        <v>8</v>
      </c>
      <c r="G366" s="9" t="s">
        <v>14</v>
      </c>
      <c r="H366" s="9">
        <v>13.5</v>
      </c>
      <c r="I366" s="13">
        <f t="shared" si="100"/>
        <v>108</v>
      </c>
      <c r="J366" s="13">
        <f t="shared" si="101"/>
        <v>197.5</v>
      </c>
      <c r="K366" s="13">
        <f t="shared" si="102"/>
        <v>197</v>
      </c>
      <c r="L366" s="13">
        <f t="shared" si="103"/>
        <v>838.5</v>
      </c>
      <c r="M366" s="13">
        <f t="shared" si="104"/>
        <v>45</v>
      </c>
      <c r="N366" s="13" t="b">
        <f t="shared" si="105"/>
        <v>0</v>
      </c>
      <c r="O366" s="13" t="b">
        <f t="shared" si="106"/>
        <v>1</v>
      </c>
      <c r="P366" s="13" t="str">
        <f t="shared" si="107"/>
        <v>C003203-ct</v>
      </c>
      <c r="Q366" s="14" t="str">
        <f t="shared" si="108"/>
        <v>T014409
8</v>
      </c>
      <c r="R366" s="13" t="b">
        <f t="shared" si="109"/>
        <v>0</v>
      </c>
      <c r="S366" s="13" t="str">
        <f t="shared" si="110"/>
        <v>22</v>
      </c>
      <c r="T366" s="13" t="str">
        <f t="shared" si="111"/>
        <v>CT</v>
      </c>
      <c r="U366" s="13" t="str">
        <f t="shared" si="112"/>
        <v>ct</v>
      </c>
      <c r="V366" s="13">
        <f t="shared" si="113"/>
        <v>2</v>
      </c>
      <c r="W366" s="13" t="str">
        <f t="shared" si="114"/>
        <v>T014409 8</v>
      </c>
      <c r="X366" s="13" t="str">
        <f t="shared" si="115"/>
        <v>S55556</v>
      </c>
      <c r="Y366" s="13" t="str">
        <f t="shared" si="116"/>
        <v>T01</v>
      </c>
      <c r="Z366" s="13" t="str">
        <f t="shared" si="117"/>
        <v>409</v>
      </c>
      <c r="AA366" s="13">
        <f t="shared" si="118"/>
        <v>2</v>
      </c>
      <c r="AB366" s="13">
        <f t="shared" si="119"/>
        <v>2</v>
      </c>
      <c r="AC366" s="13"/>
      <c r="AD366" s="13"/>
      <c r="AE366" s="13"/>
    </row>
    <row r="367" spans="1:31" ht="30" x14ac:dyDescent="0.25">
      <c r="A367" s="9" t="s">
        <v>31</v>
      </c>
      <c r="B367" s="9" t="s">
        <v>1282</v>
      </c>
      <c r="C367" s="9" t="s">
        <v>1283</v>
      </c>
      <c r="D367" s="9" t="s">
        <v>794</v>
      </c>
      <c r="E367" s="9" t="s">
        <v>1284</v>
      </c>
      <c r="F367" s="9">
        <v>11</v>
      </c>
      <c r="G367" s="9" t="s">
        <v>14</v>
      </c>
      <c r="H367" s="9">
        <v>29</v>
      </c>
      <c r="I367" s="13">
        <f t="shared" si="100"/>
        <v>319</v>
      </c>
      <c r="J367" s="13">
        <f t="shared" si="101"/>
        <v>18</v>
      </c>
      <c r="K367" s="13">
        <f t="shared" si="102"/>
        <v>18</v>
      </c>
      <c r="L367" s="13">
        <f t="shared" si="103"/>
        <v>825</v>
      </c>
      <c r="M367" s="13">
        <f t="shared" si="104"/>
        <v>44</v>
      </c>
      <c r="N367" s="13" t="b">
        <f t="shared" si="105"/>
        <v>1</v>
      </c>
      <c r="O367" s="13" t="b">
        <f t="shared" si="106"/>
        <v>1</v>
      </c>
      <c r="P367" s="13" t="str">
        <f t="shared" si="107"/>
        <v>C002318-ct</v>
      </c>
      <c r="Q367" s="14" t="str">
        <f t="shared" si="108"/>
        <v>T093603
11</v>
      </c>
      <c r="R367" s="13" t="b">
        <f t="shared" si="109"/>
        <v>0</v>
      </c>
      <c r="S367" s="13" t="str">
        <f t="shared" si="110"/>
        <v>14</v>
      </c>
      <c r="T367" s="13" t="str">
        <f t="shared" si="111"/>
        <v>CT</v>
      </c>
      <c r="U367" s="13" t="str">
        <f t="shared" si="112"/>
        <v>ct</v>
      </c>
      <c r="V367" s="13">
        <f t="shared" si="113"/>
        <v>2</v>
      </c>
      <c r="W367" s="13" t="str">
        <f t="shared" si="114"/>
        <v>T093603 11</v>
      </c>
      <c r="X367" s="13" t="str">
        <f t="shared" si="115"/>
        <v>S55658</v>
      </c>
      <c r="Y367" s="13" t="str">
        <f t="shared" si="116"/>
        <v>T09</v>
      </c>
      <c r="Z367" s="13" t="str">
        <f t="shared" si="117"/>
        <v>603</v>
      </c>
      <c r="AA367" s="13">
        <f t="shared" si="118"/>
        <v>2</v>
      </c>
      <c r="AB367" s="13">
        <f t="shared" si="119"/>
        <v>2</v>
      </c>
      <c r="AC367" s="13"/>
      <c r="AD367" s="13"/>
      <c r="AE367" s="13"/>
    </row>
    <row r="368" spans="1:31" ht="30" x14ac:dyDescent="0.25">
      <c r="A368" s="9" t="s">
        <v>292</v>
      </c>
      <c r="B368" s="9" t="s">
        <v>1285</v>
      </c>
      <c r="C368" s="9" t="s">
        <v>1286</v>
      </c>
      <c r="D368" s="9" t="s">
        <v>1046</v>
      </c>
      <c r="E368" s="9" t="s">
        <v>1193</v>
      </c>
      <c r="F368" s="9">
        <v>2</v>
      </c>
      <c r="G368" s="9" t="s">
        <v>36</v>
      </c>
      <c r="H368" s="9">
        <v>6.75</v>
      </c>
      <c r="I368" s="13">
        <f t="shared" si="100"/>
        <v>13.5</v>
      </c>
      <c r="J368" s="13">
        <f t="shared" si="101"/>
        <v>483.5</v>
      </c>
      <c r="K368" s="13">
        <f t="shared" si="102"/>
        <v>483</v>
      </c>
      <c r="L368" s="13">
        <f t="shared" si="103"/>
        <v>658.75</v>
      </c>
      <c r="M368" s="13">
        <f t="shared" si="104"/>
        <v>37</v>
      </c>
      <c r="N368" s="13" t="b">
        <f t="shared" si="105"/>
        <v>0</v>
      </c>
      <c r="O368" s="13" t="b">
        <f t="shared" si="106"/>
        <v>1</v>
      </c>
      <c r="P368" s="13" t="str">
        <f t="shared" si="107"/>
        <v>C000423-cans</v>
      </c>
      <c r="Q368" s="14" t="str">
        <f t="shared" si="108"/>
        <v>T099897
2</v>
      </c>
      <c r="R368" s="13" t="b">
        <f t="shared" si="109"/>
        <v>0</v>
      </c>
      <c r="S368" s="13" t="str">
        <f t="shared" si="110"/>
        <v>00</v>
      </c>
      <c r="T368" s="13" t="str">
        <f t="shared" si="111"/>
        <v>CANS</v>
      </c>
      <c r="U368" s="13" t="str">
        <f t="shared" si="112"/>
        <v>cans</v>
      </c>
      <c r="V368" s="13">
        <f t="shared" si="113"/>
        <v>2</v>
      </c>
      <c r="W368" s="13" t="str">
        <f t="shared" si="114"/>
        <v>T099897 2</v>
      </c>
      <c r="X368" s="13" t="str">
        <f t="shared" si="115"/>
        <v>S55431</v>
      </c>
      <c r="Y368" s="13" t="str">
        <f t="shared" si="116"/>
        <v>T09</v>
      </c>
      <c r="Z368" s="13" t="str">
        <f t="shared" si="117"/>
        <v>897</v>
      </c>
      <c r="AA368" s="13">
        <f t="shared" si="118"/>
        <v>2</v>
      </c>
      <c r="AB368" s="13">
        <f t="shared" si="119"/>
        <v>4</v>
      </c>
      <c r="AC368" s="13"/>
      <c r="AD368" s="13"/>
      <c r="AE368" s="13"/>
    </row>
    <row r="369" spans="1:31" ht="30" x14ac:dyDescent="0.25">
      <c r="A369" s="9" t="s">
        <v>63</v>
      </c>
      <c r="B369" s="9" t="s">
        <v>1287</v>
      </c>
      <c r="C369" s="9" t="s">
        <v>1288</v>
      </c>
      <c r="D369" s="9" t="s">
        <v>1289</v>
      </c>
      <c r="E369" s="9" t="s">
        <v>1290</v>
      </c>
      <c r="F369" s="9">
        <v>8</v>
      </c>
      <c r="G369" s="9" t="s">
        <v>36</v>
      </c>
      <c r="H369" s="9">
        <v>18</v>
      </c>
      <c r="I369" s="13">
        <f t="shared" si="100"/>
        <v>144</v>
      </c>
      <c r="J369" s="13">
        <f t="shared" si="101"/>
        <v>118</v>
      </c>
      <c r="K369" s="13">
        <f t="shared" si="102"/>
        <v>115</v>
      </c>
      <c r="L369" s="13">
        <f t="shared" si="103"/>
        <v>652</v>
      </c>
      <c r="M369" s="13">
        <f t="shared" si="104"/>
        <v>36</v>
      </c>
      <c r="N369" s="13" t="b">
        <f t="shared" si="105"/>
        <v>0</v>
      </c>
      <c r="O369" s="13" t="b">
        <f t="shared" si="106"/>
        <v>1</v>
      </c>
      <c r="P369" s="13" t="str">
        <f t="shared" si="107"/>
        <v>C001844-cans</v>
      </c>
      <c r="Q369" s="14" t="str">
        <f t="shared" si="108"/>
        <v>T043263
8</v>
      </c>
      <c r="R369" s="13" t="b">
        <f t="shared" si="109"/>
        <v>0</v>
      </c>
      <c r="S369" s="13" t="str">
        <f t="shared" si="110"/>
        <v>08</v>
      </c>
      <c r="T369" s="13" t="str">
        <f t="shared" si="111"/>
        <v>CANS</v>
      </c>
      <c r="U369" s="13" t="str">
        <f t="shared" si="112"/>
        <v>cans</v>
      </c>
      <c r="V369" s="13">
        <f t="shared" si="113"/>
        <v>2</v>
      </c>
      <c r="W369" s="13" t="str">
        <f t="shared" si="114"/>
        <v>T043263 8</v>
      </c>
      <c r="X369" s="13" t="str">
        <f t="shared" si="115"/>
        <v>S5555</v>
      </c>
      <c r="Y369" s="13" t="str">
        <f t="shared" si="116"/>
        <v>T04</v>
      </c>
      <c r="Z369" s="13" t="str">
        <f t="shared" si="117"/>
        <v>263</v>
      </c>
      <c r="AA369" s="13">
        <f t="shared" si="118"/>
        <v>2</v>
      </c>
      <c r="AB369" s="13">
        <f t="shared" si="119"/>
        <v>4</v>
      </c>
      <c r="AC369" s="13"/>
      <c r="AD369" s="13"/>
      <c r="AE369" s="13"/>
    </row>
    <row r="370" spans="1:31" ht="30" x14ac:dyDescent="0.25">
      <c r="A370" s="9" t="s">
        <v>249</v>
      </c>
      <c r="B370" s="9" t="s">
        <v>1291</v>
      </c>
      <c r="C370" s="9" t="s">
        <v>1292</v>
      </c>
      <c r="D370" s="9" t="s">
        <v>565</v>
      </c>
      <c r="E370" s="9" t="s">
        <v>336</v>
      </c>
      <c r="F370" s="9">
        <v>5</v>
      </c>
      <c r="G370" s="9" t="s">
        <v>411</v>
      </c>
      <c r="H370" s="9">
        <v>19.5</v>
      </c>
      <c r="I370" s="13">
        <f t="shared" si="100"/>
        <v>97.5</v>
      </c>
      <c r="J370" s="13">
        <f t="shared" si="101"/>
        <v>225</v>
      </c>
      <c r="K370" s="13">
        <f t="shared" si="102"/>
        <v>223</v>
      </c>
      <c r="L370" s="13">
        <f t="shared" si="103"/>
        <v>55.5</v>
      </c>
      <c r="M370" s="13">
        <f t="shared" si="104"/>
        <v>3</v>
      </c>
      <c r="N370" s="13" t="b">
        <f t="shared" si="105"/>
        <v>0</v>
      </c>
      <c r="O370" s="13" t="b">
        <f t="shared" si="106"/>
        <v>1</v>
      </c>
      <c r="P370" s="13" t="str">
        <f t="shared" si="107"/>
        <v>C008487-pack</v>
      </c>
      <c r="Q370" s="14" t="str">
        <f t="shared" si="108"/>
        <v>T028596
5</v>
      </c>
      <c r="R370" s="13" t="b">
        <f t="shared" si="109"/>
        <v>0</v>
      </c>
      <c r="S370" s="13" t="str">
        <f t="shared" si="110"/>
        <v>25</v>
      </c>
      <c r="T370" s="13" t="str">
        <f t="shared" si="111"/>
        <v>PACK</v>
      </c>
      <c r="U370" s="13" t="str">
        <f t="shared" si="112"/>
        <v>pack</v>
      </c>
      <c r="V370" s="13">
        <f t="shared" si="113"/>
        <v>2</v>
      </c>
      <c r="W370" s="13" t="str">
        <f t="shared" si="114"/>
        <v>T028596 5</v>
      </c>
      <c r="X370" s="13" t="str">
        <f t="shared" si="115"/>
        <v>S55324</v>
      </c>
      <c r="Y370" s="13" t="str">
        <f t="shared" si="116"/>
        <v>T02</v>
      </c>
      <c r="Z370" s="13" t="str">
        <f t="shared" si="117"/>
        <v>596</v>
      </c>
      <c r="AA370" s="13">
        <f t="shared" si="118"/>
        <v>2</v>
      </c>
      <c r="AB370" s="13">
        <f t="shared" si="119"/>
        <v>4</v>
      </c>
      <c r="AC370" s="13"/>
      <c r="AD370" s="13"/>
      <c r="AE370" s="13"/>
    </row>
    <row r="371" spans="1:31" ht="30" x14ac:dyDescent="0.25">
      <c r="A371" s="9" t="s">
        <v>182</v>
      </c>
      <c r="B371" s="9" t="s">
        <v>1293</v>
      </c>
      <c r="C371" s="9" t="s">
        <v>1294</v>
      </c>
      <c r="D371" s="9" t="s">
        <v>402</v>
      </c>
      <c r="E371" s="9" t="s">
        <v>154</v>
      </c>
      <c r="F371" s="9">
        <v>8</v>
      </c>
      <c r="G371" s="9" t="s">
        <v>176</v>
      </c>
      <c r="H371" s="9">
        <v>15</v>
      </c>
      <c r="I371" s="13">
        <f t="shared" si="100"/>
        <v>120</v>
      </c>
      <c r="J371" s="13">
        <f t="shared" si="101"/>
        <v>169.5</v>
      </c>
      <c r="K371" s="13">
        <f t="shared" si="102"/>
        <v>162</v>
      </c>
      <c r="L371" s="13">
        <f t="shared" si="103"/>
        <v>127.5</v>
      </c>
      <c r="M371" s="13">
        <f t="shared" si="104"/>
        <v>8</v>
      </c>
      <c r="N371" s="13" t="b">
        <f t="shared" si="105"/>
        <v>0</v>
      </c>
      <c r="O371" s="13" t="b">
        <f t="shared" si="106"/>
        <v>1</v>
      </c>
      <c r="P371" s="13" t="str">
        <f t="shared" si="107"/>
        <v>C007961-oz</v>
      </c>
      <c r="Q371" s="14" t="str">
        <f t="shared" si="108"/>
        <v>T099969
8</v>
      </c>
      <c r="R371" s="13" t="b">
        <f t="shared" si="109"/>
        <v>0</v>
      </c>
      <c r="S371" s="13" t="str">
        <f t="shared" si="110"/>
        <v>24</v>
      </c>
      <c r="T371" s="13" t="str">
        <f t="shared" si="111"/>
        <v>OZ</v>
      </c>
      <c r="U371" s="13" t="str">
        <f t="shared" si="112"/>
        <v>oz</v>
      </c>
      <c r="V371" s="13">
        <f t="shared" si="113"/>
        <v>2</v>
      </c>
      <c r="W371" s="13" t="str">
        <f t="shared" si="114"/>
        <v>T099969 8</v>
      </c>
      <c r="X371" s="13" t="str">
        <f t="shared" si="115"/>
        <v>S55319</v>
      </c>
      <c r="Y371" s="13" t="str">
        <f t="shared" si="116"/>
        <v>T09</v>
      </c>
      <c r="Z371" s="13" t="str">
        <f t="shared" si="117"/>
        <v>969</v>
      </c>
      <c r="AA371" s="13">
        <f t="shared" si="118"/>
        <v>2</v>
      </c>
      <c r="AB371" s="13">
        <f t="shared" si="119"/>
        <v>2</v>
      </c>
      <c r="AC371" s="13"/>
      <c r="AD371" s="13"/>
      <c r="AE371" s="13"/>
    </row>
    <row r="372" spans="1:31" ht="30" x14ac:dyDescent="0.25">
      <c r="A372" s="9" t="s">
        <v>218</v>
      </c>
      <c r="B372" s="9" t="s">
        <v>804</v>
      </c>
      <c r="C372" s="9" t="s">
        <v>1295</v>
      </c>
      <c r="D372" s="9" t="s">
        <v>419</v>
      </c>
      <c r="E372" s="9" t="s">
        <v>1296</v>
      </c>
      <c r="F372" s="9">
        <v>11</v>
      </c>
      <c r="G372" s="9" t="s">
        <v>68</v>
      </c>
      <c r="H372" s="9">
        <v>24</v>
      </c>
      <c r="I372" s="13">
        <f t="shared" si="100"/>
        <v>264</v>
      </c>
      <c r="J372" s="13">
        <f t="shared" si="101"/>
        <v>23</v>
      </c>
      <c r="K372" s="13">
        <f t="shared" si="102"/>
        <v>23</v>
      </c>
      <c r="L372" s="13">
        <f t="shared" si="103"/>
        <v>287.5</v>
      </c>
      <c r="M372" s="13">
        <f t="shared" si="104"/>
        <v>17</v>
      </c>
      <c r="N372" s="13" t="b">
        <f t="shared" si="105"/>
        <v>1</v>
      </c>
      <c r="O372" s="13" t="b">
        <f t="shared" si="106"/>
        <v>1</v>
      </c>
      <c r="P372" s="13" t="str">
        <f t="shared" si="107"/>
        <v>C005519-bottles</v>
      </c>
      <c r="Q372" s="14" t="str">
        <f t="shared" si="108"/>
        <v>T044024
11</v>
      </c>
      <c r="R372" s="13" t="b">
        <f t="shared" si="109"/>
        <v>0</v>
      </c>
      <c r="S372" s="13" t="str">
        <f t="shared" si="110"/>
        <v>05</v>
      </c>
      <c r="T372" s="13" t="str">
        <f t="shared" si="111"/>
        <v>BOTTLES</v>
      </c>
      <c r="U372" s="13" t="str">
        <f t="shared" si="112"/>
        <v>bottles</v>
      </c>
      <c r="V372" s="13">
        <f t="shared" si="113"/>
        <v>2</v>
      </c>
      <c r="W372" s="13" t="str">
        <f t="shared" si="114"/>
        <v>T044024 11</v>
      </c>
      <c r="X372" s="13" t="str">
        <f t="shared" si="115"/>
        <v>S55174</v>
      </c>
      <c r="Y372" s="13" t="str">
        <f t="shared" si="116"/>
        <v>T04</v>
      </c>
      <c r="Z372" s="13" t="str">
        <f t="shared" si="117"/>
        <v>024</v>
      </c>
      <c r="AA372" s="13">
        <f t="shared" si="118"/>
        <v>2</v>
      </c>
      <c r="AB372" s="13">
        <f t="shared" si="119"/>
        <v>7</v>
      </c>
      <c r="AC372" s="13"/>
      <c r="AD372" s="13"/>
      <c r="AE372" s="13"/>
    </row>
    <row r="373" spans="1:31" ht="30" x14ac:dyDescent="0.25">
      <c r="A373" s="9" t="s">
        <v>196</v>
      </c>
      <c r="B373" s="9" t="s">
        <v>1297</v>
      </c>
      <c r="C373" s="9" t="s">
        <v>1298</v>
      </c>
      <c r="D373" s="9" t="s">
        <v>690</v>
      </c>
      <c r="E373" s="9" t="s">
        <v>1299</v>
      </c>
      <c r="F373" s="9">
        <v>11</v>
      </c>
      <c r="G373" s="9" t="s">
        <v>416</v>
      </c>
      <c r="H373" s="9">
        <v>15</v>
      </c>
      <c r="I373" s="13">
        <f t="shared" si="100"/>
        <v>165</v>
      </c>
      <c r="J373" s="13">
        <f t="shared" si="101"/>
        <v>79.5</v>
      </c>
      <c r="K373" s="13">
        <f t="shared" si="102"/>
        <v>77</v>
      </c>
      <c r="L373" s="13">
        <f t="shared" si="103"/>
        <v>15</v>
      </c>
      <c r="M373" s="13">
        <f t="shared" si="104"/>
        <v>1</v>
      </c>
      <c r="N373" s="13" t="b">
        <f t="shared" si="105"/>
        <v>0</v>
      </c>
      <c r="O373" s="13" t="b">
        <f t="shared" si="106"/>
        <v>1</v>
      </c>
      <c r="P373" s="13" t="str">
        <f t="shared" si="107"/>
        <v>C004087-pk</v>
      </c>
      <c r="Q373" s="14" t="str">
        <f t="shared" si="108"/>
        <v>T04694
11</v>
      </c>
      <c r="R373" s="13" t="b">
        <f t="shared" si="109"/>
        <v>0</v>
      </c>
      <c r="S373" s="13" t="str">
        <f t="shared" si="110"/>
        <v>22</v>
      </c>
      <c r="T373" s="13" t="str">
        <f t="shared" si="111"/>
        <v>PK</v>
      </c>
      <c r="U373" s="13" t="str">
        <f t="shared" si="112"/>
        <v>pk</v>
      </c>
      <c r="V373" s="13">
        <f t="shared" si="113"/>
        <v>2</v>
      </c>
      <c r="W373" s="13" t="str">
        <f t="shared" si="114"/>
        <v>T04694 11</v>
      </c>
      <c r="X373" s="13" t="str">
        <f t="shared" si="115"/>
        <v>S55249</v>
      </c>
      <c r="Y373" s="13" t="str">
        <f t="shared" si="116"/>
        <v>T04</v>
      </c>
      <c r="Z373" s="13" t="str">
        <f t="shared" si="117"/>
        <v>694</v>
      </c>
      <c r="AA373" s="13">
        <f t="shared" si="118"/>
        <v>2</v>
      </c>
      <c r="AB373" s="13">
        <f t="shared" si="119"/>
        <v>2</v>
      </c>
      <c r="AC373" s="13"/>
      <c r="AD373" s="13"/>
      <c r="AE373" s="13"/>
    </row>
    <row r="374" spans="1:31" ht="30" x14ac:dyDescent="0.25">
      <c r="A374" s="9" t="s">
        <v>532</v>
      </c>
      <c r="B374" s="9" t="s">
        <v>1300</v>
      </c>
      <c r="C374" s="9" t="s">
        <v>1301</v>
      </c>
      <c r="D374" s="9" t="s">
        <v>637</v>
      </c>
      <c r="E374" s="9" t="s">
        <v>751</v>
      </c>
      <c r="F374" s="9">
        <v>8</v>
      </c>
      <c r="G374" s="9" t="s">
        <v>14</v>
      </c>
      <c r="H374" s="9">
        <v>16</v>
      </c>
      <c r="I374" s="13">
        <f t="shared" si="100"/>
        <v>128</v>
      </c>
      <c r="J374" s="13">
        <f t="shared" si="101"/>
        <v>150</v>
      </c>
      <c r="K374" s="13">
        <f t="shared" si="102"/>
        <v>148</v>
      </c>
      <c r="L374" s="13">
        <f t="shared" si="103"/>
        <v>796</v>
      </c>
      <c r="M374" s="13">
        <f t="shared" si="104"/>
        <v>43</v>
      </c>
      <c r="N374" s="13" t="b">
        <f t="shared" si="105"/>
        <v>0</v>
      </c>
      <c r="O374" s="13" t="b">
        <f t="shared" si="106"/>
        <v>1</v>
      </c>
      <c r="P374" s="13" t="str">
        <f t="shared" si="107"/>
        <v>C007815-ct</v>
      </c>
      <c r="Q374" s="14" t="str">
        <f t="shared" si="108"/>
        <v>T063974
8</v>
      </c>
      <c r="R374" s="13" t="b">
        <f t="shared" si="109"/>
        <v>0</v>
      </c>
      <c r="S374" s="13" t="str">
        <f t="shared" si="110"/>
        <v>13</v>
      </c>
      <c r="T374" s="13" t="str">
        <f t="shared" si="111"/>
        <v>CT</v>
      </c>
      <c r="U374" s="13" t="str">
        <f t="shared" si="112"/>
        <v>ct</v>
      </c>
      <c r="V374" s="13">
        <f t="shared" si="113"/>
        <v>2</v>
      </c>
      <c r="W374" s="13" t="str">
        <f t="shared" si="114"/>
        <v>T063974 8</v>
      </c>
      <c r="X374" s="13" t="str">
        <f t="shared" si="115"/>
        <v>S55243</v>
      </c>
      <c r="Y374" s="13" t="str">
        <f t="shared" si="116"/>
        <v>T06</v>
      </c>
      <c r="Z374" s="13" t="str">
        <f t="shared" si="117"/>
        <v>974</v>
      </c>
      <c r="AA374" s="13">
        <f t="shared" si="118"/>
        <v>2</v>
      </c>
      <c r="AB374" s="13">
        <f t="shared" si="119"/>
        <v>2</v>
      </c>
      <c r="AC374" s="13"/>
      <c r="AD374" s="13"/>
      <c r="AE374" s="13"/>
    </row>
    <row r="375" spans="1:31" ht="30" x14ac:dyDescent="0.25">
      <c r="A375" s="9" t="s">
        <v>528</v>
      </c>
      <c r="B375" s="9" t="s">
        <v>1302</v>
      </c>
      <c r="C375" s="9" t="s">
        <v>1303</v>
      </c>
      <c r="D375" s="9" t="s">
        <v>1304</v>
      </c>
      <c r="E375" s="9" t="s">
        <v>1305</v>
      </c>
      <c r="F375" s="9">
        <v>7</v>
      </c>
      <c r="G375" s="9" t="s">
        <v>14</v>
      </c>
      <c r="H375" s="9">
        <v>15</v>
      </c>
      <c r="I375" s="13">
        <f t="shared" si="100"/>
        <v>105</v>
      </c>
      <c r="J375" s="13">
        <f t="shared" si="101"/>
        <v>202.5</v>
      </c>
      <c r="K375" s="13">
        <f t="shared" si="102"/>
        <v>199</v>
      </c>
      <c r="L375" s="13">
        <f t="shared" si="103"/>
        <v>780</v>
      </c>
      <c r="M375" s="13">
        <f t="shared" si="104"/>
        <v>42</v>
      </c>
      <c r="N375" s="13" t="b">
        <f t="shared" si="105"/>
        <v>0</v>
      </c>
      <c r="O375" s="13" t="b">
        <f t="shared" si="106"/>
        <v>1</v>
      </c>
      <c r="P375" s="13" t="str">
        <f t="shared" si="107"/>
        <v>C000165-ct</v>
      </c>
      <c r="Q375" s="14" t="str">
        <f t="shared" si="108"/>
        <v>T059210
7</v>
      </c>
      <c r="R375" s="13" t="b">
        <f t="shared" si="109"/>
        <v>0</v>
      </c>
      <c r="S375" s="13" t="str">
        <f t="shared" si="110"/>
        <v>19</v>
      </c>
      <c r="T375" s="13" t="str">
        <f t="shared" si="111"/>
        <v>CT</v>
      </c>
      <c r="U375" s="13" t="str">
        <f t="shared" si="112"/>
        <v>ct</v>
      </c>
      <c r="V375" s="13">
        <f t="shared" si="113"/>
        <v>2</v>
      </c>
      <c r="W375" s="13" t="str">
        <f t="shared" si="114"/>
        <v>T059210 7</v>
      </c>
      <c r="X375" s="13" t="str">
        <f t="shared" si="115"/>
        <v>S55659</v>
      </c>
      <c r="Y375" s="13" t="str">
        <f t="shared" si="116"/>
        <v>T05</v>
      </c>
      <c r="Z375" s="13" t="str">
        <f t="shared" si="117"/>
        <v>210</v>
      </c>
      <c r="AA375" s="13">
        <f t="shared" si="118"/>
        <v>2</v>
      </c>
      <c r="AB375" s="13">
        <f t="shared" si="119"/>
        <v>2</v>
      </c>
      <c r="AC375" s="13"/>
      <c r="AD375" s="13"/>
      <c r="AE375" s="13"/>
    </row>
    <row r="376" spans="1:31" ht="30" x14ac:dyDescent="0.25">
      <c r="A376" s="9" t="s">
        <v>116</v>
      </c>
      <c r="B376" s="9" t="s">
        <v>1306</v>
      </c>
      <c r="C376" s="9" t="s">
        <v>1307</v>
      </c>
      <c r="D376" s="9" t="s">
        <v>190</v>
      </c>
      <c r="E376" s="9" t="s">
        <v>1308</v>
      </c>
      <c r="F376" s="9">
        <v>7</v>
      </c>
      <c r="G376" s="9" t="s">
        <v>14</v>
      </c>
      <c r="H376" s="9">
        <v>6</v>
      </c>
      <c r="I376" s="13">
        <f t="shared" si="100"/>
        <v>42</v>
      </c>
      <c r="J376" s="13">
        <f t="shared" si="101"/>
        <v>404</v>
      </c>
      <c r="K376" s="13">
        <f t="shared" si="102"/>
        <v>400</v>
      </c>
      <c r="L376" s="13">
        <f t="shared" si="103"/>
        <v>765</v>
      </c>
      <c r="M376" s="13">
        <f t="shared" si="104"/>
        <v>41</v>
      </c>
      <c r="N376" s="13" t="b">
        <f t="shared" si="105"/>
        <v>0</v>
      </c>
      <c r="O376" s="13" t="b">
        <f t="shared" si="106"/>
        <v>1</v>
      </c>
      <c r="P376" s="13" t="str">
        <f t="shared" si="107"/>
        <v>C002138-ct</v>
      </c>
      <c r="Q376" s="14" t="str">
        <f t="shared" si="108"/>
        <v>T077435
7</v>
      </c>
      <c r="R376" s="13" t="b">
        <f t="shared" si="109"/>
        <v>0</v>
      </c>
      <c r="S376" s="13" t="str">
        <f t="shared" si="110"/>
        <v>21</v>
      </c>
      <c r="T376" s="13" t="str">
        <f t="shared" si="111"/>
        <v>CT</v>
      </c>
      <c r="U376" s="13" t="str">
        <f t="shared" si="112"/>
        <v>ct</v>
      </c>
      <c r="V376" s="13">
        <f t="shared" si="113"/>
        <v>2</v>
      </c>
      <c r="W376" s="13" t="str">
        <f t="shared" si="114"/>
        <v>T077435 7</v>
      </c>
      <c r="X376" s="13" t="str">
        <f t="shared" si="115"/>
        <v>S55627</v>
      </c>
      <c r="Y376" s="13" t="str">
        <f t="shared" si="116"/>
        <v>T07</v>
      </c>
      <c r="Z376" s="13" t="str">
        <f t="shared" si="117"/>
        <v>435</v>
      </c>
      <c r="AA376" s="13">
        <f t="shared" si="118"/>
        <v>2</v>
      </c>
      <c r="AB376" s="13">
        <f t="shared" si="119"/>
        <v>2</v>
      </c>
      <c r="AC376" s="13"/>
      <c r="AD376" s="13"/>
      <c r="AE376" s="13"/>
    </row>
    <row r="377" spans="1:31" ht="30" x14ac:dyDescent="0.25">
      <c r="A377" s="9" t="s">
        <v>528</v>
      </c>
      <c r="B377" s="9" t="s">
        <v>1309</v>
      </c>
      <c r="C377" s="9" t="s">
        <v>1310</v>
      </c>
      <c r="D377" s="9" t="s">
        <v>450</v>
      </c>
      <c r="E377" s="9" t="s">
        <v>1311</v>
      </c>
      <c r="F377" s="9">
        <v>9</v>
      </c>
      <c r="G377" s="9" t="s">
        <v>115</v>
      </c>
      <c r="H377" s="9">
        <v>17</v>
      </c>
      <c r="I377" s="13">
        <f t="shared" si="100"/>
        <v>153</v>
      </c>
      <c r="J377" s="13">
        <f t="shared" si="101"/>
        <v>105.5</v>
      </c>
      <c r="K377" s="13">
        <f t="shared" si="102"/>
        <v>103</v>
      </c>
      <c r="L377" s="13">
        <f t="shared" si="103"/>
        <v>145</v>
      </c>
      <c r="M377" s="13">
        <f t="shared" si="104"/>
        <v>9</v>
      </c>
      <c r="N377" s="13" t="b">
        <f t="shared" si="105"/>
        <v>0</v>
      </c>
      <c r="O377" s="13" t="b">
        <f t="shared" si="106"/>
        <v>1</v>
      </c>
      <c r="P377" s="13" t="str">
        <f t="shared" si="107"/>
        <v>C007964-bags</v>
      </c>
      <c r="Q377" s="14" t="str">
        <f t="shared" si="108"/>
        <v>T092124
9</v>
      </c>
      <c r="R377" s="13" t="b">
        <f t="shared" si="109"/>
        <v>0</v>
      </c>
      <c r="S377" s="13" t="str">
        <f t="shared" si="110"/>
        <v>15</v>
      </c>
      <c r="T377" s="13" t="str">
        <f t="shared" si="111"/>
        <v>BAGS</v>
      </c>
      <c r="U377" s="13" t="str">
        <f t="shared" si="112"/>
        <v>bags</v>
      </c>
      <c r="V377" s="13">
        <f t="shared" si="113"/>
        <v>2</v>
      </c>
      <c r="W377" s="13" t="str">
        <f t="shared" si="114"/>
        <v>T092124 9</v>
      </c>
      <c r="X377" s="13" t="str">
        <f t="shared" si="115"/>
        <v>S55186</v>
      </c>
      <c r="Y377" s="13" t="str">
        <f t="shared" si="116"/>
        <v>T09</v>
      </c>
      <c r="Z377" s="13" t="str">
        <f t="shared" si="117"/>
        <v>124</v>
      </c>
      <c r="AA377" s="13">
        <f t="shared" si="118"/>
        <v>2</v>
      </c>
      <c r="AB377" s="13">
        <f t="shared" si="119"/>
        <v>4</v>
      </c>
      <c r="AC377" s="13"/>
      <c r="AD377" s="13"/>
      <c r="AE377" s="13"/>
    </row>
    <row r="378" spans="1:31" ht="30" x14ac:dyDescent="0.25">
      <c r="A378" s="9" t="s">
        <v>316</v>
      </c>
      <c r="B378" s="9" t="s">
        <v>1312</v>
      </c>
      <c r="C378" s="9" t="s">
        <v>1313</v>
      </c>
      <c r="D378" s="9" t="s">
        <v>546</v>
      </c>
      <c r="E378" s="9" t="s">
        <v>1314</v>
      </c>
      <c r="F378" s="9">
        <v>9</v>
      </c>
      <c r="G378" s="9" t="s">
        <v>68</v>
      </c>
      <c r="H378" s="9">
        <v>10</v>
      </c>
      <c r="I378" s="13">
        <f t="shared" si="100"/>
        <v>90</v>
      </c>
      <c r="J378" s="13">
        <f t="shared" si="101"/>
        <v>245</v>
      </c>
      <c r="K378" s="13">
        <f t="shared" si="102"/>
        <v>239</v>
      </c>
      <c r="L378" s="13">
        <f t="shared" si="103"/>
        <v>263.5</v>
      </c>
      <c r="M378" s="13">
        <f t="shared" si="104"/>
        <v>16</v>
      </c>
      <c r="N378" s="13" t="b">
        <f t="shared" si="105"/>
        <v>0</v>
      </c>
      <c r="O378" s="13" t="b">
        <f t="shared" si="106"/>
        <v>1</v>
      </c>
      <c r="P378" s="13" t="str">
        <f t="shared" si="107"/>
        <v>C005652-bottles</v>
      </c>
      <c r="Q378" s="14" t="str">
        <f t="shared" si="108"/>
        <v>T014293
9</v>
      </c>
      <c r="R378" s="13" t="b">
        <f t="shared" si="109"/>
        <v>0</v>
      </c>
      <c r="S378" s="13" t="str">
        <f t="shared" si="110"/>
        <v>09</v>
      </c>
      <c r="T378" s="13" t="str">
        <f t="shared" si="111"/>
        <v>BOTTLES</v>
      </c>
      <c r="U378" s="13" t="str">
        <f t="shared" si="112"/>
        <v>bottles</v>
      </c>
      <c r="V378" s="13">
        <f t="shared" si="113"/>
        <v>2</v>
      </c>
      <c r="W378" s="13" t="str">
        <f t="shared" si="114"/>
        <v>T014293 9</v>
      </c>
      <c r="X378" s="13" t="str">
        <f t="shared" si="115"/>
        <v>S55226</v>
      </c>
      <c r="Y378" s="13" t="str">
        <f t="shared" si="116"/>
        <v>T01</v>
      </c>
      <c r="Z378" s="13" t="str">
        <f t="shared" si="117"/>
        <v>293</v>
      </c>
      <c r="AA378" s="13">
        <f t="shared" si="118"/>
        <v>2</v>
      </c>
      <c r="AB378" s="13">
        <f t="shared" si="119"/>
        <v>7</v>
      </c>
      <c r="AC378" s="13"/>
      <c r="AD378" s="13"/>
      <c r="AE378" s="13"/>
    </row>
    <row r="379" spans="1:31" ht="30" x14ac:dyDescent="0.25">
      <c r="A379" s="9" t="s">
        <v>283</v>
      </c>
      <c r="B379" s="9" t="s">
        <v>1315</v>
      </c>
      <c r="C379" s="9" t="s">
        <v>1316</v>
      </c>
      <c r="D379" s="9" t="s">
        <v>319</v>
      </c>
      <c r="E379" s="9" t="s">
        <v>1278</v>
      </c>
      <c r="F379" s="9">
        <v>2</v>
      </c>
      <c r="G379" s="9" t="s">
        <v>36</v>
      </c>
      <c r="H379" s="9">
        <v>40</v>
      </c>
      <c r="I379" s="13">
        <f t="shared" si="100"/>
        <v>80</v>
      </c>
      <c r="J379" s="13">
        <f t="shared" si="101"/>
        <v>275</v>
      </c>
      <c r="K379" s="13">
        <f t="shared" si="102"/>
        <v>272</v>
      </c>
      <c r="L379" s="13">
        <f t="shared" si="103"/>
        <v>634</v>
      </c>
      <c r="M379" s="13">
        <f t="shared" si="104"/>
        <v>35</v>
      </c>
      <c r="N379" s="13" t="b">
        <f t="shared" si="105"/>
        <v>1</v>
      </c>
      <c r="O379" s="13" t="b">
        <f t="shared" si="106"/>
        <v>1</v>
      </c>
      <c r="P379" s="13" t="str">
        <f t="shared" si="107"/>
        <v>C007805-cans</v>
      </c>
      <c r="Q379" s="14" t="str">
        <f t="shared" si="108"/>
        <v>T015970
2</v>
      </c>
      <c r="R379" s="13" t="b">
        <f t="shared" si="109"/>
        <v>0</v>
      </c>
      <c r="S379" s="13" t="str">
        <f t="shared" si="110"/>
        <v>05</v>
      </c>
      <c r="T379" s="13" t="str">
        <f t="shared" si="111"/>
        <v>CANS</v>
      </c>
      <c r="U379" s="13" t="str">
        <f t="shared" si="112"/>
        <v>cans</v>
      </c>
      <c r="V379" s="13">
        <f t="shared" si="113"/>
        <v>2</v>
      </c>
      <c r="W379" s="13" t="str">
        <f t="shared" si="114"/>
        <v>T015970 2</v>
      </c>
      <c r="X379" s="13" t="str">
        <f t="shared" si="115"/>
        <v>S55441</v>
      </c>
      <c r="Y379" s="13" t="str">
        <f t="shared" si="116"/>
        <v>T01</v>
      </c>
      <c r="Z379" s="13" t="str">
        <f t="shared" si="117"/>
        <v>970</v>
      </c>
      <c r="AA379" s="13">
        <f t="shared" si="118"/>
        <v>2</v>
      </c>
      <c r="AB379" s="13">
        <f t="shared" si="119"/>
        <v>4</v>
      </c>
      <c r="AC379" s="13"/>
      <c r="AD379" s="13"/>
      <c r="AE379" s="13"/>
    </row>
    <row r="380" spans="1:31" ht="30" x14ac:dyDescent="0.25">
      <c r="A380" s="9" t="s">
        <v>177</v>
      </c>
      <c r="B380" s="9" t="s">
        <v>1317</v>
      </c>
      <c r="C380" s="9" t="s">
        <v>1318</v>
      </c>
      <c r="D380" s="9" t="s">
        <v>34</v>
      </c>
      <c r="E380" s="9" t="s">
        <v>1319</v>
      </c>
      <c r="F380" s="9">
        <v>9</v>
      </c>
      <c r="G380" s="9" t="s">
        <v>36</v>
      </c>
      <c r="H380" s="9">
        <v>8</v>
      </c>
      <c r="I380" s="13">
        <f t="shared" si="100"/>
        <v>72</v>
      </c>
      <c r="J380" s="13">
        <f t="shared" si="101"/>
        <v>295.5</v>
      </c>
      <c r="K380" s="13">
        <f t="shared" si="102"/>
        <v>292</v>
      </c>
      <c r="L380" s="13">
        <f t="shared" si="103"/>
        <v>594</v>
      </c>
      <c r="M380" s="13">
        <f t="shared" si="104"/>
        <v>34</v>
      </c>
      <c r="N380" s="13" t="b">
        <f t="shared" si="105"/>
        <v>0</v>
      </c>
      <c r="O380" s="13" t="b">
        <f t="shared" si="106"/>
        <v>1</v>
      </c>
      <c r="P380" s="13" t="str">
        <f t="shared" si="107"/>
        <v>C008188-cans</v>
      </c>
      <c r="Q380" s="14" t="str">
        <f t="shared" si="108"/>
        <v>T023572
9</v>
      </c>
      <c r="R380" s="13" t="b">
        <f t="shared" si="109"/>
        <v>0</v>
      </c>
      <c r="S380" s="13" t="str">
        <f t="shared" si="110"/>
        <v>05</v>
      </c>
      <c r="T380" s="13" t="str">
        <f t="shared" si="111"/>
        <v>CANS</v>
      </c>
      <c r="U380" s="13" t="str">
        <f t="shared" si="112"/>
        <v>cans</v>
      </c>
      <c r="V380" s="13">
        <f t="shared" si="113"/>
        <v>2</v>
      </c>
      <c r="W380" s="13" t="str">
        <f t="shared" si="114"/>
        <v>T023572 9</v>
      </c>
      <c r="X380" s="13" t="str">
        <f t="shared" si="115"/>
        <v>S55182</v>
      </c>
      <c r="Y380" s="13" t="str">
        <f t="shared" si="116"/>
        <v>T02</v>
      </c>
      <c r="Z380" s="13" t="str">
        <f t="shared" si="117"/>
        <v>572</v>
      </c>
      <c r="AA380" s="13">
        <f t="shared" si="118"/>
        <v>2</v>
      </c>
      <c r="AB380" s="13">
        <f t="shared" si="119"/>
        <v>4</v>
      </c>
      <c r="AC380" s="13"/>
      <c r="AD380" s="13"/>
      <c r="AE380" s="13"/>
    </row>
    <row r="381" spans="1:31" ht="30" x14ac:dyDescent="0.25">
      <c r="A381" s="9" t="s">
        <v>74</v>
      </c>
      <c r="B381" s="9" t="s">
        <v>1320</v>
      </c>
      <c r="C381" s="9" t="s">
        <v>1321</v>
      </c>
      <c r="D381" s="9" t="s">
        <v>1322</v>
      </c>
      <c r="E381" s="9" t="s">
        <v>1323</v>
      </c>
      <c r="F381" s="9">
        <v>6</v>
      </c>
      <c r="G381" s="9" t="s">
        <v>278</v>
      </c>
      <c r="H381" s="9">
        <v>15</v>
      </c>
      <c r="I381" s="13">
        <f t="shared" si="100"/>
        <v>90</v>
      </c>
      <c r="J381" s="13">
        <f t="shared" si="101"/>
        <v>245</v>
      </c>
      <c r="K381" s="13">
        <f t="shared" si="102"/>
        <v>239</v>
      </c>
      <c r="L381" s="13">
        <f t="shared" si="103"/>
        <v>85</v>
      </c>
      <c r="M381" s="13">
        <f t="shared" si="104"/>
        <v>6</v>
      </c>
      <c r="N381" s="13" t="b">
        <f t="shared" si="105"/>
        <v>0</v>
      </c>
      <c r="O381" s="13" t="b">
        <f t="shared" si="106"/>
        <v>1</v>
      </c>
      <c r="P381" s="13" t="str">
        <f t="shared" si="107"/>
        <v>C004819-ct.</v>
      </c>
      <c r="Q381" s="14" t="str">
        <f t="shared" si="108"/>
        <v>T083826
6</v>
      </c>
      <c r="R381" s="13" t="b">
        <f t="shared" si="109"/>
        <v>0</v>
      </c>
      <c r="S381" s="13" t="str">
        <f t="shared" si="110"/>
        <v>21</v>
      </c>
      <c r="T381" s="13" t="str">
        <f t="shared" si="111"/>
        <v>CT.</v>
      </c>
      <c r="U381" s="13" t="str">
        <f t="shared" si="112"/>
        <v>ct.</v>
      </c>
      <c r="V381" s="13">
        <f t="shared" si="113"/>
        <v>2</v>
      </c>
      <c r="W381" s="13" t="str">
        <f t="shared" si="114"/>
        <v>T083826 6</v>
      </c>
      <c r="X381" s="13" t="str">
        <f t="shared" si="115"/>
        <v>S55491</v>
      </c>
      <c r="Y381" s="13" t="str">
        <f t="shared" si="116"/>
        <v>T08</v>
      </c>
      <c r="Z381" s="13" t="str">
        <f t="shared" si="117"/>
        <v>826</v>
      </c>
      <c r="AA381" s="13">
        <f t="shared" si="118"/>
        <v>2</v>
      </c>
      <c r="AB381" s="13">
        <f t="shared" si="119"/>
        <v>3</v>
      </c>
      <c r="AC381" s="13"/>
      <c r="AD381" s="13"/>
      <c r="AE381" s="13"/>
    </row>
    <row r="382" spans="1:31" ht="30" x14ac:dyDescent="0.25">
      <c r="A382" s="9" t="s">
        <v>532</v>
      </c>
      <c r="B382" s="9" t="s">
        <v>1324</v>
      </c>
      <c r="C382" s="9" t="s">
        <v>1325</v>
      </c>
      <c r="D382" s="9" t="s">
        <v>526</v>
      </c>
      <c r="E382" s="9" t="s">
        <v>489</v>
      </c>
      <c r="F382" s="9">
        <v>3</v>
      </c>
      <c r="G382" s="9" t="s">
        <v>14</v>
      </c>
      <c r="H382" s="9">
        <v>20</v>
      </c>
      <c r="I382" s="13">
        <f t="shared" si="100"/>
        <v>60</v>
      </c>
      <c r="J382" s="13">
        <f t="shared" si="101"/>
        <v>344.5</v>
      </c>
      <c r="K382" s="13">
        <f t="shared" si="102"/>
        <v>337</v>
      </c>
      <c r="L382" s="13">
        <f t="shared" si="103"/>
        <v>759</v>
      </c>
      <c r="M382" s="13">
        <f t="shared" si="104"/>
        <v>40</v>
      </c>
      <c r="N382" s="13" t="b">
        <f t="shared" si="105"/>
        <v>0</v>
      </c>
      <c r="O382" s="13" t="b">
        <f t="shared" si="106"/>
        <v>1</v>
      </c>
      <c r="P382" s="13" t="str">
        <f t="shared" si="107"/>
        <v>C008266-ct</v>
      </c>
      <c r="Q382" s="14" t="str">
        <f t="shared" si="108"/>
        <v>T042534
3</v>
      </c>
      <c r="R382" s="13" t="b">
        <f t="shared" si="109"/>
        <v>0</v>
      </c>
      <c r="S382" s="13" t="str">
        <f t="shared" si="110"/>
        <v>14</v>
      </c>
      <c r="T382" s="13" t="str">
        <f t="shared" si="111"/>
        <v>CT</v>
      </c>
      <c r="U382" s="13" t="str">
        <f t="shared" si="112"/>
        <v>ct</v>
      </c>
      <c r="V382" s="13">
        <f t="shared" si="113"/>
        <v>2</v>
      </c>
      <c r="W382" s="13" t="str">
        <f t="shared" si="114"/>
        <v>T042534 3</v>
      </c>
      <c r="X382" s="13" t="str">
        <f t="shared" si="115"/>
        <v>S55245</v>
      </c>
      <c r="Y382" s="13" t="str">
        <f t="shared" si="116"/>
        <v>T04</v>
      </c>
      <c r="Z382" s="13" t="str">
        <f t="shared" si="117"/>
        <v>534</v>
      </c>
      <c r="AA382" s="13">
        <f t="shared" si="118"/>
        <v>2</v>
      </c>
      <c r="AB382" s="13">
        <f t="shared" si="119"/>
        <v>2</v>
      </c>
      <c r="AC382" s="13"/>
      <c r="AD382" s="13"/>
      <c r="AE382" s="13"/>
    </row>
    <row r="383" spans="1:31" ht="30" x14ac:dyDescent="0.25">
      <c r="A383" s="9" t="s">
        <v>31</v>
      </c>
      <c r="B383" s="9" t="s">
        <v>1326</v>
      </c>
      <c r="C383" s="9" t="s">
        <v>1327</v>
      </c>
      <c r="D383" s="9" t="s">
        <v>539</v>
      </c>
      <c r="E383" s="9" t="s">
        <v>1328</v>
      </c>
      <c r="F383" s="9">
        <v>5</v>
      </c>
      <c r="G383" s="9" t="s">
        <v>68</v>
      </c>
      <c r="H383" s="9">
        <v>22</v>
      </c>
      <c r="I383" s="13">
        <f t="shared" si="100"/>
        <v>110</v>
      </c>
      <c r="J383" s="13">
        <f t="shared" si="101"/>
        <v>194</v>
      </c>
      <c r="K383" s="13">
        <f t="shared" si="102"/>
        <v>192</v>
      </c>
      <c r="L383" s="13">
        <f t="shared" si="103"/>
        <v>253.5</v>
      </c>
      <c r="M383" s="13">
        <f t="shared" si="104"/>
        <v>15</v>
      </c>
      <c r="N383" s="13" t="b">
        <f t="shared" si="105"/>
        <v>1</v>
      </c>
      <c r="O383" s="13" t="b">
        <f t="shared" si="106"/>
        <v>1</v>
      </c>
      <c r="P383" s="13" t="str">
        <f t="shared" si="107"/>
        <v>C000181-bottles</v>
      </c>
      <c r="Q383" s="14" t="str">
        <f t="shared" si="108"/>
        <v>T083454
5</v>
      </c>
      <c r="R383" s="13" t="b">
        <f t="shared" si="109"/>
        <v>0</v>
      </c>
      <c r="S383" s="13" t="str">
        <f t="shared" si="110"/>
        <v>06</v>
      </c>
      <c r="T383" s="13" t="str">
        <f t="shared" si="111"/>
        <v>BOTTLES</v>
      </c>
      <c r="U383" s="13" t="str">
        <f t="shared" si="112"/>
        <v>bottles</v>
      </c>
      <c r="V383" s="13">
        <f t="shared" si="113"/>
        <v>2</v>
      </c>
      <c r="W383" s="13" t="str">
        <f t="shared" si="114"/>
        <v>T083454 5</v>
      </c>
      <c r="X383" s="13" t="str">
        <f t="shared" si="115"/>
        <v>S55149</v>
      </c>
      <c r="Y383" s="13" t="str">
        <f t="shared" si="116"/>
        <v>T08</v>
      </c>
      <c r="Z383" s="13" t="str">
        <f t="shared" si="117"/>
        <v>454</v>
      </c>
      <c r="AA383" s="13">
        <f t="shared" si="118"/>
        <v>2</v>
      </c>
      <c r="AB383" s="13">
        <f t="shared" si="119"/>
        <v>7</v>
      </c>
      <c r="AC383" s="13"/>
      <c r="AD383" s="13"/>
      <c r="AE383" s="13"/>
    </row>
    <row r="384" spans="1:31" ht="30" x14ac:dyDescent="0.25">
      <c r="A384" s="9" t="s">
        <v>528</v>
      </c>
      <c r="B384" s="9" t="s">
        <v>1329</v>
      </c>
      <c r="C384" s="9" t="s">
        <v>1330</v>
      </c>
      <c r="D384" s="9" t="s">
        <v>864</v>
      </c>
      <c r="E384" s="9" t="s">
        <v>1073</v>
      </c>
      <c r="F384" s="9">
        <v>6</v>
      </c>
      <c r="G384" s="9" t="s">
        <v>176</v>
      </c>
      <c r="H384" s="9">
        <v>22.5</v>
      </c>
      <c r="I384" s="13">
        <f t="shared" si="100"/>
        <v>135</v>
      </c>
      <c r="J384" s="13">
        <f t="shared" si="101"/>
        <v>134.5</v>
      </c>
      <c r="K384" s="13">
        <f t="shared" si="102"/>
        <v>133</v>
      </c>
      <c r="L384" s="13">
        <f t="shared" si="103"/>
        <v>112.5</v>
      </c>
      <c r="M384" s="13">
        <f t="shared" si="104"/>
        <v>7</v>
      </c>
      <c r="N384" s="13" t="b">
        <f t="shared" si="105"/>
        <v>1</v>
      </c>
      <c r="O384" s="13" t="b">
        <f t="shared" si="106"/>
        <v>1</v>
      </c>
      <c r="P384" s="13" t="str">
        <f t="shared" si="107"/>
        <v>C005720-oz</v>
      </c>
      <c r="Q384" s="14" t="str">
        <f t="shared" si="108"/>
        <v>T038678
6</v>
      </c>
      <c r="R384" s="13" t="b">
        <f t="shared" si="109"/>
        <v>0</v>
      </c>
      <c r="S384" s="13" t="str">
        <f t="shared" si="110"/>
        <v>11</v>
      </c>
      <c r="T384" s="13" t="str">
        <f t="shared" si="111"/>
        <v>OZ</v>
      </c>
      <c r="U384" s="13" t="str">
        <f t="shared" si="112"/>
        <v>oz</v>
      </c>
      <c r="V384" s="13">
        <f t="shared" si="113"/>
        <v>2</v>
      </c>
      <c r="W384" s="13" t="str">
        <f t="shared" si="114"/>
        <v>T038678 6</v>
      </c>
      <c r="X384" s="13" t="str">
        <f t="shared" si="115"/>
        <v>S55365</v>
      </c>
      <c r="Y384" s="13" t="str">
        <f t="shared" si="116"/>
        <v>T03</v>
      </c>
      <c r="Z384" s="13" t="str">
        <f t="shared" si="117"/>
        <v>678</v>
      </c>
      <c r="AA384" s="13">
        <f t="shared" si="118"/>
        <v>2</v>
      </c>
      <c r="AB384" s="13">
        <f t="shared" si="119"/>
        <v>2</v>
      </c>
      <c r="AC384" s="13"/>
      <c r="AD384" s="13"/>
      <c r="AE384" s="13"/>
    </row>
    <row r="385" spans="1:31" ht="30" x14ac:dyDescent="0.25">
      <c r="A385" s="9" t="s">
        <v>227</v>
      </c>
      <c r="B385" s="9" t="s">
        <v>1331</v>
      </c>
      <c r="C385" s="9" t="s">
        <v>1332</v>
      </c>
      <c r="D385" s="9" t="s">
        <v>1333</v>
      </c>
      <c r="E385" s="9" t="s">
        <v>1334</v>
      </c>
      <c r="F385" s="9">
        <v>6</v>
      </c>
      <c r="G385" s="9" t="s">
        <v>1335</v>
      </c>
      <c r="H385" s="9">
        <v>10</v>
      </c>
      <c r="I385" s="13">
        <f t="shared" si="100"/>
        <v>60</v>
      </c>
      <c r="J385" s="13">
        <f t="shared" si="101"/>
        <v>344.5</v>
      </c>
      <c r="K385" s="13">
        <f t="shared" si="102"/>
        <v>337</v>
      </c>
      <c r="L385" s="13">
        <f t="shared" si="103"/>
        <v>10</v>
      </c>
      <c r="M385" s="13">
        <f t="shared" si="104"/>
        <v>1</v>
      </c>
      <c r="N385" s="13" t="b">
        <f t="shared" si="105"/>
        <v>0</v>
      </c>
      <c r="O385" s="13" t="b">
        <f t="shared" si="106"/>
        <v>1</v>
      </c>
      <c r="P385" s="13" t="str">
        <f t="shared" si="107"/>
        <v>C006639-oz.</v>
      </c>
      <c r="Q385" s="14" t="str">
        <f t="shared" si="108"/>
        <v>T053791
6</v>
      </c>
      <c r="R385" s="13" t="b">
        <f t="shared" si="109"/>
        <v>0</v>
      </c>
      <c r="S385" s="13" t="str">
        <f t="shared" si="110"/>
        <v>10</v>
      </c>
      <c r="T385" s="13" t="str">
        <f t="shared" si="111"/>
        <v>OZ.</v>
      </c>
      <c r="U385" s="13" t="str">
        <f t="shared" si="112"/>
        <v>oz.</v>
      </c>
      <c r="V385" s="13">
        <f t="shared" si="113"/>
        <v>2</v>
      </c>
      <c r="W385" s="13" t="str">
        <f t="shared" si="114"/>
        <v>T053791 6</v>
      </c>
      <c r="X385" s="13" t="str">
        <f t="shared" si="115"/>
        <v>S55726</v>
      </c>
      <c r="Y385" s="13" t="str">
        <f t="shared" si="116"/>
        <v>T05</v>
      </c>
      <c r="Z385" s="13" t="str">
        <f t="shared" si="117"/>
        <v>791</v>
      </c>
      <c r="AA385" s="13">
        <f t="shared" si="118"/>
        <v>2</v>
      </c>
      <c r="AB385" s="13">
        <f t="shared" si="119"/>
        <v>3</v>
      </c>
      <c r="AC385" s="13"/>
      <c r="AD385" s="13"/>
      <c r="AE385" s="13"/>
    </row>
    <row r="386" spans="1:31" ht="30" x14ac:dyDescent="0.25">
      <c r="A386" s="9" t="s">
        <v>532</v>
      </c>
      <c r="B386" s="9" t="s">
        <v>1336</v>
      </c>
      <c r="C386" s="9" t="s">
        <v>1337</v>
      </c>
      <c r="D386" s="9" t="s">
        <v>766</v>
      </c>
      <c r="E386" s="9" t="s">
        <v>1338</v>
      </c>
      <c r="F386" s="9">
        <v>11</v>
      </c>
      <c r="G386" s="9" t="s">
        <v>14</v>
      </c>
      <c r="H386" s="9">
        <v>19.5</v>
      </c>
      <c r="I386" s="13">
        <f t="shared" si="100"/>
        <v>214.5</v>
      </c>
      <c r="J386" s="13">
        <f t="shared" si="101"/>
        <v>40.5</v>
      </c>
      <c r="K386" s="13">
        <f t="shared" si="102"/>
        <v>40</v>
      </c>
      <c r="L386" s="13">
        <f t="shared" si="103"/>
        <v>739</v>
      </c>
      <c r="M386" s="13">
        <f t="shared" si="104"/>
        <v>39</v>
      </c>
      <c r="N386" s="13" t="b">
        <f t="shared" si="105"/>
        <v>0</v>
      </c>
      <c r="O386" s="13" t="b">
        <f t="shared" si="106"/>
        <v>1</v>
      </c>
      <c r="P386" s="13" t="str">
        <f t="shared" si="107"/>
        <v>C002044-ct</v>
      </c>
      <c r="Q386" s="14" t="str">
        <f t="shared" si="108"/>
        <v>T016705
11</v>
      </c>
      <c r="R386" s="13" t="b">
        <f t="shared" si="109"/>
        <v>0</v>
      </c>
      <c r="S386" s="13" t="str">
        <f t="shared" si="110"/>
        <v>13</v>
      </c>
      <c r="T386" s="13" t="str">
        <f t="shared" si="111"/>
        <v>CT</v>
      </c>
      <c r="U386" s="13" t="str">
        <f t="shared" si="112"/>
        <v>ct</v>
      </c>
      <c r="V386" s="13">
        <f t="shared" si="113"/>
        <v>2</v>
      </c>
      <c r="W386" s="13" t="str">
        <f t="shared" si="114"/>
        <v>T016705 11</v>
      </c>
      <c r="X386" s="13" t="str">
        <f t="shared" si="115"/>
        <v>S55391</v>
      </c>
      <c r="Y386" s="13" t="str">
        <f t="shared" si="116"/>
        <v>T01</v>
      </c>
      <c r="Z386" s="13" t="str">
        <f t="shared" si="117"/>
        <v>705</v>
      </c>
      <c r="AA386" s="13">
        <f t="shared" si="118"/>
        <v>2</v>
      </c>
      <c r="AB386" s="13">
        <f t="shared" si="119"/>
        <v>2</v>
      </c>
      <c r="AC386" s="13"/>
      <c r="AD386" s="13"/>
      <c r="AE386" s="13"/>
    </row>
    <row r="387" spans="1:31" ht="30" x14ac:dyDescent="0.25">
      <c r="A387" s="9" t="s">
        <v>125</v>
      </c>
      <c r="B387" s="9" t="s">
        <v>1339</v>
      </c>
      <c r="C387" s="9" t="s">
        <v>1340</v>
      </c>
      <c r="D387" s="9" t="s">
        <v>1341</v>
      </c>
      <c r="E387" s="9" t="s">
        <v>304</v>
      </c>
      <c r="F387" s="9">
        <v>1</v>
      </c>
      <c r="G387" s="9" t="s">
        <v>14</v>
      </c>
      <c r="H387" s="9">
        <v>15</v>
      </c>
      <c r="I387" s="13">
        <f t="shared" si="100"/>
        <v>15</v>
      </c>
      <c r="J387" s="13">
        <f t="shared" si="101"/>
        <v>476.5</v>
      </c>
      <c r="K387" s="13">
        <f t="shared" si="102"/>
        <v>473</v>
      </c>
      <c r="L387" s="13">
        <f t="shared" si="103"/>
        <v>719.5</v>
      </c>
      <c r="M387" s="13">
        <f t="shared" si="104"/>
        <v>38</v>
      </c>
      <c r="N387" s="13" t="b">
        <f t="shared" si="105"/>
        <v>0</v>
      </c>
      <c r="O387" s="13" t="b">
        <f t="shared" si="106"/>
        <v>1</v>
      </c>
      <c r="P387" s="13" t="str">
        <f t="shared" si="107"/>
        <v>C007497-ct</v>
      </c>
      <c r="Q387" s="14" t="str">
        <f t="shared" si="108"/>
        <v>T039613
1</v>
      </c>
      <c r="R387" s="13" t="b">
        <f t="shared" si="109"/>
        <v>0</v>
      </c>
      <c r="S387" s="13" t="str">
        <f t="shared" si="110"/>
        <v>20</v>
      </c>
      <c r="T387" s="13" t="str">
        <f t="shared" si="111"/>
        <v>CT</v>
      </c>
      <c r="U387" s="13" t="str">
        <f t="shared" si="112"/>
        <v>ct</v>
      </c>
      <c r="V387" s="13">
        <f t="shared" si="113"/>
        <v>2</v>
      </c>
      <c r="W387" s="13" t="str">
        <f t="shared" si="114"/>
        <v>T039613 1</v>
      </c>
      <c r="X387" s="13" t="str">
        <f t="shared" si="115"/>
        <v>S55139</v>
      </c>
      <c r="Y387" s="13" t="str">
        <f t="shared" si="116"/>
        <v>T03</v>
      </c>
      <c r="Z387" s="13" t="str">
        <f t="shared" si="117"/>
        <v>613</v>
      </c>
      <c r="AA387" s="13">
        <f t="shared" si="118"/>
        <v>2</v>
      </c>
      <c r="AB387" s="13">
        <f t="shared" si="119"/>
        <v>2</v>
      </c>
      <c r="AC387" s="13"/>
      <c r="AD387" s="13"/>
      <c r="AE387" s="13"/>
    </row>
    <row r="388" spans="1:31" ht="30" x14ac:dyDescent="0.25">
      <c r="A388" s="9" t="s">
        <v>368</v>
      </c>
      <c r="B388" s="9" t="s">
        <v>1342</v>
      </c>
      <c r="C388" s="9" t="s">
        <v>1343</v>
      </c>
      <c r="D388" s="9" t="s">
        <v>519</v>
      </c>
      <c r="E388" s="9" t="s">
        <v>1344</v>
      </c>
      <c r="F388" s="9">
        <v>11</v>
      </c>
      <c r="G388" s="9" t="s">
        <v>176</v>
      </c>
      <c r="H388" s="9">
        <v>10</v>
      </c>
      <c r="I388" s="13">
        <f t="shared" si="100"/>
        <v>110</v>
      </c>
      <c r="J388" s="13">
        <f t="shared" si="101"/>
        <v>194</v>
      </c>
      <c r="K388" s="13">
        <f t="shared" si="102"/>
        <v>192</v>
      </c>
      <c r="L388" s="13">
        <f t="shared" si="103"/>
        <v>90</v>
      </c>
      <c r="M388" s="13">
        <f t="shared" si="104"/>
        <v>6</v>
      </c>
      <c r="N388" s="13" t="b">
        <f t="shared" si="105"/>
        <v>0</v>
      </c>
      <c r="O388" s="13" t="b">
        <f t="shared" si="106"/>
        <v>1</v>
      </c>
      <c r="P388" s="13" t="str">
        <f t="shared" si="107"/>
        <v>C005866-oz</v>
      </c>
      <c r="Q388" s="14" t="str">
        <f t="shared" si="108"/>
        <v>T076443
11</v>
      </c>
      <c r="R388" s="13" t="b">
        <f t="shared" si="109"/>
        <v>0</v>
      </c>
      <c r="S388" s="13" t="str">
        <f t="shared" si="110"/>
        <v>09</v>
      </c>
      <c r="T388" s="13" t="str">
        <f t="shared" si="111"/>
        <v>OZ</v>
      </c>
      <c r="U388" s="13" t="str">
        <f t="shared" si="112"/>
        <v>oz</v>
      </c>
      <c r="V388" s="13">
        <f t="shared" si="113"/>
        <v>2</v>
      </c>
      <c r="W388" s="13" t="str">
        <f t="shared" si="114"/>
        <v>T076443 11</v>
      </c>
      <c r="X388" s="13" t="str">
        <f t="shared" si="115"/>
        <v>S55212</v>
      </c>
      <c r="Y388" s="13" t="str">
        <f t="shared" si="116"/>
        <v>T07</v>
      </c>
      <c r="Z388" s="13" t="str">
        <f t="shared" si="117"/>
        <v>443</v>
      </c>
      <c r="AA388" s="13">
        <f t="shared" si="118"/>
        <v>2</v>
      </c>
      <c r="AB388" s="13">
        <f t="shared" si="119"/>
        <v>2</v>
      </c>
      <c r="AC388" s="13"/>
      <c r="AD388" s="13"/>
      <c r="AE388" s="13"/>
    </row>
    <row r="389" spans="1:31" ht="30" x14ac:dyDescent="0.25">
      <c r="A389" s="9" t="s">
        <v>63</v>
      </c>
      <c r="B389" s="9" t="s">
        <v>1345</v>
      </c>
      <c r="C389" s="9" t="s">
        <v>1346</v>
      </c>
      <c r="D389" s="9" t="s">
        <v>246</v>
      </c>
      <c r="E389" s="9" t="s">
        <v>536</v>
      </c>
      <c r="F389" s="9">
        <v>11</v>
      </c>
      <c r="G389" s="9" t="s">
        <v>248</v>
      </c>
      <c r="H389" s="9">
        <v>15</v>
      </c>
      <c r="I389" s="13">
        <f t="shared" si="100"/>
        <v>165</v>
      </c>
      <c r="J389" s="13">
        <f t="shared" si="101"/>
        <v>79.5</v>
      </c>
      <c r="K389" s="13">
        <f t="shared" si="102"/>
        <v>77</v>
      </c>
      <c r="L389" s="13">
        <f t="shared" si="103"/>
        <v>45</v>
      </c>
      <c r="M389" s="13">
        <f t="shared" si="104"/>
        <v>3</v>
      </c>
      <c r="N389" s="13" t="b">
        <f t="shared" si="105"/>
        <v>0</v>
      </c>
      <c r="O389" s="13" t="b">
        <f t="shared" si="106"/>
        <v>1</v>
      </c>
      <c r="P389" s="13" t="str">
        <f t="shared" si="107"/>
        <v>C006396-lb</v>
      </c>
      <c r="Q389" s="14" t="str">
        <f t="shared" si="108"/>
        <v>T066666
11</v>
      </c>
      <c r="R389" s="13" t="b">
        <f t="shared" si="109"/>
        <v>0</v>
      </c>
      <c r="S389" s="13" t="str">
        <f t="shared" si="110"/>
        <v>22</v>
      </c>
      <c r="T389" s="13" t="str">
        <f t="shared" si="111"/>
        <v>LB</v>
      </c>
      <c r="U389" s="13" t="str">
        <f t="shared" si="112"/>
        <v>lb</v>
      </c>
      <c r="V389" s="13">
        <f t="shared" si="113"/>
        <v>2</v>
      </c>
      <c r="W389" s="13" t="str">
        <f t="shared" si="114"/>
        <v>T066666 11</v>
      </c>
      <c r="X389" s="13" t="str">
        <f t="shared" si="115"/>
        <v>S55282</v>
      </c>
      <c r="Y389" s="13" t="str">
        <f t="shared" si="116"/>
        <v>T06</v>
      </c>
      <c r="Z389" s="13" t="str">
        <f t="shared" si="117"/>
        <v>666</v>
      </c>
      <c r="AA389" s="13">
        <f t="shared" si="118"/>
        <v>2</v>
      </c>
      <c r="AB389" s="13">
        <f t="shared" si="119"/>
        <v>2</v>
      </c>
      <c r="AC389" s="13"/>
      <c r="AD389" s="13"/>
      <c r="AE389" s="13"/>
    </row>
    <row r="390" spans="1:31" ht="30" x14ac:dyDescent="0.25">
      <c r="A390" s="9" t="s">
        <v>177</v>
      </c>
      <c r="B390" s="9" t="s">
        <v>1347</v>
      </c>
      <c r="C390" s="9" t="s">
        <v>1348</v>
      </c>
      <c r="D390" s="9" t="s">
        <v>1349</v>
      </c>
      <c r="E390" s="9" t="s">
        <v>19</v>
      </c>
      <c r="F390" s="9">
        <v>8</v>
      </c>
      <c r="G390" s="9" t="s">
        <v>14</v>
      </c>
      <c r="H390" s="9">
        <v>18</v>
      </c>
      <c r="I390" s="13">
        <f t="shared" ref="I390:I453" si="120">$F390*H390</f>
        <v>144</v>
      </c>
      <c r="J390" s="13">
        <f t="shared" ref="J390:J453" si="121">_xlfn.RANK.AVG(I390,$I$5:$I$550000)</f>
        <v>118</v>
      </c>
      <c r="K390" s="13">
        <f t="shared" ref="K390:K453" si="122">_xlfn.RANK.EQ(I390,$I$5:$I$550000)</f>
        <v>115</v>
      </c>
      <c r="L390" s="13">
        <f t="shared" ref="L390:L453" si="123">SUMIF(G390:G802,G390,H390:H885)</f>
        <v>704.5</v>
      </c>
      <c r="M390" s="13">
        <f t="shared" ref="M390:M453" si="124">COUNTIF(G390:G802,G390)</f>
        <v>37</v>
      </c>
      <c r="N390" s="13" t="b">
        <f t="shared" ref="N390:N453" si="125">AND(H390&gt;20,H390&lt;70)</f>
        <v>0</v>
      </c>
      <c r="O390" s="13" t="b">
        <f t="shared" ref="O390:O453" si="126">OR(H390&gt;10,H390&lt;60)</f>
        <v>1</v>
      </c>
      <c r="P390" s="13" t="str">
        <f t="shared" ref="P390:P453" si="127">_xlfn.CONCAT(B390,"-",G390)</f>
        <v>C006382-ct</v>
      </c>
      <c r="Q390" s="14" t="str">
        <f t="shared" ref="Q390:Q453" si="128">_xlfn.CONCAT(C390,CHAR(10),F390)</f>
        <v>T079292
8</v>
      </c>
      <c r="R390" s="13" t="b">
        <f t="shared" ref="R390:R453" si="129">EXACT(D390,E390)</f>
        <v>0</v>
      </c>
      <c r="S390" s="13" t="str">
        <f t="shared" ref="S390:S453" si="130">MID(D390,4,2)</f>
        <v>20</v>
      </c>
      <c r="T390" s="13" t="str">
        <f t="shared" ref="T390:T453" si="131">UPPER(G390)</f>
        <v>CT</v>
      </c>
      <c r="U390" s="13" t="str">
        <f t="shared" ref="U390:U453" si="132">LOWER(G390)</f>
        <v>ct</v>
      </c>
      <c r="V390" s="13">
        <f t="shared" ref="V390:V453" si="133">SEARCH("0",E390)</f>
        <v>2</v>
      </c>
      <c r="W390" s="13" t="str">
        <f t="shared" ref="W390:W453" si="134">_xlfn.TEXTJOIN(" ",TRUE,C390,F390)</f>
        <v>T079292 8</v>
      </c>
      <c r="X390" s="13" t="str">
        <f t="shared" ref="X390:X453" si="135">SUBSTITUTE(E390,"0","5")</f>
        <v>S55595</v>
      </c>
      <c r="Y390" s="13" t="str">
        <f t="shared" ref="Y390:Y453" si="136">LEFT(C390,3)</f>
        <v>T07</v>
      </c>
      <c r="Z390" s="13" t="str">
        <f t="shared" ref="Z390:Z453" si="137">RIGHT(C390,3)</f>
        <v>292</v>
      </c>
      <c r="AA390" s="13">
        <f t="shared" ref="AA390:AA453" si="138">FIND("0",A390)</f>
        <v>2</v>
      </c>
      <c r="AB390" s="13">
        <f t="shared" ref="AB390:AB453" si="139">LEN(G390)</f>
        <v>2</v>
      </c>
      <c r="AC390" s="13"/>
      <c r="AD390" s="13"/>
      <c r="AE390" s="13"/>
    </row>
    <row r="391" spans="1:31" ht="30" x14ac:dyDescent="0.25">
      <c r="A391" s="9" t="s">
        <v>227</v>
      </c>
      <c r="B391" s="9" t="s">
        <v>1350</v>
      </c>
      <c r="C391" s="9" t="s">
        <v>1351</v>
      </c>
      <c r="D391" s="9" t="s">
        <v>583</v>
      </c>
      <c r="E391" s="9" t="s">
        <v>1352</v>
      </c>
      <c r="F391" s="9">
        <v>5</v>
      </c>
      <c r="G391" s="9" t="s">
        <v>411</v>
      </c>
      <c r="H391" s="9">
        <v>20</v>
      </c>
      <c r="I391" s="13">
        <f t="shared" si="120"/>
        <v>100</v>
      </c>
      <c r="J391" s="13">
        <f t="shared" si="121"/>
        <v>214.5</v>
      </c>
      <c r="K391" s="13">
        <f t="shared" si="122"/>
        <v>212</v>
      </c>
      <c r="L391" s="13">
        <f t="shared" si="123"/>
        <v>36</v>
      </c>
      <c r="M391" s="13">
        <f t="shared" si="124"/>
        <v>2</v>
      </c>
      <c r="N391" s="13" t="b">
        <f t="shared" si="125"/>
        <v>0</v>
      </c>
      <c r="O391" s="13" t="b">
        <f t="shared" si="126"/>
        <v>1</v>
      </c>
      <c r="P391" s="13" t="str">
        <f t="shared" si="127"/>
        <v>C005939-pack</v>
      </c>
      <c r="Q391" s="14" t="str">
        <f t="shared" si="128"/>
        <v>T045801
5</v>
      </c>
      <c r="R391" s="13" t="b">
        <f t="shared" si="129"/>
        <v>0</v>
      </c>
      <c r="S391" s="13" t="str">
        <f t="shared" si="130"/>
        <v>25</v>
      </c>
      <c r="T391" s="13" t="str">
        <f t="shared" si="131"/>
        <v>PACK</v>
      </c>
      <c r="U391" s="13" t="str">
        <f t="shared" si="132"/>
        <v>pack</v>
      </c>
      <c r="V391" s="13">
        <f t="shared" si="133"/>
        <v>2</v>
      </c>
      <c r="W391" s="13" t="str">
        <f t="shared" si="134"/>
        <v>T045801 5</v>
      </c>
      <c r="X391" s="13" t="str">
        <f t="shared" si="135"/>
        <v>S55117</v>
      </c>
      <c r="Y391" s="13" t="str">
        <f t="shared" si="136"/>
        <v>T04</v>
      </c>
      <c r="Z391" s="13" t="str">
        <f t="shared" si="137"/>
        <v>801</v>
      </c>
      <c r="AA391" s="13">
        <f t="shared" si="138"/>
        <v>2</v>
      </c>
      <c r="AB391" s="13">
        <f t="shared" si="139"/>
        <v>4</v>
      </c>
      <c r="AC391" s="13"/>
      <c r="AD391" s="13"/>
      <c r="AE391" s="13"/>
    </row>
    <row r="392" spans="1:31" ht="30" x14ac:dyDescent="0.25">
      <c r="A392" s="9" t="s">
        <v>15</v>
      </c>
      <c r="B392" s="9" t="s">
        <v>1353</v>
      </c>
      <c r="C392" s="9" t="s">
        <v>1354</v>
      </c>
      <c r="D392" s="9" t="s">
        <v>546</v>
      </c>
      <c r="E392" s="9" t="s">
        <v>1355</v>
      </c>
      <c r="F392" s="9">
        <v>1</v>
      </c>
      <c r="G392" s="9" t="s">
        <v>68</v>
      </c>
      <c r="H392" s="9">
        <v>10</v>
      </c>
      <c r="I392" s="13">
        <f t="shared" si="120"/>
        <v>10</v>
      </c>
      <c r="J392" s="13">
        <f t="shared" si="121"/>
        <v>491.5</v>
      </c>
      <c r="K392" s="13">
        <f t="shared" si="122"/>
        <v>491</v>
      </c>
      <c r="L392" s="13">
        <f t="shared" si="123"/>
        <v>231.5</v>
      </c>
      <c r="M392" s="13">
        <f t="shared" si="124"/>
        <v>14</v>
      </c>
      <c r="N392" s="13" t="b">
        <f t="shared" si="125"/>
        <v>0</v>
      </c>
      <c r="O392" s="13" t="b">
        <f t="shared" si="126"/>
        <v>1</v>
      </c>
      <c r="P392" s="13" t="str">
        <f t="shared" si="127"/>
        <v>C002336-bottles</v>
      </c>
      <c r="Q392" s="14" t="str">
        <f t="shared" si="128"/>
        <v>T074754
1</v>
      </c>
      <c r="R392" s="13" t="b">
        <f t="shared" si="129"/>
        <v>0</v>
      </c>
      <c r="S392" s="13" t="str">
        <f t="shared" si="130"/>
        <v>09</v>
      </c>
      <c r="T392" s="13" t="str">
        <f t="shared" si="131"/>
        <v>BOTTLES</v>
      </c>
      <c r="U392" s="13" t="str">
        <f t="shared" si="132"/>
        <v>bottles</v>
      </c>
      <c r="V392" s="13">
        <f t="shared" si="133"/>
        <v>2</v>
      </c>
      <c r="W392" s="13" t="str">
        <f t="shared" si="134"/>
        <v>T074754 1</v>
      </c>
      <c r="X392" s="13" t="str">
        <f t="shared" si="135"/>
        <v>S55316</v>
      </c>
      <c r="Y392" s="13" t="str">
        <f t="shared" si="136"/>
        <v>T07</v>
      </c>
      <c r="Z392" s="13" t="str">
        <f t="shared" si="137"/>
        <v>754</v>
      </c>
      <c r="AA392" s="13">
        <f t="shared" si="138"/>
        <v>2</v>
      </c>
      <c r="AB392" s="13">
        <f t="shared" si="139"/>
        <v>7</v>
      </c>
      <c r="AC392" s="13"/>
      <c r="AD392" s="13"/>
      <c r="AE392" s="13"/>
    </row>
    <row r="393" spans="1:31" ht="30" x14ac:dyDescent="0.25">
      <c r="A393" s="9" t="s">
        <v>528</v>
      </c>
      <c r="B393" s="9" t="s">
        <v>1356</v>
      </c>
      <c r="C393" s="9" t="s">
        <v>1357</v>
      </c>
      <c r="D393" s="9" t="s">
        <v>1277</v>
      </c>
      <c r="E393" s="9" t="s">
        <v>1209</v>
      </c>
      <c r="F393" s="9">
        <v>7</v>
      </c>
      <c r="G393" s="9" t="s">
        <v>176</v>
      </c>
      <c r="H393" s="9">
        <v>11</v>
      </c>
      <c r="I393" s="13">
        <f t="shared" si="120"/>
        <v>77</v>
      </c>
      <c r="J393" s="13">
        <f t="shared" si="121"/>
        <v>281</v>
      </c>
      <c r="K393" s="13">
        <f t="shared" si="122"/>
        <v>281</v>
      </c>
      <c r="L393" s="13">
        <f t="shared" si="123"/>
        <v>80</v>
      </c>
      <c r="M393" s="13">
        <f t="shared" si="124"/>
        <v>5</v>
      </c>
      <c r="N393" s="13" t="b">
        <f t="shared" si="125"/>
        <v>0</v>
      </c>
      <c r="O393" s="13" t="b">
        <f t="shared" si="126"/>
        <v>1</v>
      </c>
      <c r="P393" s="13" t="str">
        <f t="shared" si="127"/>
        <v>C000545-oz</v>
      </c>
      <c r="Q393" s="14" t="str">
        <f t="shared" si="128"/>
        <v>T044786
7</v>
      </c>
      <c r="R393" s="13" t="b">
        <f t="shared" si="129"/>
        <v>0</v>
      </c>
      <c r="S393" s="13" t="str">
        <f t="shared" si="130"/>
        <v>22</v>
      </c>
      <c r="T393" s="13" t="str">
        <f t="shared" si="131"/>
        <v>OZ</v>
      </c>
      <c r="U393" s="13" t="str">
        <f t="shared" si="132"/>
        <v>oz</v>
      </c>
      <c r="V393" s="13">
        <f t="shared" si="133"/>
        <v>2</v>
      </c>
      <c r="W393" s="13" t="str">
        <f t="shared" si="134"/>
        <v>T044786 7</v>
      </c>
      <c r="X393" s="13" t="str">
        <f t="shared" si="135"/>
        <v>S55351</v>
      </c>
      <c r="Y393" s="13" t="str">
        <f t="shared" si="136"/>
        <v>T04</v>
      </c>
      <c r="Z393" s="13" t="str">
        <f t="shared" si="137"/>
        <v>786</v>
      </c>
      <c r="AA393" s="13">
        <f t="shared" si="138"/>
        <v>2</v>
      </c>
      <c r="AB393" s="13">
        <f t="shared" si="139"/>
        <v>2</v>
      </c>
      <c r="AC393" s="13"/>
      <c r="AD393" s="13"/>
      <c r="AE393" s="13"/>
    </row>
    <row r="394" spans="1:31" ht="30" x14ac:dyDescent="0.25">
      <c r="A394" s="9" t="s">
        <v>218</v>
      </c>
      <c r="B394" s="9" t="s">
        <v>1358</v>
      </c>
      <c r="C394" s="9" t="s">
        <v>1359</v>
      </c>
      <c r="D394" s="9" t="s">
        <v>1360</v>
      </c>
      <c r="E394" s="9" t="s">
        <v>291</v>
      </c>
      <c r="F394" s="9">
        <v>5</v>
      </c>
      <c r="G394" s="9" t="s">
        <v>36</v>
      </c>
      <c r="H394" s="9">
        <v>6.75</v>
      </c>
      <c r="I394" s="13">
        <f t="shared" si="120"/>
        <v>33.75</v>
      </c>
      <c r="J394" s="13">
        <f t="shared" si="121"/>
        <v>426</v>
      </c>
      <c r="K394" s="13">
        <f t="shared" si="122"/>
        <v>424</v>
      </c>
      <c r="L394" s="13">
        <f t="shared" si="123"/>
        <v>586</v>
      </c>
      <c r="M394" s="13">
        <f t="shared" si="124"/>
        <v>33</v>
      </c>
      <c r="N394" s="13" t="b">
        <f t="shared" si="125"/>
        <v>0</v>
      </c>
      <c r="O394" s="13" t="b">
        <f t="shared" si="126"/>
        <v>1</v>
      </c>
      <c r="P394" s="13" t="str">
        <f t="shared" si="127"/>
        <v>C000540-cans</v>
      </c>
      <c r="Q394" s="14" t="str">
        <f t="shared" si="128"/>
        <v>T064584
5</v>
      </c>
      <c r="R394" s="13" t="b">
        <f t="shared" si="129"/>
        <v>0</v>
      </c>
      <c r="S394" s="13" t="str">
        <f t="shared" si="130"/>
        <v>02</v>
      </c>
      <c r="T394" s="13" t="str">
        <f t="shared" si="131"/>
        <v>CANS</v>
      </c>
      <c r="U394" s="13" t="str">
        <f t="shared" si="132"/>
        <v>cans</v>
      </c>
      <c r="V394" s="13">
        <f t="shared" si="133"/>
        <v>2</v>
      </c>
      <c r="W394" s="13" t="str">
        <f t="shared" si="134"/>
        <v>T064584 5</v>
      </c>
      <c r="X394" s="13" t="str">
        <f t="shared" si="135"/>
        <v>S55194</v>
      </c>
      <c r="Y394" s="13" t="str">
        <f t="shared" si="136"/>
        <v>T06</v>
      </c>
      <c r="Z394" s="13" t="str">
        <f t="shared" si="137"/>
        <v>584</v>
      </c>
      <c r="AA394" s="13">
        <f t="shared" si="138"/>
        <v>2</v>
      </c>
      <c r="AB394" s="13">
        <f t="shared" si="139"/>
        <v>4</v>
      </c>
      <c r="AC394" s="13"/>
      <c r="AD394" s="13"/>
      <c r="AE394" s="13"/>
    </row>
    <row r="395" spans="1:31" ht="30" x14ac:dyDescent="0.25">
      <c r="A395" s="9" t="s">
        <v>125</v>
      </c>
      <c r="B395" s="9" t="s">
        <v>1361</v>
      </c>
      <c r="C395" s="9" t="s">
        <v>1362</v>
      </c>
      <c r="D395" s="9" t="s">
        <v>180</v>
      </c>
      <c r="E395" s="9" t="s">
        <v>1363</v>
      </c>
      <c r="F395" s="9">
        <v>8</v>
      </c>
      <c r="G395" s="9" t="s">
        <v>36</v>
      </c>
      <c r="H395" s="9">
        <v>6.75</v>
      </c>
      <c r="I395" s="13">
        <f t="shared" si="120"/>
        <v>54</v>
      </c>
      <c r="J395" s="13">
        <f t="shared" si="121"/>
        <v>366.5</v>
      </c>
      <c r="K395" s="13">
        <f t="shared" si="122"/>
        <v>365</v>
      </c>
      <c r="L395" s="13">
        <f t="shared" si="123"/>
        <v>579.25</v>
      </c>
      <c r="M395" s="13">
        <f t="shared" si="124"/>
        <v>32</v>
      </c>
      <c r="N395" s="13" t="b">
        <f t="shared" si="125"/>
        <v>0</v>
      </c>
      <c r="O395" s="13" t="b">
        <f t="shared" si="126"/>
        <v>1</v>
      </c>
      <c r="P395" s="13" t="str">
        <f t="shared" si="127"/>
        <v>C004909-cans</v>
      </c>
      <c r="Q395" s="14" t="str">
        <f t="shared" si="128"/>
        <v>T046743
8</v>
      </c>
      <c r="R395" s="13" t="b">
        <f t="shared" si="129"/>
        <v>0</v>
      </c>
      <c r="S395" s="13" t="str">
        <f t="shared" si="130"/>
        <v>07</v>
      </c>
      <c r="T395" s="13" t="str">
        <f t="shared" si="131"/>
        <v>CANS</v>
      </c>
      <c r="U395" s="13" t="str">
        <f t="shared" si="132"/>
        <v>cans</v>
      </c>
      <c r="V395" s="13">
        <f t="shared" si="133"/>
        <v>2</v>
      </c>
      <c r="W395" s="13" t="str">
        <f t="shared" si="134"/>
        <v>T046743 8</v>
      </c>
      <c r="X395" s="13" t="str">
        <f t="shared" si="135"/>
        <v>S55645</v>
      </c>
      <c r="Y395" s="13" t="str">
        <f t="shared" si="136"/>
        <v>T04</v>
      </c>
      <c r="Z395" s="13" t="str">
        <f t="shared" si="137"/>
        <v>743</v>
      </c>
      <c r="AA395" s="13">
        <f t="shared" si="138"/>
        <v>2</v>
      </c>
      <c r="AB395" s="13">
        <f t="shared" si="139"/>
        <v>4</v>
      </c>
      <c r="AC395" s="13"/>
      <c r="AD395" s="13"/>
      <c r="AE395" s="13"/>
    </row>
    <row r="396" spans="1:31" ht="30" x14ac:dyDescent="0.25">
      <c r="A396" s="9" t="s">
        <v>177</v>
      </c>
      <c r="B396" s="9" t="s">
        <v>1364</v>
      </c>
      <c r="C396" s="9" t="s">
        <v>1365</v>
      </c>
      <c r="D396" s="9" t="s">
        <v>236</v>
      </c>
      <c r="E396" s="9" t="s">
        <v>1366</v>
      </c>
      <c r="F396" s="9">
        <v>11</v>
      </c>
      <c r="G396" s="9" t="s">
        <v>14</v>
      </c>
      <c r="H396" s="9">
        <v>12</v>
      </c>
      <c r="I396" s="13">
        <f t="shared" si="120"/>
        <v>132</v>
      </c>
      <c r="J396" s="13">
        <f t="shared" si="121"/>
        <v>139.5</v>
      </c>
      <c r="K396" s="13">
        <f t="shared" si="122"/>
        <v>137</v>
      </c>
      <c r="L396" s="13">
        <f t="shared" si="123"/>
        <v>686.5</v>
      </c>
      <c r="M396" s="13">
        <f t="shared" si="124"/>
        <v>36</v>
      </c>
      <c r="N396" s="13" t="b">
        <f t="shared" si="125"/>
        <v>0</v>
      </c>
      <c r="O396" s="13" t="b">
        <f t="shared" si="126"/>
        <v>1</v>
      </c>
      <c r="P396" s="13" t="str">
        <f t="shared" si="127"/>
        <v>C002137-ct</v>
      </c>
      <c r="Q396" s="14" t="str">
        <f t="shared" si="128"/>
        <v>T050144
11</v>
      </c>
      <c r="R396" s="13" t="b">
        <f t="shared" si="129"/>
        <v>0</v>
      </c>
      <c r="S396" s="13" t="str">
        <f t="shared" si="130"/>
        <v>21</v>
      </c>
      <c r="T396" s="13" t="str">
        <f t="shared" si="131"/>
        <v>CT</v>
      </c>
      <c r="U396" s="13" t="str">
        <f t="shared" si="132"/>
        <v>ct</v>
      </c>
      <c r="V396" s="13">
        <f t="shared" si="133"/>
        <v>2</v>
      </c>
      <c r="W396" s="13" t="str">
        <f t="shared" si="134"/>
        <v>T050144 11</v>
      </c>
      <c r="X396" s="13" t="str">
        <f t="shared" si="135"/>
        <v>S55411</v>
      </c>
      <c r="Y396" s="13" t="str">
        <f t="shared" si="136"/>
        <v>T05</v>
      </c>
      <c r="Z396" s="13" t="str">
        <f t="shared" si="137"/>
        <v>144</v>
      </c>
      <c r="AA396" s="13">
        <f t="shared" si="138"/>
        <v>2</v>
      </c>
      <c r="AB396" s="13">
        <f t="shared" si="139"/>
        <v>2</v>
      </c>
      <c r="AC396" s="13"/>
      <c r="AD396" s="13"/>
      <c r="AE396" s="13"/>
    </row>
    <row r="397" spans="1:31" ht="30" x14ac:dyDescent="0.25">
      <c r="A397" s="9" t="s">
        <v>249</v>
      </c>
      <c r="B397" s="9" t="s">
        <v>1367</v>
      </c>
      <c r="C397" s="9" t="s">
        <v>1368</v>
      </c>
      <c r="D397" s="9" t="s">
        <v>498</v>
      </c>
      <c r="E397" s="9" t="s">
        <v>1369</v>
      </c>
      <c r="F397" s="9">
        <v>7</v>
      </c>
      <c r="G397" s="9" t="s">
        <v>14</v>
      </c>
      <c r="H397" s="9">
        <v>21</v>
      </c>
      <c r="I397" s="13">
        <f t="shared" si="120"/>
        <v>147</v>
      </c>
      <c r="J397" s="13">
        <f t="shared" si="121"/>
        <v>114</v>
      </c>
      <c r="K397" s="13">
        <f t="shared" si="122"/>
        <v>114</v>
      </c>
      <c r="L397" s="13">
        <f t="shared" si="123"/>
        <v>674.5</v>
      </c>
      <c r="M397" s="13">
        <f t="shared" si="124"/>
        <v>35</v>
      </c>
      <c r="N397" s="13" t="b">
        <f t="shared" si="125"/>
        <v>1</v>
      </c>
      <c r="O397" s="13" t="b">
        <f t="shared" si="126"/>
        <v>1</v>
      </c>
      <c r="P397" s="13" t="str">
        <f t="shared" si="127"/>
        <v>C003582-ct</v>
      </c>
      <c r="Q397" s="14" t="str">
        <f t="shared" si="128"/>
        <v>T026723
7</v>
      </c>
      <c r="R397" s="13" t="b">
        <f t="shared" si="129"/>
        <v>0</v>
      </c>
      <c r="S397" s="13" t="str">
        <f t="shared" si="130"/>
        <v>14</v>
      </c>
      <c r="T397" s="13" t="str">
        <f t="shared" si="131"/>
        <v>CT</v>
      </c>
      <c r="U397" s="13" t="str">
        <f t="shared" si="132"/>
        <v>ct</v>
      </c>
      <c r="V397" s="13">
        <f t="shared" si="133"/>
        <v>2</v>
      </c>
      <c r="W397" s="13" t="str">
        <f t="shared" si="134"/>
        <v>T026723 7</v>
      </c>
      <c r="X397" s="13" t="str">
        <f t="shared" si="135"/>
        <v>S55388</v>
      </c>
      <c r="Y397" s="13" t="str">
        <f t="shared" si="136"/>
        <v>T02</v>
      </c>
      <c r="Z397" s="13" t="str">
        <f t="shared" si="137"/>
        <v>723</v>
      </c>
      <c r="AA397" s="13">
        <f t="shared" si="138"/>
        <v>2</v>
      </c>
      <c r="AB397" s="13">
        <f t="shared" si="139"/>
        <v>2</v>
      </c>
      <c r="AC397" s="13"/>
      <c r="AD397" s="13"/>
      <c r="AE397" s="13"/>
    </row>
    <row r="398" spans="1:31" ht="30" x14ac:dyDescent="0.25">
      <c r="A398" s="9" t="s">
        <v>84</v>
      </c>
      <c r="B398" s="9" t="s">
        <v>1370</v>
      </c>
      <c r="C398" s="9" t="s">
        <v>1371</v>
      </c>
      <c r="D398" s="9" t="s">
        <v>335</v>
      </c>
      <c r="E398" s="9" t="s">
        <v>83</v>
      </c>
      <c r="F398" s="9">
        <v>8</v>
      </c>
      <c r="G398" s="9" t="s">
        <v>36</v>
      </c>
      <c r="H398" s="9">
        <v>40</v>
      </c>
      <c r="I398" s="13">
        <f t="shared" si="120"/>
        <v>320</v>
      </c>
      <c r="J398" s="13">
        <f t="shared" si="121"/>
        <v>16</v>
      </c>
      <c r="K398" s="13">
        <f t="shared" si="122"/>
        <v>15</v>
      </c>
      <c r="L398" s="13">
        <f t="shared" si="123"/>
        <v>572.5</v>
      </c>
      <c r="M398" s="13">
        <f t="shared" si="124"/>
        <v>31</v>
      </c>
      <c r="N398" s="13" t="b">
        <f t="shared" si="125"/>
        <v>1</v>
      </c>
      <c r="O398" s="13" t="b">
        <f t="shared" si="126"/>
        <v>1</v>
      </c>
      <c r="P398" s="13" t="str">
        <f t="shared" si="127"/>
        <v>C004005-cans</v>
      </c>
      <c r="Q398" s="14" t="str">
        <f t="shared" si="128"/>
        <v>T073073
8</v>
      </c>
      <c r="R398" s="13" t="b">
        <f t="shared" si="129"/>
        <v>0</v>
      </c>
      <c r="S398" s="13" t="str">
        <f t="shared" si="130"/>
        <v>05</v>
      </c>
      <c r="T398" s="13" t="str">
        <f t="shared" si="131"/>
        <v>CANS</v>
      </c>
      <c r="U398" s="13" t="str">
        <f t="shared" si="132"/>
        <v>cans</v>
      </c>
      <c r="V398" s="13">
        <f t="shared" si="133"/>
        <v>2</v>
      </c>
      <c r="W398" s="13" t="str">
        <f t="shared" si="134"/>
        <v>T073073 8</v>
      </c>
      <c r="X398" s="13" t="str">
        <f t="shared" si="135"/>
        <v>S55164</v>
      </c>
      <c r="Y398" s="13" t="str">
        <f t="shared" si="136"/>
        <v>T07</v>
      </c>
      <c r="Z398" s="13" t="str">
        <f t="shared" si="137"/>
        <v>073</v>
      </c>
      <c r="AA398" s="13">
        <f t="shared" si="138"/>
        <v>2</v>
      </c>
      <c r="AB398" s="13">
        <f t="shared" si="139"/>
        <v>4</v>
      </c>
      <c r="AC398" s="13"/>
      <c r="AD398" s="13"/>
      <c r="AE398" s="13"/>
    </row>
    <row r="399" spans="1:31" ht="30" x14ac:dyDescent="0.25">
      <c r="A399" s="9" t="s">
        <v>316</v>
      </c>
      <c r="B399" s="9" t="s">
        <v>1372</v>
      </c>
      <c r="C399" s="9" t="s">
        <v>1373</v>
      </c>
      <c r="D399" s="9" t="s">
        <v>450</v>
      </c>
      <c r="E399" s="9" t="s">
        <v>175</v>
      </c>
      <c r="F399" s="9">
        <v>8</v>
      </c>
      <c r="G399" s="9" t="s">
        <v>115</v>
      </c>
      <c r="H399" s="9">
        <v>17</v>
      </c>
      <c r="I399" s="13">
        <f t="shared" si="120"/>
        <v>136</v>
      </c>
      <c r="J399" s="13">
        <f t="shared" si="121"/>
        <v>130.5</v>
      </c>
      <c r="K399" s="13">
        <f t="shared" si="122"/>
        <v>129</v>
      </c>
      <c r="L399" s="13">
        <f t="shared" si="123"/>
        <v>128</v>
      </c>
      <c r="M399" s="13">
        <f t="shared" si="124"/>
        <v>8</v>
      </c>
      <c r="N399" s="13" t="b">
        <f t="shared" si="125"/>
        <v>0</v>
      </c>
      <c r="O399" s="13" t="b">
        <f t="shared" si="126"/>
        <v>1</v>
      </c>
      <c r="P399" s="13" t="str">
        <f t="shared" si="127"/>
        <v>C003254-bags</v>
      </c>
      <c r="Q399" s="14" t="str">
        <f t="shared" si="128"/>
        <v>T054713
8</v>
      </c>
      <c r="R399" s="13" t="b">
        <f t="shared" si="129"/>
        <v>0</v>
      </c>
      <c r="S399" s="13" t="str">
        <f t="shared" si="130"/>
        <v>15</v>
      </c>
      <c r="T399" s="13" t="str">
        <f t="shared" si="131"/>
        <v>BAGS</v>
      </c>
      <c r="U399" s="13" t="str">
        <f t="shared" si="132"/>
        <v>bags</v>
      </c>
      <c r="V399" s="13">
        <f t="shared" si="133"/>
        <v>2</v>
      </c>
      <c r="W399" s="13" t="str">
        <f t="shared" si="134"/>
        <v>T054713 8</v>
      </c>
      <c r="X399" s="13" t="str">
        <f t="shared" si="135"/>
        <v>S55563</v>
      </c>
      <c r="Y399" s="13" t="str">
        <f t="shared" si="136"/>
        <v>T05</v>
      </c>
      <c r="Z399" s="13" t="str">
        <f t="shared" si="137"/>
        <v>713</v>
      </c>
      <c r="AA399" s="13">
        <f t="shared" si="138"/>
        <v>2</v>
      </c>
      <c r="AB399" s="13">
        <f t="shared" si="139"/>
        <v>4</v>
      </c>
      <c r="AC399" s="13"/>
      <c r="AD399" s="13"/>
      <c r="AE399" s="13"/>
    </row>
    <row r="400" spans="1:31" ht="30" x14ac:dyDescent="0.25">
      <c r="A400" s="9" t="s">
        <v>63</v>
      </c>
      <c r="B400" s="9" t="s">
        <v>1374</v>
      </c>
      <c r="C400" s="9" t="s">
        <v>1375</v>
      </c>
      <c r="D400" s="9" t="s">
        <v>1180</v>
      </c>
      <c r="E400" s="9" t="s">
        <v>1376</v>
      </c>
      <c r="F400" s="9">
        <v>2</v>
      </c>
      <c r="G400" s="9" t="s">
        <v>14</v>
      </c>
      <c r="H400" s="9">
        <v>44</v>
      </c>
      <c r="I400" s="13">
        <f t="shared" si="120"/>
        <v>88</v>
      </c>
      <c r="J400" s="13">
        <f t="shared" si="121"/>
        <v>253</v>
      </c>
      <c r="K400" s="13">
        <f t="shared" si="122"/>
        <v>252</v>
      </c>
      <c r="L400" s="13">
        <f t="shared" si="123"/>
        <v>653.5</v>
      </c>
      <c r="M400" s="13">
        <f t="shared" si="124"/>
        <v>34</v>
      </c>
      <c r="N400" s="13" t="b">
        <f t="shared" si="125"/>
        <v>1</v>
      </c>
      <c r="O400" s="13" t="b">
        <f t="shared" si="126"/>
        <v>1</v>
      </c>
      <c r="P400" s="13" t="str">
        <f t="shared" si="127"/>
        <v>C000176-ct</v>
      </c>
      <c r="Q400" s="14" t="str">
        <f t="shared" si="128"/>
        <v>T063831
2</v>
      </c>
      <c r="R400" s="13" t="b">
        <f t="shared" si="129"/>
        <v>0</v>
      </c>
      <c r="S400" s="13" t="str">
        <f t="shared" si="130"/>
        <v>11</v>
      </c>
      <c r="T400" s="13" t="str">
        <f t="shared" si="131"/>
        <v>CT</v>
      </c>
      <c r="U400" s="13" t="str">
        <f t="shared" si="132"/>
        <v>ct</v>
      </c>
      <c r="V400" s="13">
        <f t="shared" si="133"/>
        <v>2</v>
      </c>
      <c r="W400" s="13" t="str">
        <f t="shared" si="134"/>
        <v>T063831 2</v>
      </c>
      <c r="X400" s="13" t="str">
        <f t="shared" si="135"/>
        <v>S55598</v>
      </c>
      <c r="Y400" s="13" t="str">
        <f t="shared" si="136"/>
        <v>T06</v>
      </c>
      <c r="Z400" s="13" t="str">
        <f t="shared" si="137"/>
        <v>831</v>
      </c>
      <c r="AA400" s="13">
        <f t="shared" si="138"/>
        <v>2</v>
      </c>
      <c r="AB400" s="13">
        <f t="shared" si="139"/>
        <v>2</v>
      </c>
      <c r="AC400" s="13"/>
      <c r="AD400" s="13"/>
      <c r="AE400" s="13"/>
    </row>
    <row r="401" spans="1:31" ht="30" x14ac:dyDescent="0.25">
      <c r="A401" s="9" t="s">
        <v>368</v>
      </c>
      <c r="B401" s="9" t="s">
        <v>1377</v>
      </c>
      <c r="C401" s="9" t="s">
        <v>1378</v>
      </c>
      <c r="D401" s="9" t="s">
        <v>939</v>
      </c>
      <c r="E401" s="9" t="s">
        <v>588</v>
      </c>
      <c r="F401" s="9">
        <v>5</v>
      </c>
      <c r="G401" s="9" t="s">
        <v>68</v>
      </c>
      <c r="H401" s="9">
        <v>8</v>
      </c>
      <c r="I401" s="13">
        <f t="shared" si="120"/>
        <v>40</v>
      </c>
      <c r="J401" s="13">
        <f t="shared" si="121"/>
        <v>412.5</v>
      </c>
      <c r="K401" s="13">
        <f t="shared" si="122"/>
        <v>411</v>
      </c>
      <c r="L401" s="13">
        <f t="shared" si="123"/>
        <v>221.5</v>
      </c>
      <c r="M401" s="13">
        <f t="shared" si="124"/>
        <v>13</v>
      </c>
      <c r="N401" s="13" t="b">
        <f t="shared" si="125"/>
        <v>0</v>
      </c>
      <c r="O401" s="13" t="b">
        <f t="shared" si="126"/>
        <v>1</v>
      </c>
      <c r="P401" s="13" t="str">
        <f t="shared" si="127"/>
        <v>C009190-bottles</v>
      </c>
      <c r="Q401" s="14" t="str">
        <f t="shared" si="128"/>
        <v>T022409
5</v>
      </c>
      <c r="R401" s="13" t="b">
        <f t="shared" si="129"/>
        <v>0</v>
      </c>
      <c r="S401" s="13" t="str">
        <f t="shared" si="130"/>
        <v>06</v>
      </c>
      <c r="T401" s="13" t="str">
        <f t="shared" si="131"/>
        <v>BOTTLES</v>
      </c>
      <c r="U401" s="13" t="str">
        <f t="shared" si="132"/>
        <v>bottles</v>
      </c>
      <c r="V401" s="13">
        <f t="shared" si="133"/>
        <v>2</v>
      </c>
      <c r="W401" s="13" t="str">
        <f t="shared" si="134"/>
        <v>T022409 5</v>
      </c>
      <c r="X401" s="13" t="str">
        <f t="shared" si="135"/>
        <v>S55445</v>
      </c>
      <c r="Y401" s="13" t="str">
        <f t="shared" si="136"/>
        <v>T02</v>
      </c>
      <c r="Z401" s="13" t="str">
        <f t="shared" si="137"/>
        <v>409</v>
      </c>
      <c r="AA401" s="13">
        <f t="shared" si="138"/>
        <v>2</v>
      </c>
      <c r="AB401" s="13">
        <f t="shared" si="139"/>
        <v>7</v>
      </c>
      <c r="AC401" s="13"/>
      <c r="AD401" s="13"/>
      <c r="AE401" s="13"/>
    </row>
    <row r="402" spans="1:31" ht="30" x14ac:dyDescent="0.25">
      <c r="A402" s="9" t="s">
        <v>134</v>
      </c>
      <c r="B402" s="9" t="s">
        <v>1379</v>
      </c>
      <c r="C402" s="9" t="s">
        <v>1380</v>
      </c>
      <c r="D402" s="9" t="s">
        <v>1381</v>
      </c>
      <c r="E402" s="9" t="s">
        <v>1382</v>
      </c>
      <c r="F402" s="9">
        <v>9</v>
      </c>
      <c r="G402" s="9" t="s">
        <v>14</v>
      </c>
      <c r="H402" s="9">
        <v>15</v>
      </c>
      <c r="I402" s="13">
        <f t="shared" si="120"/>
        <v>135</v>
      </c>
      <c r="J402" s="13">
        <f t="shared" si="121"/>
        <v>134.5</v>
      </c>
      <c r="K402" s="13">
        <f t="shared" si="122"/>
        <v>133</v>
      </c>
      <c r="L402" s="13">
        <f t="shared" si="123"/>
        <v>609.5</v>
      </c>
      <c r="M402" s="13">
        <f t="shared" si="124"/>
        <v>33</v>
      </c>
      <c r="N402" s="13" t="b">
        <f t="shared" si="125"/>
        <v>0</v>
      </c>
      <c r="O402" s="13" t="b">
        <f t="shared" si="126"/>
        <v>1</v>
      </c>
      <c r="P402" s="13" t="str">
        <f t="shared" si="127"/>
        <v>C004741-ct</v>
      </c>
      <c r="Q402" s="14" t="str">
        <f t="shared" si="128"/>
        <v>T060534
9</v>
      </c>
      <c r="R402" s="13" t="b">
        <f t="shared" si="129"/>
        <v>0</v>
      </c>
      <c r="S402" s="13" t="str">
        <f t="shared" si="130"/>
        <v>14</v>
      </c>
      <c r="T402" s="13" t="str">
        <f t="shared" si="131"/>
        <v>CT</v>
      </c>
      <c r="U402" s="13" t="str">
        <f t="shared" si="132"/>
        <v>ct</v>
      </c>
      <c r="V402" s="13">
        <f t="shared" si="133"/>
        <v>2</v>
      </c>
      <c r="W402" s="13" t="str">
        <f t="shared" si="134"/>
        <v>T060534 9</v>
      </c>
      <c r="X402" s="13" t="str">
        <f t="shared" si="135"/>
        <v>S55152</v>
      </c>
      <c r="Y402" s="13" t="str">
        <f t="shared" si="136"/>
        <v>T06</v>
      </c>
      <c r="Z402" s="13" t="str">
        <f t="shared" si="137"/>
        <v>534</v>
      </c>
      <c r="AA402" s="13">
        <f t="shared" si="138"/>
        <v>2</v>
      </c>
      <c r="AB402" s="13">
        <f t="shared" si="139"/>
        <v>2</v>
      </c>
      <c r="AC402" s="13"/>
      <c r="AD402" s="13"/>
      <c r="AE402" s="13"/>
    </row>
    <row r="403" spans="1:31" ht="30" x14ac:dyDescent="0.25">
      <c r="A403" s="9" t="s">
        <v>196</v>
      </c>
      <c r="B403" s="9" t="s">
        <v>1383</v>
      </c>
      <c r="C403" s="9" t="s">
        <v>1384</v>
      </c>
      <c r="D403" s="9" t="s">
        <v>98</v>
      </c>
      <c r="E403" s="9" t="s">
        <v>1385</v>
      </c>
      <c r="F403" s="9">
        <v>5</v>
      </c>
      <c r="G403" s="9" t="s">
        <v>36</v>
      </c>
      <c r="H403" s="9">
        <v>6.75</v>
      </c>
      <c r="I403" s="13">
        <f t="shared" si="120"/>
        <v>33.75</v>
      </c>
      <c r="J403" s="13">
        <f t="shared" si="121"/>
        <v>426</v>
      </c>
      <c r="K403" s="13">
        <f t="shared" si="122"/>
        <v>424</v>
      </c>
      <c r="L403" s="13">
        <f t="shared" si="123"/>
        <v>532.5</v>
      </c>
      <c r="M403" s="13">
        <f t="shared" si="124"/>
        <v>30</v>
      </c>
      <c r="N403" s="13" t="b">
        <f t="shared" si="125"/>
        <v>0</v>
      </c>
      <c r="O403" s="13" t="b">
        <f t="shared" si="126"/>
        <v>1</v>
      </c>
      <c r="P403" s="13" t="str">
        <f t="shared" si="127"/>
        <v>C001457-cans</v>
      </c>
      <c r="Q403" s="14" t="str">
        <f t="shared" si="128"/>
        <v>T030681
5</v>
      </c>
      <c r="R403" s="13" t="b">
        <f t="shared" si="129"/>
        <v>0</v>
      </c>
      <c r="S403" s="13" t="str">
        <f t="shared" si="130"/>
        <v>02</v>
      </c>
      <c r="T403" s="13" t="str">
        <f t="shared" si="131"/>
        <v>CANS</v>
      </c>
      <c r="U403" s="13" t="str">
        <f t="shared" si="132"/>
        <v>cans</v>
      </c>
      <c r="V403" s="13">
        <f t="shared" si="133"/>
        <v>2</v>
      </c>
      <c r="W403" s="13" t="str">
        <f t="shared" si="134"/>
        <v>T030681 5</v>
      </c>
      <c r="X403" s="13" t="str">
        <f t="shared" si="135"/>
        <v>S5528</v>
      </c>
      <c r="Y403" s="13" t="str">
        <f t="shared" si="136"/>
        <v>T03</v>
      </c>
      <c r="Z403" s="13" t="str">
        <f t="shared" si="137"/>
        <v>681</v>
      </c>
      <c r="AA403" s="13">
        <f t="shared" si="138"/>
        <v>2</v>
      </c>
      <c r="AB403" s="13">
        <f t="shared" si="139"/>
        <v>4</v>
      </c>
      <c r="AC403" s="13"/>
      <c r="AD403" s="13"/>
      <c r="AE403" s="13"/>
    </row>
    <row r="404" spans="1:31" ht="30" x14ac:dyDescent="0.25">
      <c r="A404" s="9" t="s">
        <v>91</v>
      </c>
      <c r="B404" s="9" t="s">
        <v>1386</v>
      </c>
      <c r="C404" s="9" t="s">
        <v>1387</v>
      </c>
      <c r="D404" s="9" t="s">
        <v>1388</v>
      </c>
      <c r="E404" s="9" t="s">
        <v>880</v>
      </c>
      <c r="F404" s="9">
        <v>2</v>
      </c>
      <c r="G404" s="9" t="s">
        <v>14</v>
      </c>
      <c r="H404" s="9">
        <v>14</v>
      </c>
      <c r="I404" s="13">
        <f t="shared" si="120"/>
        <v>28</v>
      </c>
      <c r="J404" s="13">
        <f t="shared" si="121"/>
        <v>443.5</v>
      </c>
      <c r="K404" s="13">
        <f t="shared" si="122"/>
        <v>443</v>
      </c>
      <c r="L404" s="13">
        <f t="shared" si="123"/>
        <v>594.5</v>
      </c>
      <c r="M404" s="13">
        <f t="shared" si="124"/>
        <v>32</v>
      </c>
      <c r="N404" s="13" t="b">
        <f t="shared" si="125"/>
        <v>0</v>
      </c>
      <c r="O404" s="13" t="b">
        <f t="shared" si="126"/>
        <v>1</v>
      </c>
      <c r="P404" s="13" t="str">
        <f t="shared" si="127"/>
        <v>C007901-ct</v>
      </c>
      <c r="Q404" s="14" t="str">
        <f t="shared" si="128"/>
        <v>T036938
2</v>
      </c>
      <c r="R404" s="13" t="b">
        <f t="shared" si="129"/>
        <v>0</v>
      </c>
      <c r="S404" s="13" t="str">
        <f t="shared" si="130"/>
        <v>22</v>
      </c>
      <c r="T404" s="13" t="str">
        <f t="shared" si="131"/>
        <v>CT</v>
      </c>
      <c r="U404" s="13" t="str">
        <f t="shared" si="132"/>
        <v>ct</v>
      </c>
      <c r="V404" s="13">
        <f t="shared" si="133"/>
        <v>2</v>
      </c>
      <c r="W404" s="13" t="str">
        <f t="shared" si="134"/>
        <v>T036938 2</v>
      </c>
      <c r="X404" s="13" t="str">
        <f t="shared" si="135"/>
        <v>S55215</v>
      </c>
      <c r="Y404" s="13" t="str">
        <f t="shared" si="136"/>
        <v>T03</v>
      </c>
      <c r="Z404" s="13" t="str">
        <f t="shared" si="137"/>
        <v>938</v>
      </c>
      <c r="AA404" s="13">
        <f t="shared" si="138"/>
        <v>2</v>
      </c>
      <c r="AB404" s="13">
        <f t="shared" si="139"/>
        <v>2</v>
      </c>
      <c r="AC404" s="13"/>
      <c r="AD404" s="13"/>
      <c r="AE404" s="13"/>
    </row>
    <row r="405" spans="1:31" ht="30" x14ac:dyDescent="0.25">
      <c r="A405" s="9" t="s">
        <v>233</v>
      </c>
      <c r="B405" s="9" t="s">
        <v>1389</v>
      </c>
      <c r="C405" s="9" t="s">
        <v>1390</v>
      </c>
      <c r="D405" s="9" t="s">
        <v>508</v>
      </c>
      <c r="E405" s="9" t="s">
        <v>1391</v>
      </c>
      <c r="F405" s="9">
        <v>4</v>
      </c>
      <c r="G405" s="9" t="s">
        <v>68</v>
      </c>
      <c r="H405" s="9">
        <v>17.5</v>
      </c>
      <c r="I405" s="13">
        <f t="shared" si="120"/>
        <v>70</v>
      </c>
      <c r="J405" s="13">
        <f t="shared" si="121"/>
        <v>301.5</v>
      </c>
      <c r="K405" s="13">
        <f t="shared" si="122"/>
        <v>300</v>
      </c>
      <c r="L405" s="13">
        <f t="shared" si="123"/>
        <v>213.5</v>
      </c>
      <c r="M405" s="13">
        <f t="shared" si="124"/>
        <v>12</v>
      </c>
      <c r="N405" s="13" t="b">
        <f t="shared" si="125"/>
        <v>0</v>
      </c>
      <c r="O405" s="13" t="b">
        <f t="shared" si="126"/>
        <v>1</v>
      </c>
      <c r="P405" s="13" t="str">
        <f t="shared" si="127"/>
        <v>C001816-bottles</v>
      </c>
      <c r="Q405" s="14" t="str">
        <f t="shared" si="128"/>
        <v>T080710
4</v>
      </c>
      <c r="R405" s="13" t="b">
        <f t="shared" si="129"/>
        <v>0</v>
      </c>
      <c r="S405" s="13" t="str">
        <f t="shared" si="130"/>
        <v>06</v>
      </c>
      <c r="T405" s="13" t="str">
        <f t="shared" si="131"/>
        <v>BOTTLES</v>
      </c>
      <c r="U405" s="13" t="str">
        <f t="shared" si="132"/>
        <v>bottles</v>
      </c>
      <c r="V405" s="13">
        <f t="shared" si="133"/>
        <v>2</v>
      </c>
      <c r="W405" s="13" t="str">
        <f t="shared" si="134"/>
        <v>T080710 4</v>
      </c>
      <c r="X405" s="13" t="str">
        <f t="shared" si="135"/>
        <v>S55253</v>
      </c>
      <c r="Y405" s="13" t="str">
        <f t="shared" si="136"/>
        <v>T08</v>
      </c>
      <c r="Z405" s="13" t="str">
        <f t="shared" si="137"/>
        <v>710</v>
      </c>
      <c r="AA405" s="13">
        <f t="shared" si="138"/>
        <v>2</v>
      </c>
      <c r="AB405" s="13">
        <f t="shared" si="139"/>
        <v>7</v>
      </c>
      <c r="AC405" s="13"/>
      <c r="AD405" s="13"/>
      <c r="AE405" s="13"/>
    </row>
    <row r="406" spans="1:31" ht="30" x14ac:dyDescent="0.25">
      <c r="A406" s="9" t="s">
        <v>84</v>
      </c>
      <c r="B406" s="9" t="s">
        <v>1392</v>
      </c>
      <c r="C406" s="9" t="s">
        <v>1393</v>
      </c>
      <c r="D406" s="9" t="s">
        <v>1394</v>
      </c>
      <c r="E406" s="9" t="s">
        <v>1395</v>
      </c>
      <c r="F406" s="9">
        <v>4</v>
      </c>
      <c r="G406" s="9" t="s">
        <v>411</v>
      </c>
      <c r="H406" s="9">
        <v>16</v>
      </c>
      <c r="I406" s="13">
        <f t="shared" si="120"/>
        <v>64</v>
      </c>
      <c r="J406" s="13">
        <f t="shared" si="121"/>
        <v>328</v>
      </c>
      <c r="K406" s="13">
        <f t="shared" si="122"/>
        <v>324</v>
      </c>
      <c r="L406" s="13">
        <f t="shared" si="123"/>
        <v>16</v>
      </c>
      <c r="M406" s="13">
        <f t="shared" si="124"/>
        <v>1</v>
      </c>
      <c r="N406" s="13" t="b">
        <f t="shared" si="125"/>
        <v>0</v>
      </c>
      <c r="O406" s="13" t="b">
        <f t="shared" si="126"/>
        <v>1</v>
      </c>
      <c r="P406" s="13" t="str">
        <f t="shared" si="127"/>
        <v>C000862-pack</v>
      </c>
      <c r="Q406" s="14" t="str">
        <f t="shared" si="128"/>
        <v>T033422
4</v>
      </c>
      <c r="R406" s="13" t="b">
        <f t="shared" si="129"/>
        <v>0</v>
      </c>
      <c r="S406" s="13" t="str">
        <f t="shared" si="130"/>
        <v>24</v>
      </c>
      <c r="T406" s="13" t="str">
        <f t="shared" si="131"/>
        <v>PACK</v>
      </c>
      <c r="U406" s="13" t="str">
        <f t="shared" si="132"/>
        <v>pack</v>
      </c>
      <c r="V406" s="13">
        <f t="shared" si="133"/>
        <v>2</v>
      </c>
      <c r="W406" s="13" t="str">
        <f t="shared" si="134"/>
        <v>T033422 4</v>
      </c>
      <c r="X406" s="13" t="str">
        <f t="shared" si="135"/>
        <v>S5557</v>
      </c>
      <c r="Y406" s="13" t="str">
        <f t="shared" si="136"/>
        <v>T03</v>
      </c>
      <c r="Z406" s="13" t="str">
        <f t="shared" si="137"/>
        <v>422</v>
      </c>
      <c r="AA406" s="13">
        <f t="shared" si="138"/>
        <v>2</v>
      </c>
      <c r="AB406" s="13">
        <f t="shared" si="139"/>
        <v>4</v>
      </c>
      <c r="AC406" s="13"/>
      <c r="AD406" s="13"/>
      <c r="AE406" s="13"/>
    </row>
    <row r="407" spans="1:31" ht="30" x14ac:dyDescent="0.25">
      <c r="A407" s="9" t="s">
        <v>297</v>
      </c>
      <c r="B407" s="9" t="s">
        <v>1396</v>
      </c>
      <c r="C407" s="9" t="s">
        <v>1397</v>
      </c>
      <c r="D407" s="9" t="s">
        <v>123</v>
      </c>
      <c r="E407" s="9" t="s">
        <v>307</v>
      </c>
      <c r="F407" s="9">
        <v>8</v>
      </c>
      <c r="G407" s="9" t="s">
        <v>14</v>
      </c>
      <c r="H407" s="9">
        <v>15</v>
      </c>
      <c r="I407" s="13">
        <f t="shared" si="120"/>
        <v>120</v>
      </c>
      <c r="J407" s="13">
        <f t="shared" si="121"/>
        <v>169.5</v>
      </c>
      <c r="K407" s="13">
        <f t="shared" si="122"/>
        <v>162</v>
      </c>
      <c r="L407" s="13">
        <f t="shared" si="123"/>
        <v>580.5</v>
      </c>
      <c r="M407" s="13">
        <f t="shared" si="124"/>
        <v>31</v>
      </c>
      <c r="N407" s="13" t="b">
        <f t="shared" si="125"/>
        <v>0</v>
      </c>
      <c r="O407" s="13" t="b">
        <f t="shared" si="126"/>
        <v>1</v>
      </c>
      <c r="P407" s="13" t="str">
        <f t="shared" si="127"/>
        <v>C007406-ct</v>
      </c>
      <c r="Q407" s="14" t="str">
        <f t="shared" si="128"/>
        <v>T066381
8</v>
      </c>
      <c r="R407" s="13" t="b">
        <f t="shared" si="129"/>
        <v>0</v>
      </c>
      <c r="S407" s="13" t="str">
        <f t="shared" si="130"/>
        <v>12</v>
      </c>
      <c r="T407" s="13" t="str">
        <f t="shared" si="131"/>
        <v>CT</v>
      </c>
      <c r="U407" s="13" t="str">
        <f t="shared" si="132"/>
        <v>ct</v>
      </c>
      <c r="V407" s="13">
        <f t="shared" si="133"/>
        <v>2</v>
      </c>
      <c r="W407" s="13" t="str">
        <f t="shared" si="134"/>
        <v>T066381 8</v>
      </c>
      <c r="X407" s="13" t="str">
        <f t="shared" si="135"/>
        <v>S55338</v>
      </c>
      <c r="Y407" s="13" t="str">
        <f t="shared" si="136"/>
        <v>T06</v>
      </c>
      <c r="Z407" s="13" t="str">
        <f t="shared" si="137"/>
        <v>381</v>
      </c>
      <c r="AA407" s="13">
        <f t="shared" si="138"/>
        <v>2</v>
      </c>
      <c r="AB407" s="13">
        <f t="shared" si="139"/>
        <v>2</v>
      </c>
      <c r="AC407" s="13"/>
      <c r="AD407" s="13"/>
      <c r="AE407" s="13"/>
    </row>
    <row r="408" spans="1:31" ht="30" x14ac:dyDescent="0.25">
      <c r="A408" s="9" t="s">
        <v>171</v>
      </c>
      <c r="B408" s="9" t="s">
        <v>1398</v>
      </c>
      <c r="C408" s="9" t="s">
        <v>1399</v>
      </c>
      <c r="D408" s="9" t="s">
        <v>72</v>
      </c>
      <c r="E408" s="9" t="s">
        <v>1400</v>
      </c>
      <c r="F408" s="9">
        <v>3</v>
      </c>
      <c r="G408" s="9" t="s">
        <v>36</v>
      </c>
      <c r="H408" s="9">
        <v>15.5</v>
      </c>
      <c r="I408" s="13">
        <f t="shared" si="120"/>
        <v>46.5</v>
      </c>
      <c r="J408" s="13">
        <f t="shared" si="121"/>
        <v>392</v>
      </c>
      <c r="K408" s="13">
        <f t="shared" si="122"/>
        <v>392</v>
      </c>
      <c r="L408" s="13">
        <f t="shared" si="123"/>
        <v>525.75</v>
      </c>
      <c r="M408" s="13">
        <f t="shared" si="124"/>
        <v>29</v>
      </c>
      <c r="N408" s="13" t="b">
        <f t="shared" si="125"/>
        <v>0</v>
      </c>
      <c r="O408" s="13" t="b">
        <f t="shared" si="126"/>
        <v>1</v>
      </c>
      <c r="P408" s="13" t="str">
        <f t="shared" si="127"/>
        <v>C006561-cans</v>
      </c>
      <c r="Q408" s="14" t="str">
        <f t="shared" si="128"/>
        <v>T056485
3</v>
      </c>
      <c r="R408" s="13" t="b">
        <f t="shared" si="129"/>
        <v>0</v>
      </c>
      <c r="S408" s="13" t="str">
        <f t="shared" si="130"/>
        <v>07</v>
      </c>
      <c r="T408" s="13" t="str">
        <f t="shared" si="131"/>
        <v>CANS</v>
      </c>
      <c r="U408" s="13" t="str">
        <f t="shared" si="132"/>
        <v>cans</v>
      </c>
      <c r="V408" s="13">
        <f t="shared" si="133"/>
        <v>2</v>
      </c>
      <c r="W408" s="13" t="str">
        <f t="shared" si="134"/>
        <v>T056485 3</v>
      </c>
      <c r="X408" s="13" t="str">
        <f t="shared" si="135"/>
        <v>S55195</v>
      </c>
      <c r="Y408" s="13" t="str">
        <f t="shared" si="136"/>
        <v>T05</v>
      </c>
      <c r="Z408" s="13" t="str">
        <f t="shared" si="137"/>
        <v>485</v>
      </c>
      <c r="AA408" s="13">
        <f t="shared" si="138"/>
        <v>2</v>
      </c>
      <c r="AB408" s="13">
        <f t="shared" si="139"/>
        <v>4</v>
      </c>
      <c r="AC408" s="13"/>
      <c r="AD408" s="13"/>
      <c r="AE408" s="13"/>
    </row>
    <row r="409" spans="1:31" ht="30" x14ac:dyDescent="0.25">
      <c r="A409" s="9" t="s">
        <v>9</v>
      </c>
      <c r="B409" s="9" t="s">
        <v>1401</v>
      </c>
      <c r="C409" s="9" t="s">
        <v>1402</v>
      </c>
      <c r="D409" s="9" t="s">
        <v>939</v>
      </c>
      <c r="E409" s="9" t="s">
        <v>1403</v>
      </c>
      <c r="F409" s="9">
        <v>3</v>
      </c>
      <c r="G409" s="9" t="s">
        <v>68</v>
      </c>
      <c r="H409" s="9">
        <v>8</v>
      </c>
      <c r="I409" s="13">
        <f t="shared" si="120"/>
        <v>24</v>
      </c>
      <c r="J409" s="13">
        <f t="shared" si="121"/>
        <v>453</v>
      </c>
      <c r="K409" s="13">
        <f t="shared" si="122"/>
        <v>451</v>
      </c>
      <c r="L409" s="13">
        <f t="shared" si="123"/>
        <v>196</v>
      </c>
      <c r="M409" s="13">
        <f t="shared" si="124"/>
        <v>11</v>
      </c>
      <c r="N409" s="13" t="b">
        <f t="shared" si="125"/>
        <v>0</v>
      </c>
      <c r="O409" s="13" t="b">
        <f t="shared" si="126"/>
        <v>1</v>
      </c>
      <c r="P409" s="13" t="str">
        <f t="shared" si="127"/>
        <v>C008661-bottles</v>
      </c>
      <c r="Q409" s="14" t="str">
        <f t="shared" si="128"/>
        <v>T045977
3</v>
      </c>
      <c r="R409" s="13" t="b">
        <f t="shared" si="129"/>
        <v>0</v>
      </c>
      <c r="S409" s="13" t="str">
        <f t="shared" si="130"/>
        <v>06</v>
      </c>
      <c r="T409" s="13" t="str">
        <f t="shared" si="131"/>
        <v>BOTTLES</v>
      </c>
      <c r="U409" s="13" t="str">
        <f t="shared" si="132"/>
        <v>bottles</v>
      </c>
      <c r="V409" s="13">
        <f t="shared" si="133"/>
        <v>2</v>
      </c>
      <c r="W409" s="13" t="str">
        <f t="shared" si="134"/>
        <v>T045977 3</v>
      </c>
      <c r="X409" s="13" t="str">
        <f t="shared" si="135"/>
        <v>S5523</v>
      </c>
      <c r="Y409" s="13" t="str">
        <f t="shared" si="136"/>
        <v>T04</v>
      </c>
      <c r="Z409" s="13" t="str">
        <f t="shared" si="137"/>
        <v>977</v>
      </c>
      <c r="AA409" s="13">
        <f t="shared" si="138"/>
        <v>2</v>
      </c>
      <c r="AB409" s="13">
        <f t="shared" si="139"/>
        <v>7</v>
      </c>
      <c r="AC409" s="13"/>
      <c r="AD409" s="13"/>
      <c r="AE409" s="13"/>
    </row>
    <row r="410" spans="1:31" ht="30" x14ac:dyDescent="0.25">
      <c r="A410" s="9" t="s">
        <v>125</v>
      </c>
      <c r="B410" s="9" t="s">
        <v>1404</v>
      </c>
      <c r="C410" s="9" t="s">
        <v>1405</v>
      </c>
      <c r="D410" s="9" t="s">
        <v>988</v>
      </c>
      <c r="E410" s="9" t="s">
        <v>1406</v>
      </c>
      <c r="F410" s="9">
        <v>10</v>
      </c>
      <c r="G410" s="9" t="s">
        <v>14</v>
      </c>
      <c r="H410" s="9">
        <v>17</v>
      </c>
      <c r="I410" s="13">
        <f t="shared" si="120"/>
        <v>170</v>
      </c>
      <c r="J410" s="13">
        <f t="shared" si="121"/>
        <v>74</v>
      </c>
      <c r="K410" s="13">
        <f t="shared" si="122"/>
        <v>72</v>
      </c>
      <c r="L410" s="13">
        <f t="shared" si="123"/>
        <v>565.5</v>
      </c>
      <c r="M410" s="13">
        <f t="shared" si="124"/>
        <v>30</v>
      </c>
      <c r="N410" s="13" t="b">
        <f t="shared" si="125"/>
        <v>0</v>
      </c>
      <c r="O410" s="13" t="b">
        <f t="shared" si="126"/>
        <v>1</v>
      </c>
      <c r="P410" s="13" t="str">
        <f t="shared" si="127"/>
        <v>C000881-ct</v>
      </c>
      <c r="Q410" s="14" t="str">
        <f t="shared" si="128"/>
        <v>T044604
10</v>
      </c>
      <c r="R410" s="13" t="b">
        <f t="shared" si="129"/>
        <v>0</v>
      </c>
      <c r="S410" s="13" t="str">
        <f t="shared" si="130"/>
        <v>14</v>
      </c>
      <c r="T410" s="13" t="str">
        <f t="shared" si="131"/>
        <v>CT</v>
      </c>
      <c r="U410" s="13" t="str">
        <f t="shared" si="132"/>
        <v>ct</v>
      </c>
      <c r="V410" s="13">
        <f t="shared" si="133"/>
        <v>2</v>
      </c>
      <c r="W410" s="13" t="str">
        <f t="shared" si="134"/>
        <v>T044604 10</v>
      </c>
      <c r="X410" s="13" t="str">
        <f t="shared" si="135"/>
        <v>S5554</v>
      </c>
      <c r="Y410" s="13" t="str">
        <f t="shared" si="136"/>
        <v>T04</v>
      </c>
      <c r="Z410" s="13" t="str">
        <f t="shared" si="137"/>
        <v>604</v>
      </c>
      <c r="AA410" s="13">
        <f t="shared" si="138"/>
        <v>2</v>
      </c>
      <c r="AB410" s="13">
        <f t="shared" si="139"/>
        <v>2</v>
      </c>
      <c r="AC410" s="13"/>
      <c r="AD410" s="13"/>
      <c r="AE410" s="13"/>
    </row>
    <row r="411" spans="1:31" ht="30" x14ac:dyDescent="0.25">
      <c r="A411" s="9" t="s">
        <v>134</v>
      </c>
      <c r="B411" s="9" t="s">
        <v>1407</v>
      </c>
      <c r="C411" s="9" t="s">
        <v>1408</v>
      </c>
      <c r="D411" s="9" t="s">
        <v>87</v>
      </c>
      <c r="E411" s="9" t="s">
        <v>1409</v>
      </c>
      <c r="F411" s="9">
        <v>10</v>
      </c>
      <c r="G411" s="9" t="s">
        <v>14</v>
      </c>
      <c r="H411" s="9">
        <v>15</v>
      </c>
      <c r="I411" s="13">
        <f t="shared" si="120"/>
        <v>150</v>
      </c>
      <c r="J411" s="13">
        <f t="shared" si="121"/>
        <v>111</v>
      </c>
      <c r="K411" s="13">
        <f t="shared" si="122"/>
        <v>110</v>
      </c>
      <c r="L411" s="13">
        <f t="shared" si="123"/>
        <v>548.5</v>
      </c>
      <c r="M411" s="13">
        <f t="shared" si="124"/>
        <v>29</v>
      </c>
      <c r="N411" s="13" t="b">
        <f t="shared" si="125"/>
        <v>0</v>
      </c>
      <c r="O411" s="13" t="b">
        <f t="shared" si="126"/>
        <v>1</v>
      </c>
      <c r="P411" s="13" t="str">
        <f t="shared" si="127"/>
        <v>C005058-ct</v>
      </c>
      <c r="Q411" s="14" t="str">
        <f t="shared" si="128"/>
        <v>T067870
10</v>
      </c>
      <c r="R411" s="13" t="b">
        <f t="shared" si="129"/>
        <v>0</v>
      </c>
      <c r="S411" s="13" t="str">
        <f t="shared" si="130"/>
        <v>13</v>
      </c>
      <c r="T411" s="13" t="str">
        <f t="shared" si="131"/>
        <v>CT</v>
      </c>
      <c r="U411" s="13" t="str">
        <f t="shared" si="132"/>
        <v>ct</v>
      </c>
      <c r="V411" s="13">
        <f t="shared" si="133"/>
        <v>2</v>
      </c>
      <c r="W411" s="13" t="str">
        <f t="shared" si="134"/>
        <v>T067870 10</v>
      </c>
      <c r="X411" s="13" t="str">
        <f t="shared" si="135"/>
        <v>S55397</v>
      </c>
      <c r="Y411" s="13" t="str">
        <f t="shared" si="136"/>
        <v>T06</v>
      </c>
      <c r="Z411" s="13" t="str">
        <f t="shared" si="137"/>
        <v>870</v>
      </c>
      <c r="AA411" s="13">
        <f t="shared" si="138"/>
        <v>2</v>
      </c>
      <c r="AB411" s="13">
        <f t="shared" si="139"/>
        <v>2</v>
      </c>
      <c r="AC411" s="13"/>
      <c r="AD411" s="13"/>
      <c r="AE411" s="13"/>
    </row>
    <row r="412" spans="1:31" ht="30" x14ac:dyDescent="0.25">
      <c r="A412" s="9" t="s">
        <v>297</v>
      </c>
      <c r="B412" s="9" t="s">
        <v>1410</v>
      </c>
      <c r="C412" s="9" t="s">
        <v>1411</v>
      </c>
      <c r="D412" s="9" t="s">
        <v>137</v>
      </c>
      <c r="E412" s="9" t="s">
        <v>1173</v>
      </c>
      <c r="F412" s="9">
        <v>4</v>
      </c>
      <c r="G412" s="9" t="s">
        <v>115</v>
      </c>
      <c r="H412" s="9">
        <v>15</v>
      </c>
      <c r="I412" s="13">
        <f t="shared" si="120"/>
        <v>60</v>
      </c>
      <c r="J412" s="13">
        <f t="shared" si="121"/>
        <v>344.5</v>
      </c>
      <c r="K412" s="13">
        <f t="shared" si="122"/>
        <v>337</v>
      </c>
      <c r="L412" s="13">
        <f t="shared" si="123"/>
        <v>111</v>
      </c>
      <c r="M412" s="13">
        <f t="shared" si="124"/>
        <v>7</v>
      </c>
      <c r="N412" s="13" t="b">
        <f t="shared" si="125"/>
        <v>0</v>
      </c>
      <c r="O412" s="13" t="b">
        <f t="shared" si="126"/>
        <v>1</v>
      </c>
      <c r="P412" s="13" t="str">
        <f t="shared" si="127"/>
        <v>C005078-bags</v>
      </c>
      <c r="Q412" s="14" t="str">
        <f t="shared" si="128"/>
        <v>T069039
4</v>
      </c>
      <c r="R412" s="13" t="b">
        <f t="shared" si="129"/>
        <v>0</v>
      </c>
      <c r="S412" s="13" t="str">
        <f t="shared" si="130"/>
        <v>15</v>
      </c>
      <c r="T412" s="13" t="str">
        <f t="shared" si="131"/>
        <v>BAGS</v>
      </c>
      <c r="U412" s="13" t="str">
        <f t="shared" si="132"/>
        <v>bags</v>
      </c>
      <c r="V412" s="13">
        <f t="shared" si="133"/>
        <v>2</v>
      </c>
      <c r="W412" s="13" t="str">
        <f t="shared" si="134"/>
        <v>T069039 4</v>
      </c>
      <c r="X412" s="13" t="str">
        <f t="shared" si="135"/>
        <v>S55634</v>
      </c>
      <c r="Y412" s="13" t="str">
        <f t="shared" si="136"/>
        <v>T06</v>
      </c>
      <c r="Z412" s="13" t="str">
        <f t="shared" si="137"/>
        <v>039</v>
      </c>
      <c r="AA412" s="13">
        <f t="shared" si="138"/>
        <v>2</v>
      </c>
      <c r="AB412" s="13">
        <f t="shared" si="139"/>
        <v>4</v>
      </c>
      <c r="AC412" s="13"/>
      <c r="AD412" s="13"/>
      <c r="AE412" s="13"/>
    </row>
    <row r="413" spans="1:31" ht="30" x14ac:dyDescent="0.25">
      <c r="A413" s="9" t="s">
        <v>110</v>
      </c>
      <c r="B413" s="9" t="s">
        <v>1412</v>
      </c>
      <c r="C413" s="9" t="s">
        <v>1413</v>
      </c>
      <c r="D413" s="9" t="s">
        <v>853</v>
      </c>
      <c r="E413" s="9" t="s">
        <v>1267</v>
      </c>
      <c r="F413" s="9">
        <v>6</v>
      </c>
      <c r="G413" s="9" t="s">
        <v>14</v>
      </c>
      <c r="H413" s="9">
        <v>11</v>
      </c>
      <c r="I413" s="13">
        <f t="shared" si="120"/>
        <v>66</v>
      </c>
      <c r="J413" s="13">
        <f t="shared" si="121"/>
        <v>317</v>
      </c>
      <c r="K413" s="13">
        <f t="shared" si="122"/>
        <v>315</v>
      </c>
      <c r="L413" s="13">
        <f t="shared" si="123"/>
        <v>533.5</v>
      </c>
      <c r="M413" s="13">
        <f t="shared" si="124"/>
        <v>28</v>
      </c>
      <c r="N413" s="13" t="b">
        <f t="shared" si="125"/>
        <v>0</v>
      </c>
      <c r="O413" s="13" t="b">
        <f t="shared" si="126"/>
        <v>1</v>
      </c>
      <c r="P413" s="13" t="str">
        <f t="shared" si="127"/>
        <v>C006988-ct</v>
      </c>
      <c r="Q413" s="14" t="str">
        <f t="shared" si="128"/>
        <v>T02631
6</v>
      </c>
      <c r="R413" s="13" t="b">
        <f t="shared" si="129"/>
        <v>0</v>
      </c>
      <c r="S413" s="13" t="str">
        <f t="shared" si="130"/>
        <v>25</v>
      </c>
      <c r="T413" s="13" t="str">
        <f t="shared" si="131"/>
        <v>CT</v>
      </c>
      <c r="U413" s="13" t="str">
        <f t="shared" si="132"/>
        <v>ct</v>
      </c>
      <c r="V413" s="13">
        <f t="shared" si="133"/>
        <v>2</v>
      </c>
      <c r="W413" s="13" t="str">
        <f t="shared" si="134"/>
        <v>T02631 6</v>
      </c>
      <c r="X413" s="13" t="str">
        <f t="shared" si="135"/>
        <v>S55579</v>
      </c>
      <c r="Y413" s="13" t="str">
        <f t="shared" si="136"/>
        <v>T02</v>
      </c>
      <c r="Z413" s="13" t="str">
        <f t="shared" si="137"/>
        <v>631</v>
      </c>
      <c r="AA413" s="13">
        <f t="shared" si="138"/>
        <v>2</v>
      </c>
      <c r="AB413" s="13">
        <f t="shared" si="139"/>
        <v>2</v>
      </c>
      <c r="AC413" s="13"/>
      <c r="AD413" s="13"/>
      <c r="AE413" s="13"/>
    </row>
    <row r="414" spans="1:31" ht="30" x14ac:dyDescent="0.25">
      <c r="A414" s="9" t="s">
        <v>182</v>
      </c>
      <c r="B414" s="9" t="s">
        <v>1414</v>
      </c>
      <c r="C414" s="9" t="s">
        <v>1415</v>
      </c>
      <c r="D414" s="9" t="s">
        <v>1416</v>
      </c>
      <c r="E414" s="9" t="s">
        <v>1417</v>
      </c>
      <c r="F414" s="9">
        <v>1</v>
      </c>
      <c r="G414" s="9" t="s">
        <v>14</v>
      </c>
      <c r="H414" s="9">
        <v>14</v>
      </c>
      <c r="I414" s="13">
        <f t="shared" si="120"/>
        <v>14</v>
      </c>
      <c r="J414" s="13">
        <f t="shared" si="121"/>
        <v>481.5</v>
      </c>
      <c r="K414" s="13">
        <f t="shared" si="122"/>
        <v>481</v>
      </c>
      <c r="L414" s="13">
        <f t="shared" si="123"/>
        <v>522.5</v>
      </c>
      <c r="M414" s="13">
        <f t="shared" si="124"/>
        <v>27</v>
      </c>
      <c r="N414" s="13" t="b">
        <f t="shared" si="125"/>
        <v>0</v>
      </c>
      <c r="O414" s="13" t="b">
        <f t="shared" si="126"/>
        <v>1</v>
      </c>
      <c r="P414" s="13" t="str">
        <f t="shared" si="127"/>
        <v>C005421-ct</v>
      </c>
      <c r="Q414" s="14" t="str">
        <f t="shared" si="128"/>
        <v>T01302
1</v>
      </c>
      <c r="R414" s="13" t="b">
        <f t="shared" si="129"/>
        <v>0</v>
      </c>
      <c r="S414" s="13" t="str">
        <f t="shared" si="130"/>
        <v>20</v>
      </c>
      <c r="T414" s="13" t="str">
        <f t="shared" si="131"/>
        <v>CT</v>
      </c>
      <c r="U414" s="13" t="str">
        <f t="shared" si="132"/>
        <v>ct</v>
      </c>
      <c r="V414" s="13">
        <f t="shared" si="133"/>
        <v>2</v>
      </c>
      <c r="W414" s="13" t="str">
        <f t="shared" si="134"/>
        <v>T01302 1</v>
      </c>
      <c r="X414" s="13" t="str">
        <f t="shared" si="135"/>
        <v>S55286</v>
      </c>
      <c r="Y414" s="13" t="str">
        <f t="shared" si="136"/>
        <v>T01</v>
      </c>
      <c r="Z414" s="13" t="str">
        <f t="shared" si="137"/>
        <v>302</v>
      </c>
      <c r="AA414" s="13">
        <f t="shared" si="138"/>
        <v>2</v>
      </c>
      <c r="AB414" s="13">
        <f t="shared" si="139"/>
        <v>2</v>
      </c>
      <c r="AC414" s="13"/>
      <c r="AD414" s="13"/>
      <c r="AE414" s="13"/>
    </row>
    <row r="415" spans="1:31" ht="30" x14ac:dyDescent="0.25">
      <c r="A415" s="9" t="s">
        <v>233</v>
      </c>
      <c r="B415" s="9" t="s">
        <v>147</v>
      </c>
      <c r="C415" s="9" t="s">
        <v>1418</v>
      </c>
      <c r="D415" s="9" t="s">
        <v>557</v>
      </c>
      <c r="E415" s="9" t="s">
        <v>1419</v>
      </c>
      <c r="F415" s="9">
        <v>4</v>
      </c>
      <c r="G415" s="9" t="s">
        <v>36</v>
      </c>
      <c r="H415" s="9">
        <v>8</v>
      </c>
      <c r="I415" s="13">
        <f t="shared" si="120"/>
        <v>32</v>
      </c>
      <c r="J415" s="13">
        <f t="shared" si="121"/>
        <v>435</v>
      </c>
      <c r="K415" s="13">
        <f t="shared" si="122"/>
        <v>433</v>
      </c>
      <c r="L415" s="13">
        <f t="shared" si="123"/>
        <v>510.25</v>
      </c>
      <c r="M415" s="13">
        <f t="shared" si="124"/>
        <v>28</v>
      </c>
      <c r="N415" s="13" t="b">
        <f t="shared" si="125"/>
        <v>0</v>
      </c>
      <c r="O415" s="13" t="b">
        <f t="shared" si="126"/>
        <v>1</v>
      </c>
      <c r="P415" s="13" t="str">
        <f t="shared" si="127"/>
        <v>C009102-cans</v>
      </c>
      <c r="Q415" s="14" t="str">
        <f t="shared" si="128"/>
        <v>T050672
4</v>
      </c>
      <c r="R415" s="13" t="b">
        <f t="shared" si="129"/>
        <v>0</v>
      </c>
      <c r="S415" s="13" t="str">
        <f t="shared" si="130"/>
        <v>04</v>
      </c>
      <c r="T415" s="13" t="str">
        <f t="shared" si="131"/>
        <v>CANS</v>
      </c>
      <c r="U415" s="13" t="str">
        <f t="shared" si="132"/>
        <v>cans</v>
      </c>
      <c r="V415" s="13">
        <f t="shared" si="133"/>
        <v>2</v>
      </c>
      <c r="W415" s="13" t="str">
        <f t="shared" si="134"/>
        <v>T050672 4</v>
      </c>
      <c r="X415" s="13" t="str">
        <f t="shared" si="135"/>
        <v>S55277</v>
      </c>
      <c r="Y415" s="13" t="str">
        <f t="shared" si="136"/>
        <v>T05</v>
      </c>
      <c r="Z415" s="13" t="str">
        <f t="shared" si="137"/>
        <v>672</v>
      </c>
      <c r="AA415" s="13">
        <f t="shared" si="138"/>
        <v>2</v>
      </c>
      <c r="AB415" s="13">
        <f t="shared" si="139"/>
        <v>4</v>
      </c>
      <c r="AC415" s="13"/>
      <c r="AD415" s="13"/>
      <c r="AE415" s="13"/>
    </row>
    <row r="416" spans="1:31" ht="30" x14ac:dyDescent="0.25">
      <c r="A416" s="9" t="s">
        <v>297</v>
      </c>
      <c r="B416" s="9" t="s">
        <v>1420</v>
      </c>
      <c r="C416" s="9" t="s">
        <v>1421</v>
      </c>
      <c r="D416" s="9" t="s">
        <v>1422</v>
      </c>
      <c r="E416" s="9" t="s">
        <v>1423</v>
      </c>
      <c r="F416" s="9">
        <v>8</v>
      </c>
      <c r="G416" s="9" t="s">
        <v>14</v>
      </c>
      <c r="H416" s="9">
        <v>14</v>
      </c>
      <c r="I416" s="13">
        <f t="shared" si="120"/>
        <v>112</v>
      </c>
      <c r="J416" s="13">
        <f t="shared" si="121"/>
        <v>188.5</v>
      </c>
      <c r="K416" s="13">
        <f t="shared" si="122"/>
        <v>186</v>
      </c>
      <c r="L416" s="13">
        <f t="shared" si="123"/>
        <v>508.5</v>
      </c>
      <c r="M416" s="13">
        <f t="shared" si="124"/>
        <v>26</v>
      </c>
      <c r="N416" s="13" t="b">
        <f t="shared" si="125"/>
        <v>0</v>
      </c>
      <c r="O416" s="13" t="b">
        <f t="shared" si="126"/>
        <v>1</v>
      </c>
      <c r="P416" s="13" t="str">
        <f t="shared" si="127"/>
        <v>C000976-ct</v>
      </c>
      <c r="Q416" s="14" t="str">
        <f t="shared" si="128"/>
        <v>T020286
8</v>
      </c>
      <c r="R416" s="13" t="b">
        <f t="shared" si="129"/>
        <v>0</v>
      </c>
      <c r="S416" s="13" t="str">
        <f t="shared" si="130"/>
        <v>20</v>
      </c>
      <c r="T416" s="13" t="str">
        <f t="shared" si="131"/>
        <v>CT</v>
      </c>
      <c r="U416" s="13" t="str">
        <f t="shared" si="132"/>
        <v>ct</v>
      </c>
      <c r="V416" s="13">
        <f t="shared" si="133"/>
        <v>2</v>
      </c>
      <c r="W416" s="13" t="str">
        <f t="shared" si="134"/>
        <v>T020286 8</v>
      </c>
      <c r="X416" s="13" t="str">
        <f t="shared" si="135"/>
        <v>S55173</v>
      </c>
      <c r="Y416" s="13" t="str">
        <f t="shared" si="136"/>
        <v>T02</v>
      </c>
      <c r="Z416" s="13" t="str">
        <f t="shared" si="137"/>
        <v>286</v>
      </c>
      <c r="AA416" s="13">
        <f t="shared" si="138"/>
        <v>2</v>
      </c>
      <c r="AB416" s="13">
        <f t="shared" si="139"/>
        <v>2</v>
      </c>
      <c r="AC416" s="13"/>
      <c r="AD416" s="13"/>
      <c r="AE416" s="13"/>
    </row>
    <row r="417" spans="1:31" ht="30" x14ac:dyDescent="0.25">
      <c r="A417" s="9" t="s">
        <v>752</v>
      </c>
      <c r="B417" s="9" t="s">
        <v>1424</v>
      </c>
      <c r="C417" s="9" t="s">
        <v>1425</v>
      </c>
      <c r="D417" s="9" t="s">
        <v>1426</v>
      </c>
      <c r="E417" s="9" t="s">
        <v>200</v>
      </c>
      <c r="F417" s="9">
        <v>3</v>
      </c>
      <c r="G417" s="9" t="s">
        <v>36</v>
      </c>
      <c r="H417" s="9">
        <v>6.75</v>
      </c>
      <c r="I417" s="13">
        <f t="shared" si="120"/>
        <v>20.25</v>
      </c>
      <c r="J417" s="13">
        <f t="shared" si="121"/>
        <v>459.5</v>
      </c>
      <c r="K417" s="13">
        <f t="shared" si="122"/>
        <v>458</v>
      </c>
      <c r="L417" s="13">
        <f t="shared" si="123"/>
        <v>502.25</v>
      </c>
      <c r="M417" s="13">
        <f t="shared" si="124"/>
        <v>27</v>
      </c>
      <c r="N417" s="13" t="b">
        <f t="shared" si="125"/>
        <v>0</v>
      </c>
      <c r="O417" s="13" t="b">
        <f t="shared" si="126"/>
        <v>1</v>
      </c>
      <c r="P417" s="13" t="str">
        <f t="shared" si="127"/>
        <v>C003434-cans</v>
      </c>
      <c r="Q417" s="14" t="str">
        <f t="shared" si="128"/>
        <v>T086899
3</v>
      </c>
      <c r="R417" s="13" t="b">
        <f t="shared" si="129"/>
        <v>0</v>
      </c>
      <c r="S417" s="13" t="str">
        <f t="shared" si="130"/>
        <v>01</v>
      </c>
      <c r="T417" s="13" t="str">
        <f t="shared" si="131"/>
        <v>CANS</v>
      </c>
      <c r="U417" s="13" t="str">
        <f t="shared" si="132"/>
        <v>cans</v>
      </c>
      <c r="V417" s="13">
        <f t="shared" si="133"/>
        <v>2</v>
      </c>
      <c r="W417" s="13" t="str">
        <f t="shared" si="134"/>
        <v>T086899 3</v>
      </c>
      <c r="X417" s="13" t="str">
        <f t="shared" si="135"/>
        <v>S5537</v>
      </c>
      <c r="Y417" s="13" t="str">
        <f t="shared" si="136"/>
        <v>T08</v>
      </c>
      <c r="Z417" s="13" t="str">
        <f t="shared" si="137"/>
        <v>899</v>
      </c>
      <c r="AA417" s="13">
        <f t="shared" si="138"/>
        <v>2</v>
      </c>
      <c r="AB417" s="13">
        <f t="shared" si="139"/>
        <v>4</v>
      </c>
      <c r="AC417" s="13"/>
      <c r="AD417" s="13"/>
      <c r="AE417" s="13"/>
    </row>
    <row r="418" spans="1:31" ht="30" x14ac:dyDescent="0.25">
      <c r="A418" s="9" t="s">
        <v>21</v>
      </c>
      <c r="B418" s="9" t="s">
        <v>1427</v>
      </c>
      <c r="C418" s="9" t="s">
        <v>1428</v>
      </c>
      <c r="D418" s="9" t="s">
        <v>1429</v>
      </c>
      <c r="E418" s="9" t="s">
        <v>1430</v>
      </c>
      <c r="F418" s="9">
        <v>1</v>
      </c>
      <c r="G418" s="9"/>
      <c r="H418" s="9">
        <v>17</v>
      </c>
      <c r="I418" s="13">
        <f t="shared" si="120"/>
        <v>17</v>
      </c>
      <c r="J418" s="13">
        <f t="shared" si="121"/>
        <v>468.5</v>
      </c>
      <c r="K418" s="13">
        <f t="shared" si="122"/>
        <v>468</v>
      </c>
      <c r="L418" s="13">
        <f t="shared" si="123"/>
        <v>0</v>
      </c>
      <c r="M418" s="13">
        <f t="shared" si="124"/>
        <v>0</v>
      </c>
      <c r="N418" s="13" t="b">
        <f t="shared" si="125"/>
        <v>0</v>
      </c>
      <c r="O418" s="13" t="b">
        <f t="shared" si="126"/>
        <v>1</v>
      </c>
      <c r="P418" s="13" t="str">
        <f t="shared" si="127"/>
        <v>C001653-</v>
      </c>
      <c r="Q418" s="14" t="str">
        <f t="shared" si="128"/>
        <v>T053668
1</v>
      </c>
      <c r="R418" s="13" t="b">
        <f t="shared" si="129"/>
        <v>0</v>
      </c>
      <c r="S418" s="13" t="str">
        <f t="shared" si="130"/>
        <v>15</v>
      </c>
      <c r="T418" s="13" t="str">
        <f t="shared" si="131"/>
        <v/>
      </c>
      <c r="U418" s="13" t="str">
        <f t="shared" si="132"/>
        <v/>
      </c>
      <c r="V418" s="13">
        <f t="shared" si="133"/>
        <v>2</v>
      </c>
      <c r="W418" s="13" t="str">
        <f t="shared" si="134"/>
        <v>T053668 1</v>
      </c>
      <c r="X418" s="13" t="str">
        <f t="shared" si="135"/>
        <v>S55327</v>
      </c>
      <c r="Y418" s="13" t="str">
        <f t="shared" si="136"/>
        <v>T05</v>
      </c>
      <c r="Z418" s="13" t="str">
        <f t="shared" si="137"/>
        <v>668</v>
      </c>
      <c r="AA418" s="13">
        <f t="shared" si="138"/>
        <v>2</v>
      </c>
      <c r="AB418" s="13">
        <f t="shared" si="139"/>
        <v>0</v>
      </c>
      <c r="AC418" s="13"/>
      <c r="AD418" s="13"/>
      <c r="AE418" s="13"/>
    </row>
    <row r="419" spans="1:31" ht="30" x14ac:dyDescent="0.25">
      <c r="A419" s="9" t="s">
        <v>146</v>
      </c>
      <c r="B419" s="9" t="s">
        <v>1431</v>
      </c>
      <c r="C419" s="9" t="s">
        <v>1432</v>
      </c>
      <c r="D419" s="9" t="s">
        <v>1433</v>
      </c>
      <c r="E419" s="9" t="s">
        <v>1434</v>
      </c>
      <c r="F419" s="9">
        <v>7</v>
      </c>
      <c r="G419" s="9" t="s">
        <v>36</v>
      </c>
      <c r="H419" s="9">
        <v>6.75</v>
      </c>
      <c r="I419" s="13">
        <f t="shared" si="120"/>
        <v>47.25</v>
      </c>
      <c r="J419" s="13">
        <f t="shared" si="121"/>
        <v>389</v>
      </c>
      <c r="K419" s="13">
        <f t="shared" si="122"/>
        <v>387</v>
      </c>
      <c r="L419" s="13">
        <f t="shared" si="123"/>
        <v>495.5</v>
      </c>
      <c r="M419" s="13">
        <f t="shared" si="124"/>
        <v>26</v>
      </c>
      <c r="N419" s="13" t="b">
        <f t="shared" si="125"/>
        <v>0</v>
      </c>
      <c r="O419" s="13" t="b">
        <f t="shared" si="126"/>
        <v>1</v>
      </c>
      <c r="P419" s="13" t="str">
        <f t="shared" si="127"/>
        <v>C006996-cans</v>
      </c>
      <c r="Q419" s="14" t="str">
        <f t="shared" si="128"/>
        <v>T099461
7</v>
      </c>
      <c r="R419" s="13" t="b">
        <f t="shared" si="129"/>
        <v>0</v>
      </c>
      <c r="S419" s="13" t="str">
        <f t="shared" si="130"/>
        <v>02</v>
      </c>
      <c r="T419" s="13" t="str">
        <f t="shared" si="131"/>
        <v>CANS</v>
      </c>
      <c r="U419" s="13" t="str">
        <f t="shared" si="132"/>
        <v>cans</v>
      </c>
      <c r="V419" s="13">
        <f t="shared" si="133"/>
        <v>2</v>
      </c>
      <c r="W419" s="13" t="str">
        <f t="shared" si="134"/>
        <v>T099461 7</v>
      </c>
      <c r="X419" s="13" t="str">
        <f t="shared" si="135"/>
        <v>S55325</v>
      </c>
      <c r="Y419" s="13" t="str">
        <f t="shared" si="136"/>
        <v>T09</v>
      </c>
      <c r="Z419" s="13" t="str">
        <f t="shared" si="137"/>
        <v>461</v>
      </c>
      <c r="AA419" s="13">
        <f t="shared" si="138"/>
        <v>2</v>
      </c>
      <c r="AB419" s="13">
        <f t="shared" si="139"/>
        <v>4</v>
      </c>
      <c r="AC419" s="13"/>
      <c r="AD419" s="13"/>
      <c r="AE419" s="13"/>
    </row>
    <row r="420" spans="1:31" ht="30" x14ac:dyDescent="0.25">
      <c r="A420" s="9" t="s">
        <v>69</v>
      </c>
      <c r="B420" s="9" t="s">
        <v>1435</v>
      </c>
      <c r="C420" s="9" t="s">
        <v>1436</v>
      </c>
      <c r="D420" s="9" t="s">
        <v>1437</v>
      </c>
      <c r="E420" s="9" t="s">
        <v>1226</v>
      </c>
      <c r="F420" s="9">
        <v>7</v>
      </c>
      <c r="G420" s="9" t="s">
        <v>1081</v>
      </c>
      <c r="H420" s="9">
        <v>15</v>
      </c>
      <c r="I420" s="13">
        <f t="shared" si="120"/>
        <v>105</v>
      </c>
      <c r="J420" s="13">
        <f t="shared" si="121"/>
        <v>202.5</v>
      </c>
      <c r="K420" s="13">
        <f t="shared" si="122"/>
        <v>199</v>
      </c>
      <c r="L420" s="13">
        <f t="shared" si="123"/>
        <v>96</v>
      </c>
      <c r="M420" s="13">
        <f t="shared" si="124"/>
        <v>6</v>
      </c>
      <c r="N420" s="13" t="b">
        <f t="shared" si="125"/>
        <v>0</v>
      </c>
      <c r="O420" s="13" t="b">
        <f t="shared" si="126"/>
        <v>1</v>
      </c>
      <c r="P420" s="13" t="str">
        <f t="shared" si="127"/>
        <v>C007063-Bags</v>
      </c>
      <c r="Q420" s="14" t="str">
        <f t="shared" si="128"/>
        <v>T090647
7</v>
      </c>
      <c r="R420" s="13" t="b">
        <f t="shared" si="129"/>
        <v>0</v>
      </c>
      <c r="S420" s="13" t="str">
        <f t="shared" si="130"/>
        <v>15</v>
      </c>
      <c r="T420" s="13" t="str">
        <f t="shared" si="131"/>
        <v>BAGS</v>
      </c>
      <c r="U420" s="13" t="str">
        <f t="shared" si="132"/>
        <v>bags</v>
      </c>
      <c r="V420" s="13">
        <f t="shared" si="133"/>
        <v>2</v>
      </c>
      <c r="W420" s="13" t="str">
        <f t="shared" si="134"/>
        <v>T090647 7</v>
      </c>
      <c r="X420" s="13" t="str">
        <f t="shared" si="135"/>
        <v>S55235</v>
      </c>
      <c r="Y420" s="13" t="str">
        <f t="shared" si="136"/>
        <v>T09</v>
      </c>
      <c r="Z420" s="13" t="str">
        <f t="shared" si="137"/>
        <v>647</v>
      </c>
      <c r="AA420" s="13">
        <f t="shared" si="138"/>
        <v>2</v>
      </c>
      <c r="AB420" s="13">
        <f t="shared" si="139"/>
        <v>4</v>
      </c>
      <c r="AC420" s="13"/>
      <c r="AD420" s="13"/>
      <c r="AE420" s="13"/>
    </row>
    <row r="421" spans="1:31" ht="30" x14ac:dyDescent="0.25">
      <c r="A421" s="9" t="s">
        <v>130</v>
      </c>
      <c r="B421" s="9" t="s">
        <v>1438</v>
      </c>
      <c r="C421" s="9" t="s">
        <v>1439</v>
      </c>
      <c r="D421" s="9" t="s">
        <v>609</v>
      </c>
      <c r="E421" s="9" t="s">
        <v>1159</v>
      </c>
      <c r="F421" s="9">
        <v>11</v>
      </c>
      <c r="G421" s="9" t="s">
        <v>36</v>
      </c>
      <c r="H421" s="9">
        <v>40</v>
      </c>
      <c r="I421" s="13">
        <f t="shared" si="120"/>
        <v>440</v>
      </c>
      <c r="J421" s="13">
        <f t="shared" si="121"/>
        <v>3.5</v>
      </c>
      <c r="K421" s="13">
        <f t="shared" si="122"/>
        <v>2</v>
      </c>
      <c r="L421" s="13">
        <f t="shared" si="123"/>
        <v>488.75</v>
      </c>
      <c r="M421" s="13">
        <f t="shared" si="124"/>
        <v>25</v>
      </c>
      <c r="N421" s="13" t="b">
        <f t="shared" si="125"/>
        <v>1</v>
      </c>
      <c r="O421" s="13" t="b">
        <f t="shared" si="126"/>
        <v>1</v>
      </c>
      <c r="P421" s="13" t="str">
        <f t="shared" si="127"/>
        <v>C002624-cans</v>
      </c>
      <c r="Q421" s="14" t="str">
        <f t="shared" si="128"/>
        <v>T046497
11</v>
      </c>
      <c r="R421" s="13" t="b">
        <f t="shared" si="129"/>
        <v>0</v>
      </c>
      <c r="S421" s="13" t="str">
        <f t="shared" si="130"/>
        <v>06</v>
      </c>
      <c r="T421" s="13" t="str">
        <f t="shared" si="131"/>
        <v>CANS</v>
      </c>
      <c r="U421" s="13" t="str">
        <f t="shared" si="132"/>
        <v>cans</v>
      </c>
      <c r="V421" s="13">
        <f t="shared" si="133"/>
        <v>2</v>
      </c>
      <c r="W421" s="13" t="str">
        <f t="shared" si="134"/>
        <v>T046497 11</v>
      </c>
      <c r="X421" s="13" t="str">
        <f t="shared" si="135"/>
        <v>S55493</v>
      </c>
      <c r="Y421" s="13" t="str">
        <f t="shared" si="136"/>
        <v>T04</v>
      </c>
      <c r="Z421" s="13" t="str">
        <f t="shared" si="137"/>
        <v>497</v>
      </c>
      <c r="AA421" s="13">
        <f t="shared" si="138"/>
        <v>2</v>
      </c>
      <c r="AB421" s="13">
        <f t="shared" si="139"/>
        <v>4</v>
      </c>
      <c r="AC421" s="13"/>
      <c r="AD421" s="13"/>
      <c r="AE421" s="13"/>
    </row>
    <row r="422" spans="1:31" ht="30" x14ac:dyDescent="0.25">
      <c r="A422" s="9" t="s">
        <v>134</v>
      </c>
      <c r="B422" s="9" t="s">
        <v>1440</v>
      </c>
      <c r="C422" s="9" t="s">
        <v>1441</v>
      </c>
      <c r="D422" s="9" t="s">
        <v>1442</v>
      </c>
      <c r="E422" s="9" t="s">
        <v>1443</v>
      </c>
      <c r="F422" s="9">
        <v>11</v>
      </c>
      <c r="G422" s="9" t="s">
        <v>14</v>
      </c>
      <c r="H422" s="9">
        <v>13</v>
      </c>
      <c r="I422" s="13">
        <f t="shared" si="120"/>
        <v>143</v>
      </c>
      <c r="J422" s="13">
        <f t="shared" si="121"/>
        <v>122.5</v>
      </c>
      <c r="K422" s="13">
        <f t="shared" si="122"/>
        <v>122</v>
      </c>
      <c r="L422" s="13">
        <f t="shared" si="123"/>
        <v>494.5</v>
      </c>
      <c r="M422" s="13">
        <f t="shared" si="124"/>
        <v>25</v>
      </c>
      <c r="N422" s="13" t="b">
        <f t="shared" si="125"/>
        <v>0</v>
      </c>
      <c r="O422" s="13" t="b">
        <f t="shared" si="126"/>
        <v>1</v>
      </c>
      <c r="P422" s="13" t="str">
        <f t="shared" si="127"/>
        <v>C001874-ct</v>
      </c>
      <c r="Q422" s="14" t="str">
        <f t="shared" si="128"/>
        <v>T075988
11</v>
      </c>
      <c r="R422" s="13" t="b">
        <f t="shared" si="129"/>
        <v>0</v>
      </c>
      <c r="S422" s="13" t="str">
        <f t="shared" si="130"/>
        <v>20</v>
      </c>
      <c r="T422" s="13" t="str">
        <f t="shared" si="131"/>
        <v>CT</v>
      </c>
      <c r="U422" s="13" t="str">
        <f t="shared" si="132"/>
        <v>ct</v>
      </c>
      <c r="V422" s="13">
        <f t="shared" si="133"/>
        <v>2</v>
      </c>
      <c r="W422" s="13" t="str">
        <f t="shared" si="134"/>
        <v>T075988 11</v>
      </c>
      <c r="X422" s="13" t="str">
        <f t="shared" si="135"/>
        <v>S55585</v>
      </c>
      <c r="Y422" s="13" t="str">
        <f t="shared" si="136"/>
        <v>T07</v>
      </c>
      <c r="Z422" s="13" t="str">
        <f t="shared" si="137"/>
        <v>988</v>
      </c>
      <c r="AA422" s="13">
        <f t="shared" si="138"/>
        <v>2</v>
      </c>
      <c r="AB422" s="13">
        <f t="shared" si="139"/>
        <v>2</v>
      </c>
      <c r="AC422" s="13"/>
      <c r="AD422" s="13"/>
      <c r="AE422" s="13"/>
    </row>
    <row r="423" spans="1:31" ht="30" x14ac:dyDescent="0.25">
      <c r="A423" s="9" t="s">
        <v>297</v>
      </c>
      <c r="B423" s="9" t="s">
        <v>1444</v>
      </c>
      <c r="C423" s="9" t="s">
        <v>1445</v>
      </c>
      <c r="D423" s="9" t="s">
        <v>180</v>
      </c>
      <c r="E423" s="9" t="s">
        <v>372</v>
      </c>
      <c r="F423" s="9">
        <v>10</v>
      </c>
      <c r="G423" s="9" t="s">
        <v>36</v>
      </c>
      <c r="H423" s="9">
        <v>6.75</v>
      </c>
      <c r="I423" s="13">
        <f t="shared" si="120"/>
        <v>67.5</v>
      </c>
      <c r="J423" s="13">
        <f t="shared" si="121"/>
        <v>311.5</v>
      </c>
      <c r="K423" s="13">
        <f t="shared" si="122"/>
        <v>309</v>
      </c>
      <c r="L423" s="13">
        <f t="shared" si="123"/>
        <v>448.75</v>
      </c>
      <c r="M423" s="13">
        <f t="shared" si="124"/>
        <v>24</v>
      </c>
      <c r="N423" s="13" t="b">
        <f t="shared" si="125"/>
        <v>0</v>
      </c>
      <c r="O423" s="13" t="b">
        <f t="shared" si="126"/>
        <v>1</v>
      </c>
      <c r="P423" s="13" t="str">
        <f t="shared" si="127"/>
        <v>C002851-cans</v>
      </c>
      <c r="Q423" s="14" t="str">
        <f t="shared" si="128"/>
        <v>T070760
10</v>
      </c>
      <c r="R423" s="13" t="b">
        <f t="shared" si="129"/>
        <v>0</v>
      </c>
      <c r="S423" s="13" t="str">
        <f t="shared" si="130"/>
        <v>07</v>
      </c>
      <c r="T423" s="13" t="str">
        <f t="shared" si="131"/>
        <v>CANS</v>
      </c>
      <c r="U423" s="13" t="str">
        <f t="shared" si="132"/>
        <v>cans</v>
      </c>
      <c r="V423" s="13">
        <f t="shared" si="133"/>
        <v>2</v>
      </c>
      <c r="W423" s="13" t="str">
        <f t="shared" si="134"/>
        <v>T070760 10</v>
      </c>
      <c r="X423" s="13" t="str">
        <f t="shared" si="135"/>
        <v>S55591</v>
      </c>
      <c r="Y423" s="13" t="str">
        <f t="shared" si="136"/>
        <v>T07</v>
      </c>
      <c r="Z423" s="13" t="str">
        <f t="shared" si="137"/>
        <v>760</v>
      </c>
      <c r="AA423" s="13">
        <f t="shared" si="138"/>
        <v>2</v>
      </c>
      <c r="AB423" s="13">
        <f t="shared" si="139"/>
        <v>4</v>
      </c>
      <c r="AC423" s="13"/>
      <c r="AD423" s="13"/>
      <c r="AE423" s="13"/>
    </row>
    <row r="424" spans="1:31" ht="30" x14ac:dyDescent="0.25">
      <c r="A424" s="9" t="s">
        <v>105</v>
      </c>
      <c r="B424" s="9" t="s">
        <v>1446</v>
      </c>
      <c r="C424" s="9" t="s">
        <v>1447</v>
      </c>
      <c r="D424" s="9" t="s">
        <v>94</v>
      </c>
      <c r="E424" s="9" t="s">
        <v>1448</v>
      </c>
      <c r="F424" s="9">
        <v>10</v>
      </c>
      <c r="G424" s="9" t="s">
        <v>68</v>
      </c>
      <c r="H424" s="9">
        <v>20</v>
      </c>
      <c r="I424" s="13">
        <f t="shared" si="120"/>
        <v>200</v>
      </c>
      <c r="J424" s="13">
        <f t="shared" si="121"/>
        <v>48</v>
      </c>
      <c r="K424" s="13">
        <f t="shared" si="122"/>
        <v>46</v>
      </c>
      <c r="L424" s="13">
        <f t="shared" si="123"/>
        <v>188</v>
      </c>
      <c r="M424" s="13">
        <f t="shared" si="124"/>
        <v>10</v>
      </c>
      <c r="N424" s="13" t="b">
        <f t="shared" si="125"/>
        <v>0</v>
      </c>
      <c r="O424" s="13" t="b">
        <f t="shared" si="126"/>
        <v>1</v>
      </c>
      <c r="P424" s="13" t="str">
        <f t="shared" si="127"/>
        <v>C003260-bottles</v>
      </c>
      <c r="Q424" s="14" t="str">
        <f t="shared" si="128"/>
        <v>T092522
10</v>
      </c>
      <c r="R424" s="13" t="b">
        <f t="shared" si="129"/>
        <v>0</v>
      </c>
      <c r="S424" s="13" t="str">
        <f t="shared" si="130"/>
        <v>06</v>
      </c>
      <c r="T424" s="13" t="str">
        <f t="shared" si="131"/>
        <v>BOTTLES</v>
      </c>
      <c r="U424" s="13" t="str">
        <f t="shared" si="132"/>
        <v>bottles</v>
      </c>
      <c r="V424" s="13">
        <f t="shared" si="133"/>
        <v>2</v>
      </c>
      <c r="W424" s="13" t="str">
        <f t="shared" si="134"/>
        <v>T092522 10</v>
      </c>
      <c r="X424" s="13" t="str">
        <f t="shared" si="135"/>
        <v>S55476</v>
      </c>
      <c r="Y424" s="13" t="str">
        <f t="shared" si="136"/>
        <v>T09</v>
      </c>
      <c r="Z424" s="13" t="str">
        <f t="shared" si="137"/>
        <v>522</v>
      </c>
      <c r="AA424" s="13">
        <f t="shared" si="138"/>
        <v>2</v>
      </c>
      <c r="AB424" s="13">
        <f t="shared" si="139"/>
        <v>7</v>
      </c>
      <c r="AC424" s="13"/>
      <c r="AD424" s="13"/>
      <c r="AE424" s="13"/>
    </row>
    <row r="425" spans="1:31" ht="30" x14ac:dyDescent="0.25">
      <c r="A425" s="9" t="s">
        <v>100</v>
      </c>
      <c r="B425" s="9" t="s">
        <v>1449</v>
      </c>
      <c r="C425" s="9" t="s">
        <v>1450</v>
      </c>
      <c r="D425" s="9" t="s">
        <v>1322</v>
      </c>
      <c r="E425" s="9" t="s">
        <v>1419</v>
      </c>
      <c r="F425" s="9">
        <v>4</v>
      </c>
      <c r="G425" s="9" t="s">
        <v>278</v>
      </c>
      <c r="H425" s="9">
        <v>15</v>
      </c>
      <c r="I425" s="13">
        <f t="shared" si="120"/>
        <v>60</v>
      </c>
      <c r="J425" s="13">
        <f t="shared" si="121"/>
        <v>344.5</v>
      </c>
      <c r="K425" s="13">
        <f t="shared" si="122"/>
        <v>337</v>
      </c>
      <c r="L425" s="13">
        <f t="shared" si="123"/>
        <v>70</v>
      </c>
      <c r="M425" s="13">
        <f t="shared" si="124"/>
        <v>5</v>
      </c>
      <c r="N425" s="13" t="b">
        <f t="shared" si="125"/>
        <v>0</v>
      </c>
      <c r="O425" s="13" t="b">
        <f t="shared" si="126"/>
        <v>1</v>
      </c>
      <c r="P425" s="13" t="str">
        <f t="shared" si="127"/>
        <v>C005786-ct.</v>
      </c>
      <c r="Q425" s="14" t="str">
        <f t="shared" si="128"/>
        <v>T061288
4</v>
      </c>
      <c r="R425" s="13" t="b">
        <f t="shared" si="129"/>
        <v>0</v>
      </c>
      <c r="S425" s="13" t="str">
        <f t="shared" si="130"/>
        <v>21</v>
      </c>
      <c r="T425" s="13" t="str">
        <f t="shared" si="131"/>
        <v>CT.</v>
      </c>
      <c r="U425" s="13" t="str">
        <f t="shared" si="132"/>
        <v>ct.</v>
      </c>
      <c r="V425" s="13">
        <f t="shared" si="133"/>
        <v>2</v>
      </c>
      <c r="W425" s="13" t="str">
        <f t="shared" si="134"/>
        <v>T061288 4</v>
      </c>
      <c r="X425" s="13" t="str">
        <f t="shared" si="135"/>
        <v>S55277</v>
      </c>
      <c r="Y425" s="13" t="str">
        <f t="shared" si="136"/>
        <v>T06</v>
      </c>
      <c r="Z425" s="13" t="str">
        <f t="shared" si="137"/>
        <v>288</v>
      </c>
      <c r="AA425" s="13">
        <f t="shared" si="138"/>
        <v>2</v>
      </c>
      <c r="AB425" s="13">
        <f t="shared" si="139"/>
        <v>3</v>
      </c>
      <c r="AC425" s="13"/>
      <c r="AD425" s="13"/>
      <c r="AE425" s="13"/>
    </row>
    <row r="426" spans="1:31" ht="30" x14ac:dyDescent="0.25">
      <c r="A426" s="9" t="s">
        <v>155</v>
      </c>
      <c r="B426" s="9" t="s">
        <v>1451</v>
      </c>
      <c r="C426" s="9" t="s">
        <v>1452</v>
      </c>
      <c r="D426" s="9" t="s">
        <v>504</v>
      </c>
      <c r="E426" s="9" t="s">
        <v>1453</v>
      </c>
      <c r="F426" s="9">
        <v>4</v>
      </c>
      <c r="G426" s="9" t="s">
        <v>176</v>
      </c>
      <c r="H426" s="9">
        <v>16</v>
      </c>
      <c r="I426" s="13">
        <f t="shared" si="120"/>
        <v>64</v>
      </c>
      <c r="J426" s="13">
        <f t="shared" si="121"/>
        <v>328</v>
      </c>
      <c r="K426" s="13">
        <f t="shared" si="122"/>
        <v>324</v>
      </c>
      <c r="L426" s="13">
        <f t="shared" si="123"/>
        <v>69</v>
      </c>
      <c r="M426" s="13">
        <f t="shared" si="124"/>
        <v>4</v>
      </c>
      <c r="N426" s="13" t="b">
        <f t="shared" si="125"/>
        <v>0</v>
      </c>
      <c r="O426" s="13" t="b">
        <f t="shared" si="126"/>
        <v>1</v>
      </c>
      <c r="P426" s="13" t="str">
        <f t="shared" si="127"/>
        <v>C002958-oz</v>
      </c>
      <c r="Q426" s="14" t="str">
        <f t="shared" si="128"/>
        <v>T023638
4</v>
      </c>
      <c r="R426" s="13" t="b">
        <f t="shared" si="129"/>
        <v>0</v>
      </c>
      <c r="S426" s="13" t="str">
        <f t="shared" si="130"/>
        <v>24</v>
      </c>
      <c r="T426" s="13" t="str">
        <f t="shared" si="131"/>
        <v>OZ</v>
      </c>
      <c r="U426" s="13" t="str">
        <f t="shared" si="132"/>
        <v>oz</v>
      </c>
      <c r="V426" s="13">
        <f t="shared" si="133"/>
        <v>2</v>
      </c>
      <c r="W426" s="13" t="str">
        <f t="shared" si="134"/>
        <v>T023638 4</v>
      </c>
      <c r="X426" s="13" t="str">
        <f t="shared" si="135"/>
        <v>S55561</v>
      </c>
      <c r="Y426" s="13" t="str">
        <f t="shared" si="136"/>
        <v>T02</v>
      </c>
      <c r="Z426" s="13" t="str">
        <f t="shared" si="137"/>
        <v>638</v>
      </c>
      <c r="AA426" s="13">
        <f t="shared" si="138"/>
        <v>2</v>
      </c>
      <c r="AB426" s="13">
        <f t="shared" si="139"/>
        <v>2</v>
      </c>
      <c r="AC426" s="13"/>
      <c r="AD426" s="13"/>
      <c r="AE426" s="13"/>
    </row>
    <row r="427" spans="1:31" ht="30" x14ac:dyDescent="0.25">
      <c r="A427" s="9" t="s">
        <v>249</v>
      </c>
      <c r="B427" s="9" t="s">
        <v>1454</v>
      </c>
      <c r="C427" s="9" t="s">
        <v>1455</v>
      </c>
      <c r="D427" s="9" t="s">
        <v>845</v>
      </c>
      <c r="E427" s="9" t="s">
        <v>1456</v>
      </c>
      <c r="F427" s="9">
        <v>3</v>
      </c>
      <c r="G427" s="9" t="s">
        <v>36</v>
      </c>
      <c r="H427" s="9">
        <v>16.25</v>
      </c>
      <c r="I427" s="13">
        <f t="shared" si="120"/>
        <v>48.75</v>
      </c>
      <c r="J427" s="13">
        <f t="shared" si="121"/>
        <v>377.5</v>
      </c>
      <c r="K427" s="13">
        <f t="shared" si="122"/>
        <v>377</v>
      </c>
      <c r="L427" s="13">
        <f t="shared" si="123"/>
        <v>442</v>
      </c>
      <c r="M427" s="13">
        <f t="shared" si="124"/>
        <v>23</v>
      </c>
      <c r="N427" s="13" t="b">
        <f t="shared" si="125"/>
        <v>0</v>
      </c>
      <c r="O427" s="13" t="b">
        <f t="shared" si="126"/>
        <v>1</v>
      </c>
      <c r="P427" s="13" t="str">
        <f t="shared" si="127"/>
        <v>C000497-cans</v>
      </c>
      <c r="Q427" s="14" t="str">
        <f t="shared" si="128"/>
        <v>T029875
3</v>
      </c>
      <c r="R427" s="13" t="b">
        <f t="shared" si="129"/>
        <v>0</v>
      </c>
      <c r="S427" s="13" t="str">
        <f t="shared" si="130"/>
        <v>00</v>
      </c>
      <c r="T427" s="13" t="str">
        <f t="shared" si="131"/>
        <v>CANS</v>
      </c>
      <c r="U427" s="13" t="str">
        <f t="shared" si="132"/>
        <v>cans</v>
      </c>
      <c r="V427" s="13">
        <f t="shared" si="133"/>
        <v>2</v>
      </c>
      <c r="W427" s="13" t="str">
        <f t="shared" si="134"/>
        <v>T029875 3</v>
      </c>
      <c r="X427" s="13" t="str">
        <f t="shared" si="135"/>
        <v>S55213</v>
      </c>
      <c r="Y427" s="13" t="str">
        <f t="shared" si="136"/>
        <v>T02</v>
      </c>
      <c r="Z427" s="13" t="str">
        <f t="shared" si="137"/>
        <v>875</v>
      </c>
      <c r="AA427" s="13">
        <f t="shared" si="138"/>
        <v>2</v>
      </c>
      <c r="AB427" s="13">
        <f t="shared" si="139"/>
        <v>4</v>
      </c>
      <c r="AC427" s="13"/>
      <c r="AD427" s="13"/>
      <c r="AE427" s="13"/>
    </row>
    <row r="428" spans="1:31" ht="30" x14ac:dyDescent="0.25">
      <c r="A428" s="9" t="s">
        <v>292</v>
      </c>
      <c r="B428" s="9" t="s">
        <v>1457</v>
      </c>
      <c r="C428" s="9" t="s">
        <v>1458</v>
      </c>
      <c r="D428" s="9" t="s">
        <v>1433</v>
      </c>
      <c r="E428" s="9" t="s">
        <v>175</v>
      </c>
      <c r="F428" s="9">
        <v>3</v>
      </c>
      <c r="G428" s="9" t="s">
        <v>36</v>
      </c>
      <c r="H428" s="9">
        <v>6.75</v>
      </c>
      <c r="I428" s="13">
        <f t="shared" si="120"/>
        <v>20.25</v>
      </c>
      <c r="J428" s="13">
        <f t="shared" si="121"/>
        <v>459.5</v>
      </c>
      <c r="K428" s="13">
        <f t="shared" si="122"/>
        <v>458</v>
      </c>
      <c r="L428" s="13">
        <f t="shared" si="123"/>
        <v>425.75</v>
      </c>
      <c r="M428" s="13">
        <f t="shared" si="124"/>
        <v>22</v>
      </c>
      <c r="N428" s="13" t="b">
        <f t="shared" si="125"/>
        <v>0</v>
      </c>
      <c r="O428" s="13" t="b">
        <f t="shared" si="126"/>
        <v>1</v>
      </c>
      <c r="P428" s="13" t="str">
        <f t="shared" si="127"/>
        <v>C007103-cans</v>
      </c>
      <c r="Q428" s="14" t="str">
        <f t="shared" si="128"/>
        <v>T036470
3</v>
      </c>
      <c r="R428" s="13" t="b">
        <f t="shared" si="129"/>
        <v>0</v>
      </c>
      <c r="S428" s="13" t="str">
        <f t="shared" si="130"/>
        <v>02</v>
      </c>
      <c r="T428" s="13" t="str">
        <f t="shared" si="131"/>
        <v>CANS</v>
      </c>
      <c r="U428" s="13" t="str">
        <f t="shared" si="132"/>
        <v>cans</v>
      </c>
      <c r="V428" s="13">
        <f t="shared" si="133"/>
        <v>2</v>
      </c>
      <c r="W428" s="13" t="str">
        <f t="shared" si="134"/>
        <v>T036470 3</v>
      </c>
      <c r="X428" s="13" t="str">
        <f t="shared" si="135"/>
        <v>S55563</v>
      </c>
      <c r="Y428" s="13" t="str">
        <f t="shared" si="136"/>
        <v>T03</v>
      </c>
      <c r="Z428" s="13" t="str">
        <f t="shared" si="137"/>
        <v>470</v>
      </c>
      <c r="AA428" s="13">
        <f t="shared" si="138"/>
        <v>2</v>
      </c>
      <c r="AB428" s="13">
        <f t="shared" si="139"/>
        <v>4</v>
      </c>
      <c r="AC428" s="13"/>
      <c r="AD428" s="13"/>
      <c r="AE428" s="13"/>
    </row>
    <row r="429" spans="1:31" ht="30" x14ac:dyDescent="0.25">
      <c r="A429" s="9" t="s">
        <v>233</v>
      </c>
      <c r="B429" s="9" t="s">
        <v>1459</v>
      </c>
      <c r="C429" s="9" t="s">
        <v>1460</v>
      </c>
      <c r="D429" s="9" t="s">
        <v>454</v>
      </c>
      <c r="E429" s="9" t="s">
        <v>1461</v>
      </c>
      <c r="F429" s="9">
        <v>11</v>
      </c>
      <c r="G429" s="9" t="s">
        <v>176</v>
      </c>
      <c r="H429" s="9">
        <v>13</v>
      </c>
      <c r="I429" s="13">
        <f t="shared" si="120"/>
        <v>143</v>
      </c>
      <c r="J429" s="13">
        <f t="shared" si="121"/>
        <v>122.5</v>
      </c>
      <c r="K429" s="13">
        <f t="shared" si="122"/>
        <v>122</v>
      </c>
      <c r="L429" s="13">
        <f t="shared" si="123"/>
        <v>53</v>
      </c>
      <c r="M429" s="13">
        <f t="shared" si="124"/>
        <v>3</v>
      </c>
      <c r="N429" s="13" t="b">
        <f t="shared" si="125"/>
        <v>0</v>
      </c>
      <c r="O429" s="13" t="b">
        <f t="shared" si="126"/>
        <v>1</v>
      </c>
      <c r="P429" s="13" t="str">
        <f t="shared" si="127"/>
        <v>C000856-oz</v>
      </c>
      <c r="Q429" s="14" t="str">
        <f t="shared" si="128"/>
        <v>T050710
11</v>
      </c>
      <c r="R429" s="13" t="b">
        <f t="shared" si="129"/>
        <v>0</v>
      </c>
      <c r="S429" s="13" t="str">
        <f t="shared" si="130"/>
        <v>25</v>
      </c>
      <c r="T429" s="13" t="str">
        <f t="shared" si="131"/>
        <v>OZ</v>
      </c>
      <c r="U429" s="13" t="str">
        <f t="shared" si="132"/>
        <v>oz</v>
      </c>
      <c r="V429" s="13">
        <f t="shared" si="133"/>
        <v>2</v>
      </c>
      <c r="W429" s="13" t="str">
        <f t="shared" si="134"/>
        <v>T050710 11</v>
      </c>
      <c r="X429" s="13" t="str">
        <f t="shared" si="135"/>
        <v>S55674</v>
      </c>
      <c r="Y429" s="13" t="str">
        <f t="shared" si="136"/>
        <v>T05</v>
      </c>
      <c r="Z429" s="13" t="str">
        <f t="shared" si="137"/>
        <v>710</v>
      </c>
      <c r="AA429" s="13">
        <f t="shared" si="138"/>
        <v>2</v>
      </c>
      <c r="AB429" s="13">
        <f t="shared" si="139"/>
        <v>2</v>
      </c>
      <c r="AC429" s="13"/>
      <c r="AD429" s="13"/>
      <c r="AE429" s="13"/>
    </row>
    <row r="430" spans="1:31" ht="30" x14ac:dyDescent="0.25">
      <c r="A430" s="9" t="s">
        <v>528</v>
      </c>
      <c r="B430" s="9" t="s">
        <v>1462</v>
      </c>
      <c r="C430" s="9" t="s">
        <v>1463</v>
      </c>
      <c r="D430" s="9" t="s">
        <v>498</v>
      </c>
      <c r="E430" s="9" t="s">
        <v>1464</v>
      </c>
      <c r="F430" s="9">
        <v>2</v>
      </c>
      <c r="G430" s="9" t="s">
        <v>14</v>
      </c>
      <c r="H430" s="9">
        <v>21</v>
      </c>
      <c r="I430" s="13">
        <f t="shared" si="120"/>
        <v>42</v>
      </c>
      <c r="J430" s="13">
        <f t="shared" si="121"/>
        <v>404</v>
      </c>
      <c r="K430" s="13">
        <f t="shared" si="122"/>
        <v>400</v>
      </c>
      <c r="L430" s="13">
        <f t="shared" si="123"/>
        <v>481.5</v>
      </c>
      <c r="M430" s="13">
        <f t="shared" si="124"/>
        <v>24</v>
      </c>
      <c r="N430" s="13" t="b">
        <f t="shared" si="125"/>
        <v>1</v>
      </c>
      <c r="O430" s="13" t="b">
        <f t="shared" si="126"/>
        <v>1</v>
      </c>
      <c r="P430" s="13" t="str">
        <f t="shared" si="127"/>
        <v>C003718-ct</v>
      </c>
      <c r="Q430" s="14" t="str">
        <f t="shared" si="128"/>
        <v>T078623
2</v>
      </c>
      <c r="R430" s="13" t="b">
        <f t="shared" si="129"/>
        <v>0</v>
      </c>
      <c r="S430" s="13" t="str">
        <f t="shared" si="130"/>
        <v>14</v>
      </c>
      <c r="T430" s="13" t="str">
        <f t="shared" si="131"/>
        <v>CT</v>
      </c>
      <c r="U430" s="13" t="str">
        <f t="shared" si="132"/>
        <v>ct</v>
      </c>
      <c r="V430" s="13">
        <f t="shared" si="133"/>
        <v>2</v>
      </c>
      <c r="W430" s="13" t="str">
        <f t="shared" si="134"/>
        <v>T078623 2</v>
      </c>
      <c r="X430" s="13" t="str">
        <f t="shared" si="135"/>
        <v>S55675</v>
      </c>
      <c r="Y430" s="13" t="str">
        <f t="shared" si="136"/>
        <v>T07</v>
      </c>
      <c r="Z430" s="13" t="str">
        <f t="shared" si="137"/>
        <v>623</v>
      </c>
      <c r="AA430" s="13">
        <f t="shared" si="138"/>
        <v>2</v>
      </c>
      <c r="AB430" s="13">
        <f t="shared" si="139"/>
        <v>2</v>
      </c>
      <c r="AC430" s="13"/>
      <c r="AD430" s="13"/>
      <c r="AE430" s="13"/>
    </row>
    <row r="431" spans="1:31" ht="30" x14ac:dyDescent="0.25">
      <c r="A431" s="9" t="s">
        <v>100</v>
      </c>
      <c r="B431" s="9" t="s">
        <v>1465</v>
      </c>
      <c r="C431" s="9" t="s">
        <v>1466</v>
      </c>
      <c r="D431" s="9" t="s">
        <v>310</v>
      </c>
      <c r="E431" s="9" t="s">
        <v>1467</v>
      </c>
      <c r="F431" s="9">
        <v>5</v>
      </c>
      <c r="G431" s="9" t="s">
        <v>36</v>
      </c>
      <c r="H431" s="9">
        <v>55</v>
      </c>
      <c r="I431" s="13">
        <f t="shared" si="120"/>
        <v>275</v>
      </c>
      <c r="J431" s="13">
        <f t="shared" si="121"/>
        <v>21</v>
      </c>
      <c r="K431" s="13">
        <f t="shared" si="122"/>
        <v>21</v>
      </c>
      <c r="L431" s="13">
        <f t="shared" si="123"/>
        <v>419</v>
      </c>
      <c r="M431" s="13">
        <f t="shared" si="124"/>
        <v>21</v>
      </c>
      <c r="N431" s="13" t="b">
        <f t="shared" si="125"/>
        <v>1</v>
      </c>
      <c r="O431" s="13" t="b">
        <f t="shared" si="126"/>
        <v>1</v>
      </c>
      <c r="P431" s="13" t="str">
        <f t="shared" si="127"/>
        <v>C008555-cans</v>
      </c>
      <c r="Q431" s="14" t="str">
        <f t="shared" si="128"/>
        <v>T09145
5</v>
      </c>
      <c r="R431" s="13" t="b">
        <f t="shared" si="129"/>
        <v>0</v>
      </c>
      <c r="S431" s="13" t="str">
        <f t="shared" si="130"/>
        <v>06</v>
      </c>
      <c r="T431" s="13" t="str">
        <f t="shared" si="131"/>
        <v>CANS</v>
      </c>
      <c r="U431" s="13" t="str">
        <f t="shared" si="132"/>
        <v>cans</v>
      </c>
      <c r="V431" s="13">
        <f t="shared" si="133"/>
        <v>2</v>
      </c>
      <c r="W431" s="13" t="str">
        <f t="shared" si="134"/>
        <v>T09145 5</v>
      </c>
      <c r="X431" s="13" t="str">
        <f t="shared" si="135"/>
        <v>S55655</v>
      </c>
      <c r="Y431" s="13" t="str">
        <f t="shared" si="136"/>
        <v>T09</v>
      </c>
      <c r="Z431" s="13" t="str">
        <f t="shared" si="137"/>
        <v>145</v>
      </c>
      <c r="AA431" s="13">
        <f t="shared" si="138"/>
        <v>2</v>
      </c>
      <c r="AB431" s="13">
        <f t="shared" si="139"/>
        <v>4</v>
      </c>
      <c r="AC431" s="13"/>
      <c r="AD431" s="13"/>
      <c r="AE431" s="13"/>
    </row>
    <row r="432" spans="1:31" ht="30" x14ac:dyDescent="0.25">
      <c r="A432" s="9" t="s">
        <v>532</v>
      </c>
      <c r="B432" s="9" t="s">
        <v>1468</v>
      </c>
      <c r="C432" s="9" t="s">
        <v>1469</v>
      </c>
      <c r="D432" s="9" t="s">
        <v>911</v>
      </c>
      <c r="E432" s="9" t="s">
        <v>1470</v>
      </c>
      <c r="F432" s="9">
        <v>11</v>
      </c>
      <c r="G432" s="9" t="s">
        <v>913</v>
      </c>
      <c r="H432" s="9">
        <v>23</v>
      </c>
      <c r="I432" s="13">
        <f t="shared" si="120"/>
        <v>253</v>
      </c>
      <c r="J432" s="13">
        <f t="shared" si="121"/>
        <v>26</v>
      </c>
      <c r="K432" s="13">
        <f t="shared" si="122"/>
        <v>26</v>
      </c>
      <c r="L432" s="13">
        <f t="shared" si="123"/>
        <v>23</v>
      </c>
      <c r="M432" s="13">
        <f t="shared" si="124"/>
        <v>1</v>
      </c>
      <c r="N432" s="13" t="b">
        <f t="shared" si="125"/>
        <v>1</v>
      </c>
      <c r="O432" s="13" t="b">
        <f t="shared" si="126"/>
        <v>1</v>
      </c>
      <c r="P432" s="13" t="str">
        <f t="shared" si="127"/>
        <v>C004485-bars</v>
      </c>
      <c r="Q432" s="14" t="str">
        <f t="shared" si="128"/>
        <v>T088660
11</v>
      </c>
      <c r="R432" s="13" t="b">
        <f t="shared" si="129"/>
        <v>0</v>
      </c>
      <c r="S432" s="13" t="str">
        <f t="shared" si="130"/>
        <v>19</v>
      </c>
      <c r="T432" s="13" t="str">
        <f t="shared" si="131"/>
        <v>BARS</v>
      </c>
      <c r="U432" s="13" t="str">
        <f t="shared" si="132"/>
        <v>bars</v>
      </c>
      <c r="V432" s="13">
        <f t="shared" si="133"/>
        <v>2</v>
      </c>
      <c r="W432" s="13" t="str">
        <f t="shared" si="134"/>
        <v>T088660 11</v>
      </c>
      <c r="X432" s="13" t="str">
        <f t="shared" si="135"/>
        <v>S55332</v>
      </c>
      <c r="Y432" s="13" t="str">
        <f t="shared" si="136"/>
        <v>T08</v>
      </c>
      <c r="Z432" s="13" t="str">
        <f t="shared" si="137"/>
        <v>660</v>
      </c>
      <c r="AA432" s="13">
        <f t="shared" si="138"/>
        <v>2</v>
      </c>
      <c r="AB432" s="13">
        <f t="shared" si="139"/>
        <v>4</v>
      </c>
      <c r="AC432" s="13"/>
      <c r="AD432" s="13"/>
      <c r="AE432" s="13"/>
    </row>
    <row r="433" spans="1:31" ht="30" x14ac:dyDescent="0.25">
      <c r="A433" s="9" t="s">
        <v>532</v>
      </c>
      <c r="B433" s="9" t="s">
        <v>1471</v>
      </c>
      <c r="C433" s="9" t="s">
        <v>1472</v>
      </c>
      <c r="D433" s="9" t="s">
        <v>632</v>
      </c>
      <c r="E433" s="9" t="s">
        <v>1473</v>
      </c>
      <c r="F433" s="9">
        <v>6</v>
      </c>
      <c r="G433" s="9" t="s">
        <v>36</v>
      </c>
      <c r="H433" s="9">
        <v>16.25</v>
      </c>
      <c r="I433" s="13">
        <f t="shared" si="120"/>
        <v>97.5</v>
      </c>
      <c r="J433" s="13">
        <f t="shared" si="121"/>
        <v>225</v>
      </c>
      <c r="K433" s="13">
        <f t="shared" si="122"/>
        <v>223</v>
      </c>
      <c r="L433" s="13">
        <f t="shared" si="123"/>
        <v>364</v>
      </c>
      <c r="M433" s="13">
        <f t="shared" si="124"/>
        <v>20</v>
      </c>
      <c r="N433" s="13" t="b">
        <f t="shared" si="125"/>
        <v>0</v>
      </c>
      <c r="O433" s="13" t="b">
        <f t="shared" si="126"/>
        <v>1</v>
      </c>
      <c r="P433" s="13" t="str">
        <f t="shared" si="127"/>
        <v>C008345-cans</v>
      </c>
      <c r="Q433" s="14" t="str">
        <f t="shared" si="128"/>
        <v>T042469
6</v>
      </c>
      <c r="R433" s="13" t="b">
        <f t="shared" si="129"/>
        <v>0</v>
      </c>
      <c r="S433" s="13" t="str">
        <f t="shared" si="130"/>
        <v>00</v>
      </c>
      <c r="T433" s="13" t="str">
        <f t="shared" si="131"/>
        <v>CANS</v>
      </c>
      <c r="U433" s="13" t="str">
        <f t="shared" si="132"/>
        <v>cans</v>
      </c>
      <c r="V433" s="13">
        <f t="shared" si="133"/>
        <v>2</v>
      </c>
      <c r="W433" s="13" t="str">
        <f t="shared" si="134"/>
        <v>T042469 6</v>
      </c>
      <c r="X433" s="13" t="str">
        <f t="shared" si="135"/>
        <v>S55525</v>
      </c>
      <c r="Y433" s="13" t="str">
        <f t="shared" si="136"/>
        <v>T04</v>
      </c>
      <c r="Z433" s="13" t="str">
        <f t="shared" si="137"/>
        <v>469</v>
      </c>
      <c r="AA433" s="13">
        <f t="shared" si="138"/>
        <v>2</v>
      </c>
      <c r="AB433" s="13">
        <f t="shared" si="139"/>
        <v>4</v>
      </c>
      <c r="AC433" s="13"/>
      <c r="AD433" s="13"/>
      <c r="AE433" s="13"/>
    </row>
    <row r="434" spans="1:31" ht="30" x14ac:dyDescent="0.25">
      <c r="A434" s="9" t="s">
        <v>528</v>
      </c>
      <c r="B434" s="9" t="s">
        <v>1474</v>
      </c>
      <c r="C434" s="9" t="s">
        <v>1475</v>
      </c>
      <c r="D434" s="9" t="s">
        <v>394</v>
      </c>
      <c r="E434" s="9" t="s">
        <v>1476</v>
      </c>
      <c r="F434" s="9">
        <v>3</v>
      </c>
      <c r="G434" s="9" t="s">
        <v>278</v>
      </c>
      <c r="H434" s="9">
        <v>14</v>
      </c>
      <c r="I434" s="13">
        <f t="shared" si="120"/>
        <v>42</v>
      </c>
      <c r="J434" s="13">
        <f t="shared" si="121"/>
        <v>404</v>
      </c>
      <c r="K434" s="13">
        <f t="shared" si="122"/>
        <v>400</v>
      </c>
      <c r="L434" s="13">
        <f t="shared" si="123"/>
        <v>55</v>
      </c>
      <c r="M434" s="13">
        <f t="shared" si="124"/>
        <v>4</v>
      </c>
      <c r="N434" s="13" t="b">
        <f t="shared" si="125"/>
        <v>0</v>
      </c>
      <c r="O434" s="13" t="b">
        <f t="shared" si="126"/>
        <v>1</v>
      </c>
      <c r="P434" s="13" t="str">
        <f t="shared" si="127"/>
        <v>C008999-ct.</v>
      </c>
      <c r="Q434" s="14" t="str">
        <f t="shared" si="128"/>
        <v>T044369
3</v>
      </c>
      <c r="R434" s="13" t="b">
        <f t="shared" si="129"/>
        <v>0</v>
      </c>
      <c r="S434" s="13" t="str">
        <f t="shared" si="130"/>
        <v>21</v>
      </c>
      <c r="T434" s="13" t="str">
        <f t="shared" si="131"/>
        <v>CT.</v>
      </c>
      <c r="U434" s="13" t="str">
        <f t="shared" si="132"/>
        <v>ct.</v>
      </c>
      <c r="V434" s="13">
        <f t="shared" si="133"/>
        <v>2</v>
      </c>
      <c r="W434" s="13" t="str">
        <f t="shared" si="134"/>
        <v>T044369 3</v>
      </c>
      <c r="X434" s="13" t="str">
        <f t="shared" si="135"/>
        <v>S55281</v>
      </c>
      <c r="Y434" s="13" t="str">
        <f t="shared" si="136"/>
        <v>T04</v>
      </c>
      <c r="Z434" s="13" t="str">
        <f t="shared" si="137"/>
        <v>369</v>
      </c>
      <c r="AA434" s="13">
        <f t="shared" si="138"/>
        <v>2</v>
      </c>
      <c r="AB434" s="13">
        <f t="shared" si="139"/>
        <v>3</v>
      </c>
      <c r="AC434" s="13"/>
      <c r="AD434" s="13"/>
      <c r="AE434" s="13"/>
    </row>
    <row r="435" spans="1:31" ht="30" x14ac:dyDescent="0.25">
      <c r="A435" s="9" t="s">
        <v>532</v>
      </c>
      <c r="B435" s="9" t="s">
        <v>1477</v>
      </c>
      <c r="C435" s="9" t="s">
        <v>1478</v>
      </c>
      <c r="D435" s="9" t="s">
        <v>791</v>
      </c>
      <c r="E435" s="9" t="s">
        <v>1217</v>
      </c>
      <c r="F435" s="9">
        <v>5</v>
      </c>
      <c r="G435" s="9" t="s">
        <v>14</v>
      </c>
      <c r="H435" s="9">
        <v>26</v>
      </c>
      <c r="I435" s="13">
        <f t="shared" si="120"/>
        <v>130</v>
      </c>
      <c r="J435" s="13">
        <f t="shared" si="121"/>
        <v>145</v>
      </c>
      <c r="K435" s="13">
        <f t="shared" si="122"/>
        <v>143</v>
      </c>
      <c r="L435" s="13">
        <f t="shared" si="123"/>
        <v>460.5</v>
      </c>
      <c r="M435" s="13">
        <f t="shared" si="124"/>
        <v>23</v>
      </c>
      <c r="N435" s="13" t="b">
        <f t="shared" si="125"/>
        <v>1</v>
      </c>
      <c r="O435" s="13" t="b">
        <f t="shared" si="126"/>
        <v>1</v>
      </c>
      <c r="P435" s="13" t="str">
        <f t="shared" si="127"/>
        <v>C007101-ct</v>
      </c>
      <c r="Q435" s="14" t="str">
        <f t="shared" si="128"/>
        <v>T077876
5</v>
      </c>
      <c r="R435" s="13" t="b">
        <f t="shared" si="129"/>
        <v>0</v>
      </c>
      <c r="S435" s="13" t="str">
        <f t="shared" si="130"/>
        <v>18</v>
      </c>
      <c r="T435" s="13" t="str">
        <f t="shared" si="131"/>
        <v>CT</v>
      </c>
      <c r="U435" s="13" t="str">
        <f t="shared" si="132"/>
        <v>ct</v>
      </c>
      <c r="V435" s="13">
        <f t="shared" si="133"/>
        <v>2</v>
      </c>
      <c r="W435" s="13" t="str">
        <f t="shared" si="134"/>
        <v>T077876 5</v>
      </c>
      <c r="X435" s="13" t="str">
        <f t="shared" si="135"/>
        <v>S55121</v>
      </c>
      <c r="Y435" s="13" t="str">
        <f t="shared" si="136"/>
        <v>T07</v>
      </c>
      <c r="Z435" s="13" t="str">
        <f t="shared" si="137"/>
        <v>876</v>
      </c>
      <c r="AA435" s="13">
        <f t="shared" si="138"/>
        <v>2</v>
      </c>
      <c r="AB435" s="13">
        <f t="shared" si="139"/>
        <v>2</v>
      </c>
      <c r="AC435" s="13"/>
      <c r="AD435" s="13"/>
      <c r="AE435" s="13"/>
    </row>
    <row r="436" spans="1:31" ht="30" x14ac:dyDescent="0.25">
      <c r="A436" s="9" t="s">
        <v>283</v>
      </c>
      <c r="B436" s="9" t="s">
        <v>1479</v>
      </c>
      <c r="C436" s="9" t="s">
        <v>1480</v>
      </c>
      <c r="D436" s="9" t="s">
        <v>868</v>
      </c>
      <c r="E436" s="9" t="s">
        <v>427</v>
      </c>
      <c r="F436" s="9">
        <v>5</v>
      </c>
      <c r="G436" s="9" t="s">
        <v>36</v>
      </c>
      <c r="H436" s="9">
        <v>16</v>
      </c>
      <c r="I436" s="13">
        <f t="shared" si="120"/>
        <v>80</v>
      </c>
      <c r="J436" s="13">
        <f t="shared" si="121"/>
        <v>275</v>
      </c>
      <c r="K436" s="13">
        <f t="shared" si="122"/>
        <v>272</v>
      </c>
      <c r="L436" s="13">
        <f t="shared" si="123"/>
        <v>347.75</v>
      </c>
      <c r="M436" s="13">
        <f t="shared" si="124"/>
        <v>19</v>
      </c>
      <c r="N436" s="13" t="b">
        <f t="shared" si="125"/>
        <v>0</v>
      </c>
      <c r="O436" s="13" t="b">
        <f t="shared" si="126"/>
        <v>1</v>
      </c>
      <c r="P436" s="13" t="str">
        <f t="shared" si="127"/>
        <v>C009113-cans</v>
      </c>
      <c r="Q436" s="14" t="str">
        <f t="shared" si="128"/>
        <v>T090721
5</v>
      </c>
      <c r="R436" s="13" t="b">
        <f t="shared" si="129"/>
        <v>0</v>
      </c>
      <c r="S436" s="13" t="str">
        <f t="shared" si="130"/>
        <v>03</v>
      </c>
      <c r="T436" s="13" t="str">
        <f t="shared" si="131"/>
        <v>CANS</v>
      </c>
      <c r="U436" s="13" t="str">
        <f t="shared" si="132"/>
        <v>cans</v>
      </c>
      <c r="V436" s="13">
        <f t="shared" si="133"/>
        <v>2</v>
      </c>
      <c r="W436" s="13" t="str">
        <f t="shared" si="134"/>
        <v>T090721 5</v>
      </c>
      <c r="X436" s="13" t="str">
        <f t="shared" si="135"/>
        <v>S55255</v>
      </c>
      <c r="Y436" s="13" t="str">
        <f t="shared" si="136"/>
        <v>T09</v>
      </c>
      <c r="Z436" s="13" t="str">
        <f t="shared" si="137"/>
        <v>721</v>
      </c>
      <c r="AA436" s="13">
        <f t="shared" si="138"/>
        <v>2</v>
      </c>
      <c r="AB436" s="13">
        <f t="shared" si="139"/>
        <v>4</v>
      </c>
      <c r="AC436" s="13"/>
      <c r="AD436" s="13"/>
      <c r="AE436" s="13"/>
    </row>
    <row r="437" spans="1:31" ht="30" x14ac:dyDescent="0.25">
      <c r="A437" s="9" t="s">
        <v>752</v>
      </c>
      <c r="B437" s="9" t="s">
        <v>1481</v>
      </c>
      <c r="C437" s="9" t="s">
        <v>1482</v>
      </c>
      <c r="D437" s="9" t="s">
        <v>1483</v>
      </c>
      <c r="E437" s="9" t="s">
        <v>1311</v>
      </c>
      <c r="F437" s="9">
        <v>4</v>
      </c>
      <c r="G437" s="9" t="s">
        <v>176</v>
      </c>
      <c r="H437" s="9">
        <v>20.5</v>
      </c>
      <c r="I437" s="13">
        <f t="shared" si="120"/>
        <v>82</v>
      </c>
      <c r="J437" s="13">
        <f t="shared" si="121"/>
        <v>269</v>
      </c>
      <c r="K437" s="13">
        <f t="shared" si="122"/>
        <v>269</v>
      </c>
      <c r="L437" s="13">
        <f t="shared" si="123"/>
        <v>40</v>
      </c>
      <c r="M437" s="13">
        <f t="shared" si="124"/>
        <v>2</v>
      </c>
      <c r="N437" s="13" t="b">
        <f t="shared" si="125"/>
        <v>1</v>
      </c>
      <c r="O437" s="13" t="b">
        <f t="shared" si="126"/>
        <v>1</v>
      </c>
      <c r="P437" s="13" t="str">
        <f t="shared" si="127"/>
        <v>C007343-oz</v>
      </c>
      <c r="Q437" s="14" t="str">
        <f t="shared" si="128"/>
        <v>T053885
4</v>
      </c>
      <c r="R437" s="13" t="b">
        <f t="shared" si="129"/>
        <v>0</v>
      </c>
      <c r="S437" s="13" t="str">
        <f t="shared" si="130"/>
        <v>21</v>
      </c>
      <c r="T437" s="13" t="str">
        <f t="shared" si="131"/>
        <v>OZ</v>
      </c>
      <c r="U437" s="13" t="str">
        <f t="shared" si="132"/>
        <v>oz</v>
      </c>
      <c r="V437" s="13">
        <f t="shared" si="133"/>
        <v>2</v>
      </c>
      <c r="W437" s="13" t="str">
        <f t="shared" si="134"/>
        <v>T053885 4</v>
      </c>
      <c r="X437" s="13" t="str">
        <f t="shared" si="135"/>
        <v>S55186</v>
      </c>
      <c r="Y437" s="13" t="str">
        <f t="shared" si="136"/>
        <v>T05</v>
      </c>
      <c r="Z437" s="13" t="str">
        <f t="shared" si="137"/>
        <v>885</v>
      </c>
      <c r="AA437" s="13">
        <f t="shared" si="138"/>
        <v>2</v>
      </c>
      <c r="AB437" s="13">
        <f t="shared" si="139"/>
        <v>2</v>
      </c>
      <c r="AC437" s="13"/>
      <c r="AD437" s="13"/>
      <c r="AE437" s="13"/>
    </row>
    <row r="438" spans="1:31" ht="30" x14ac:dyDescent="0.25">
      <c r="A438" s="9" t="s">
        <v>130</v>
      </c>
      <c r="B438" s="9" t="s">
        <v>1484</v>
      </c>
      <c r="C438" s="9" t="s">
        <v>1485</v>
      </c>
      <c r="D438" s="9" t="s">
        <v>1486</v>
      </c>
      <c r="E438" s="9" t="s">
        <v>751</v>
      </c>
      <c r="F438" s="9">
        <v>8</v>
      </c>
      <c r="G438" s="9" t="s">
        <v>14</v>
      </c>
      <c r="H438" s="9">
        <v>15</v>
      </c>
      <c r="I438" s="13">
        <f t="shared" si="120"/>
        <v>120</v>
      </c>
      <c r="J438" s="13">
        <f t="shared" si="121"/>
        <v>169.5</v>
      </c>
      <c r="K438" s="13">
        <f t="shared" si="122"/>
        <v>162</v>
      </c>
      <c r="L438" s="13">
        <f t="shared" si="123"/>
        <v>434.5</v>
      </c>
      <c r="M438" s="13">
        <f t="shared" si="124"/>
        <v>22</v>
      </c>
      <c r="N438" s="13" t="b">
        <f t="shared" si="125"/>
        <v>0</v>
      </c>
      <c r="O438" s="13" t="b">
        <f t="shared" si="126"/>
        <v>1</v>
      </c>
      <c r="P438" s="13" t="str">
        <f t="shared" si="127"/>
        <v>C005110-ct</v>
      </c>
      <c r="Q438" s="14" t="str">
        <f t="shared" si="128"/>
        <v>T061665
8</v>
      </c>
      <c r="R438" s="13" t="b">
        <f t="shared" si="129"/>
        <v>0</v>
      </c>
      <c r="S438" s="13" t="str">
        <f t="shared" si="130"/>
        <v>14</v>
      </c>
      <c r="T438" s="13" t="str">
        <f t="shared" si="131"/>
        <v>CT</v>
      </c>
      <c r="U438" s="13" t="str">
        <f t="shared" si="132"/>
        <v>ct</v>
      </c>
      <c r="V438" s="13">
        <f t="shared" si="133"/>
        <v>2</v>
      </c>
      <c r="W438" s="13" t="str">
        <f t="shared" si="134"/>
        <v>T061665 8</v>
      </c>
      <c r="X438" s="13" t="str">
        <f t="shared" si="135"/>
        <v>S55243</v>
      </c>
      <c r="Y438" s="13" t="str">
        <f t="shared" si="136"/>
        <v>T06</v>
      </c>
      <c r="Z438" s="13" t="str">
        <f t="shared" si="137"/>
        <v>665</v>
      </c>
      <c r="AA438" s="13">
        <f t="shared" si="138"/>
        <v>2</v>
      </c>
      <c r="AB438" s="13">
        <f t="shared" si="139"/>
        <v>2</v>
      </c>
      <c r="AC438" s="13"/>
      <c r="AD438" s="13"/>
      <c r="AE438" s="13"/>
    </row>
    <row r="439" spans="1:31" ht="30" x14ac:dyDescent="0.25">
      <c r="A439" s="9" t="s">
        <v>468</v>
      </c>
      <c r="B439" s="9" t="s">
        <v>1487</v>
      </c>
      <c r="C439" s="9" t="s">
        <v>1488</v>
      </c>
      <c r="D439" s="9" t="s">
        <v>1489</v>
      </c>
      <c r="E439" s="9" t="s">
        <v>1490</v>
      </c>
      <c r="F439" s="9">
        <v>6</v>
      </c>
      <c r="G439" s="9" t="s">
        <v>14</v>
      </c>
      <c r="H439" s="9">
        <v>13</v>
      </c>
      <c r="I439" s="13">
        <f t="shared" si="120"/>
        <v>78</v>
      </c>
      <c r="J439" s="13">
        <f t="shared" si="121"/>
        <v>279.5</v>
      </c>
      <c r="K439" s="13">
        <f t="shared" si="122"/>
        <v>279</v>
      </c>
      <c r="L439" s="13">
        <f t="shared" si="123"/>
        <v>419.5</v>
      </c>
      <c r="M439" s="13">
        <f t="shared" si="124"/>
        <v>21</v>
      </c>
      <c r="N439" s="13" t="b">
        <f t="shared" si="125"/>
        <v>0</v>
      </c>
      <c r="O439" s="13" t="b">
        <f t="shared" si="126"/>
        <v>1</v>
      </c>
      <c r="P439" s="13" t="str">
        <f t="shared" si="127"/>
        <v>C005222-ct</v>
      </c>
      <c r="Q439" s="14" t="str">
        <f t="shared" si="128"/>
        <v>T063291
6</v>
      </c>
      <c r="R439" s="13" t="b">
        <f t="shared" si="129"/>
        <v>0</v>
      </c>
      <c r="S439" s="13" t="str">
        <f t="shared" si="130"/>
        <v>23</v>
      </c>
      <c r="T439" s="13" t="str">
        <f t="shared" si="131"/>
        <v>CT</v>
      </c>
      <c r="U439" s="13" t="str">
        <f t="shared" si="132"/>
        <v>ct</v>
      </c>
      <c r="V439" s="13">
        <f t="shared" si="133"/>
        <v>2</v>
      </c>
      <c r="W439" s="13" t="str">
        <f t="shared" si="134"/>
        <v>T063291 6</v>
      </c>
      <c r="X439" s="13" t="str">
        <f t="shared" si="135"/>
        <v>S55348</v>
      </c>
      <c r="Y439" s="13" t="str">
        <f t="shared" si="136"/>
        <v>T06</v>
      </c>
      <c r="Z439" s="13" t="str">
        <f t="shared" si="137"/>
        <v>291</v>
      </c>
      <c r="AA439" s="13">
        <f t="shared" si="138"/>
        <v>2</v>
      </c>
      <c r="AB439" s="13">
        <f t="shared" si="139"/>
        <v>2</v>
      </c>
      <c r="AC439" s="13"/>
      <c r="AD439" s="13"/>
      <c r="AE439" s="13"/>
    </row>
    <row r="440" spans="1:31" ht="30" x14ac:dyDescent="0.25">
      <c r="A440" s="9" t="s">
        <v>177</v>
      </c>
      <c r="B440" s="9" t="s">
        <v>1491</v>
      </c>
      <c r="C440" s="9" t="s">
        <v>1492</v>
      </c>
      <c r="D440" s="9" t="s">
        <v>1493</v>
      </c>
      <c r="E440" s="9" t="s">
        <v>1494</v>
      </c>
      <c r="F440" s="9">
        <v>9</v>
      </c>
      <c r="G440" s="9" t="s">
        <v>14</v>
      </c>
      <c r="H440" s="9">
        <v>26</v>
      </c>
      <c r="I440" s="13">
        <f t="shared" si="120"/>
        <v>234</v>
      </c>
      <c r="J440" s="13">
        <f t="shared" si="121"/>
        <v>30</v>
      </c>
      <c r="K440" s="13">
        <f t="shared" si="122"/>
        <v>30</v>
      </c>
      <c r="L440" s="13">
        <f t="shared" si="123"/>
        <v>406.5</v>
      </c>
      <c r="M440" s="13">
        <f t="shared" si="124"/>
        <v>20</v>
      </c>
      <c r="N440" s="13" t="b">
        <f t="shared" si="125"/>
        <v>1</v>
      </c>
      <c r="O440" s="13" t="b">
        <f t="shared" si="126"/>
        <v>1</v>
      </c>
      <c r="P440" s="13" t="str">
        <f t="shared" si="127"/>
        <v>C006733-ct</v>
      </c>
      <c r="Q440" s="14" t="str">
        <f t="shared" si="128"/>
        <v>T044352
9</v>
      </c>
      <c r="R440" s="13" t="b">
        <f t="shared" si="129"/>
        <v>0</v>
      </c>
      <c r="S440" s="13" t="str">
        <f t="shared" si="130"/>
        <v>17</v>
      </c>
      <c r="T440" s="13" t="str">
        <f t="shared" si="131"/>
        <v>CT</v>
      </c>
      <c r="U440" s="13" t="str">
        <f t="shared" si="132"/>
        <v>ct</v>
      </c>
      <c r="V440" s="13">
        <f t="shared" si="133"/>
        <v>2</v>
      </c>
      <c r="W440" s="13" t="str">
        <f t="shared" si="134"/>
        <v>T044352 9</v>
      </c>
      <c r="X440" s="13" t="str">
        <f t="shared" si="135"/>
        <v>S55458</v>
      </c>
      <c r="Y440" s="13" t="str">
        <f t="shared" si="136"/>
        <v>T04</v>
      </c>
      <c r="Z440" s="13" t="str">
        <f t="shared" si="137"/>
        <v>352</v>
      </c>
      <c r="AA440" s="13">
        <f t="shared" si="138"/>
        <v>2</v>
      </c>
      <c r="AB440" s="13">
        <f t="shared" si="139"/>
        <v>2</v>
      </c>
      <c r="AC440" s="13"/>
      <c r="AD440" s="13"/>
      <c r="AE440" s="13"/>
    </row>
    <row r="441" spans="1:31" ht="30" x14ac:dyDescent="0.25">
      <c r="A441" s="9" t="s">
        <v>130</v>
      </c>
      <c r="B441" s="9" t="s">
        <v>1495</v>
      </c>
      <c r="C441" s="9" t="s">
        <v>1496</v>
      </c>
      <c r="D441" s="9" t="s">
        <v>212</v>
      </c>
      <c r="E441" s="9" t="s">
        <v>1497</v>
      </c>
      <c r="F441" s="9">
        <v>7</v>
      </c>
      <c r="G441" s="9" t="s">
        <v>36</v>
      </c>
      <c r="H441" s="9">
        <v>6.75</v>
      </c>
      <c r="I441" s="13">
        <f t="shared" si="120"/>
        <v>47.25</v>
      </c>
      <c r="J441" s="13">
        <f t="shared" si="121"/>
        <v>389</v>
      </c>
      <c r="K441" s="13">
        <f t="shared" si="122"/>
        <v>387</v>
      </c>
      <c r="L441" s="13">
        <f t="shared" si="123"/>
        <v>331.75</v>
      </c>
      <c r="M441" s="13">
        <f t="shared" si="124"/>
        <v>18</v>
      </c>
      <c r="N441" s="13" t="b">
        <f t="shared" si="125"/>
        <v>0</v>
      </c>
      <c r="O441" s="13" t="b">
        <f t="shared" si="126"/>
        <v>1</v>
      </c>
      <c r="P441" s="13" t="str">
        <f t="shared" si="127"/>
        <v>C007105-cans</v>
      </c>
      <c r="Q441" s="14" t="str">
        <f t="shared" si="128"/>
        <v>T085209
7</v>
      </c>
      <c r="R441" s="13" t="b">
        <f t="shared" si="129"/>
        <v>0</v>
      </c>
      <c r="S441" s="13" t="str">
        <f t="shared" si="130"/>
        <v>01</v>
      </c>
      <c r="T441" s="13" t="str">
        <f t="shared" si="131"/>
        <v>CANS</v>
      </c>
      <c r="U441" s="13" t="str">
        <f t="shared" si="132"/>
        <v>cans</v>
      </c>
      <c r="V441" s="13">
        <f t="shared" si="133"/>
        <v>2</v>
      </c>
      <c r="W441" s="13" t="str">
        <f t="shared" si="134"/>
        <v>T085209 7</v>
      </c>
      <c r="X441" s="13" t="str">
        <f t="shared" si="135"/>
        <v>S55682</v>
      </c>
      <c r="Y441" s="13" t="str">
        <f t="shared" si="136"/>
        <v>T08</v>
      </c>
      <c r="Z441" s="13" t="str">
        <f t="shared" si="137"/>
        <v>209</v>
      </c>
      <c r="AA441" s="13">
        <f t="shared" si="138"/>
        <v>2</v>
      </c>
      <c r="AB441" s="13">
        <f t="shared" si="139"/>
        <v>4</v>
      </c>
      <c r="AC441" s="13"/>
      <c r="AD441" s="13"/>
      <c r="AE441" s="13"/>
    </row>
    <row r="442" spans="1:31" ht="30" x14ac:dyDescent="0.25">
      <c r="A442" s="9" t="s">
        <v>292</v>
      </c>
      <c r="B442" s="9" t="s">
        <v>1498</v>
      </c>
      <c r="C442" s="9" t="s">
        <v>1499</v>
      </c>
      <c r="D442" s="9" t="s">
        <v>1422</v>
      </c>
      <c r="E442" s="9" t="s">
        <v>1403</v>
      </c>
      <c r="F442" s="9">
        <v>9</v>
      </c>
      <c r="G442" s="9" t="s">
        <v>14</v>
      </c>
      <c r="H442" s="9">
        <v>14</v>
      </c>
      <c r="I442" s="13">
        <f t="shared" si="120"/>
        <v>126</v>
      </c>
      <c r="J442" s="13">
        <f t="shared" si="121"/>
        <v>157</v>
      </c>
      <c r="K442" s="13">
        <f t="shared" si="122"/>
        <v>154</v>
      </c>
      <c r="L442" s="13">
        <f t="shared" si="123"/>
        <v>380.5</v>
      </c>
      <c r="M442" s="13">
        <f t="shared" si="124"/>
        <v>19</v>
      </c>
      <c r="N442" s="13" t="b">
        <f t="shared" si="125"/>
        <v>0</v>
      </c>
      <c r="O442" s="13" t="b">
        <f t="shared" si="126"/>
        <v>1</v>
      </c>
      <c r="P442" s="13" t="str">
        <f t="shared" si="127"/>
        <v>C008009-ct</v>
      </c>
      <c r="Q442" s="14" t="str">
        <f t="shared" si="128"/>
        <v>T012056
9</v>
      </c>
      <c r="R442" s="13" t="b">
        <f t="shared" si="129"/>
        <v>0</v>
      </c>
      <c r="S442" s="13" t="str">
        <f t="shared" si="130"/>
        <v>20</v>
      </c>
      <c r="T442" s="13" t="str">
        <f t="shared" si="131"/>
        <v>CT</v>
      </c>
      <c r="U442" s="13" t="str">
        <f t="shared" si="132"/>
        <v>ct</v>
      </c>
      <c r="V442" s="13">
        <f t="shared" si="133"/>
        <v>2</v>
      </c>
      <c r="W442" s="13" t="str">
        <f t="shared" si="134"/>
        <v>T012056 9</v>
      </c>
      <c r="X442" s="13" t="str">
        <f t="shared" si="135"/>
        <v>S5523</v>
      </c>
      <c r="Y442" s="13" t="str">
        <f t="shared" si="136"/>
        <v>T01</v>
      </c>
      <c r="Z442" s="13" t="str">
        <f t="shared" si="137"/>
        <v>056</v>
      </c>
      <c r="AA442" s="13">
        <f t="shared" si="138"/>
        <v>2</v>
      </c>
      <c r="AB442" s="13">
        <f t="shared" si="139"/>
        <v>2</v>
      </c>
      <c r="AC442" s="13"/>
      <c r="AD442" s="13"/>
      <c r="AE442" s="13"/>
    </row>
    <row r="443" spans="1:31" ht="30" x14ac:dyDescent="0.25">
      <c r="A443" s="9" t="s">
        <v>171</v>
      </c>
      <c r="B443" s="9" t="s">
        <v>1500</v>
      </c>
      <c r="C443" s="9" t="s">
        <v>1501</v>
      </c>
      <c r="D443" s="9" t="s">
        <v>1079</v>
      </c>
      <c r="E443" s="9" t="s">
        <v>1502</v>
      </c>
      <c r="F443" s="9">
        <v>8</v>
      </c>
      <c r="G443" s="9" t="s">
        <v>1081</v>
      </c>
      <c r="H443" s="9">
        <v>16</v>
      </c>
      <c r="I443" s="13">
        <f t="shared" si="120"/>
        <v>128</v>
      </c>
      <c r="J443" s="13">
        <f t="shared" si="121"/>
        <v>150</v>
      </c>
      <c r="K443" s="13">
        <f t="shared" si="122"/>
        <v>148</v>
      </c>
      <c r="L443" s="13">
        <f t="shared" si="123"/>
        <v>81</v>
      </c>
      <c r="M443" s="13">
        <f t="shared" si="124"/>
        <v>5</v>
      </c>
      <c r="N443" s="13" t="b">
        <f t="shared" si="125"/>
        <v>0</v>
      </c>
      <c r="O443" s="13" t="b">
        <f t="shared" si="126"/>
        <v>1</v>
      </c>
      <c r="P443" s="13" t="str">
        <f t="shared" si="127"/>
        <v>C006122-Bags</v>
      </c>
      <c r="Q443" s="14" t="str">
        <f t="shared" si="128"/>
        <v>T078365
8</v>
      </c>
      <c r="R443" s="13" t="b">
        <f t="shared" si="129"/>
        <v>0</v>
      </c>
      <c r="S443" s="13" t="str">
        <f t="shared" si="130"/>
        <v>16</v>
      </c>
      <c r="T443" s="13" t="str">
        <f t="shared" si="131"/>
        <v>BAGS</v>
      </c>
      <c r="U443" s="13" t="str">
        <f t="shared" si="132"/>
        <v>bags</v>
      </c>
      <c r="V443" s="13">
        <f t="shared" si="133"/>
        <v>2</v>
      </c>
      <c r="W443" s="13" t="str">
        <f t="shared" si="134"/>
        <v>T078365 8</v>
      </c>
      <c r="X443" s="13" t="str">
        <f t="shared" si="135"/>
        <v>S5531</v>
      </c>
      <c r="Y443" s="13" t="str">
        <f t="shared" si="136"/>
        <v>T07</v>
      </c>
      <c r="Z443" s="13" t="str">
        <f t="shared" si="137"/>
        <v>365</v>
      </c>
      <c r="AA443" s="13">
        <f t="shared" si="138"/>
        <v>2</v>
      </c>
      <c r="AB443" s="13">
        <f t="shared" si="139"/>
        <v>4</v>
      </c>
      <c r="AC443" s="13"/>
      <c r="AD443" s="13"/>
      <c r="AE443" s="13"/>
    </row>
    <row r="444" spans="1:31" ht="30" x14ac:dyDescent="0.25">
      <c r="A444" s="9" t="s">
        <v>130</v>
      </c>
      <c r="B444" s="9" t="s">
        <v>1503</v>
      </c>
      <c r="C444" s="9" t="s">
        <v>1504</v>
      </c>
      <c r="D444" s="9" t="s">
        <v>66</v>
      </c>
      <c r="E444" s="9" t="s">
        <v>186</v>
      </c>
      <c r="F444" s="9">
        <v>7</v>
      </c>
      <c r="G444" s="9" t="s">
        <v>68</v>
      </c>
      <c r="H444" s="9">
        <v>22</v>
      </c>
      <c r="I444" s="13">
        <f t="shared" si="120"/>
        <v>154</v>
      </c>
      <c r="J444" s="13">
        <f t="shared" si="121"/>
        <v>100.5</v>
      </c>
      <c r="K444" s="13">
        <f t="shared" si="122"/>
        <v>99</v>
      </c>
      <c r="L444" s="13">
        <f t="shared" si="123"/>
        <v>168</v>
      </c>
      <c r="M444" s="13">
        <f t="shared" si="124"/>
        <v>9</v>
      </c>
      <c r="N444" s="13" t="b">
        <f t="shared" si="125"/>
        <v>1</v>
      </c>
      <c r="O444" s="13" t="b">
        <f t="shared" si="126"/>
        <v>1</v>
      </c>
      <c r="P444" s="13" t="str">
        <f t="shared" si="127"/>
        <v>C004477-bottles</v>
      </c>
      <c r="Q444" s="14" t="str">
        <f t="shared" si="128"/>
        <v>T084209
7</v>
      </c>
      <c r="R444" s="13" t="b">
        <f t="shared" si="129"/>
        <v>0</v>
      </c>
      <c r="S444" s="13" t="str">
        <f t="shared" si="130"/>
        <v>05</v>
      </c>
      <c r="T444" s="13" t="str">
        <f t="shared" si="131"/>
        <v>BOTTLES</v>
      </c>
      <c r="U444" s="13" t="str">
        <f t="shared" si="132"/>
        <v>bottles</v>
      </c>
      <c r="V444" s="13">
        <f t="shared" si="133"/>
        <v>2</v>
      </c>
      <c r="W444" s="13" t="str">
        <f t="shared" si="134"/>
        <v>T084209 7</v>
      </c>
      <c r="X444" s="13" t="str">
        <f t="shared" si="135"/>
        <v>S5595</v>
      </c>
      <c r="Y444" s="13" t="str">
        <f t="shared" si="136"/>
        <v>T08</v>
      </c>
      <c r="Z444" s="13" t="str">
        <f t="shared" si="137"/>
        <v>209</v>
      </c>
      <c r="AA444" s="13">
        <f t="shared" si="138"/>
        <v>2</v>
      </c>
      <c r="AB444" s="13">
        <f t="shared" si="139"/>
        <v>7</v>
      </c>
      <c r="AC444" s="13"/>
      <c r="AD444" s="13"/>
      <c r="AE444" s="13"/>
    </row>
    <row r="445" spans="1:31" ht="30" x14ac:dyDescent="0.25">
      <c r="A445" s="9" t="s">
        <v>134</v>
      </c>
      <c r="B445" s="9" t="s">
        <v>1505</v>
      </c>
      <c r="C445" s="9" t="s">
        <v>1506</v>
      </c>
      <c r="D445" s="9" t="s">
        <v>462</v>
      </c>
      <c r="E445" s="9" t="s">
        <v>1167</v>
      </c>
      <c r="F445" s="9">
        <v>4</v>
      </c>
      <c r="G445" s="9" t="s">
        <v>36</v>
      </c>
      <c r="H445" s="9">
        <v>40</v>
      </c>
      <c r="I445" s="13">
        <f t="shared" si="120"/>
        <v>160</v>
      </c>
      <c r="J445" s="13">
        <f t="shared" si="121"/>
        <v>90.5</v>
      </c>
      <c r="K445" s="13">
        <f t="shared" si="122"/>
        <v>84</v>
      </c>
      <c r="L445" s="13">
        <f t="shared" si="123"/>
        <v>325</v>
      </c>
      <c r="M445" s="13">
        <f t="shared" si="124"/>
        <v>17</v>
      </c>
      <c r="N445" s="13" t="b">
        <f t="shared" si="125"/>
        <v>1</v>
      </c>
      <c r="O445" s="13" t="b">
        <f t="shared" si="126"/>
        <v>1</v>
      </c>
      <c r="P445" s="13" t="str">
        <f t="shared" si="127"/>
        <v>C008910-cans</v>
      </c>
      <c r="Q445" s="14" t="str">
        <f t="shared" si="128"/>
        <v>T030742
4</v>
      </c>
      <c r="R445" s="13" t="b">
        <f t="shared" si="129"/>
        <v>0</v>
      </c>
      <c r="S445" s="13" t="str">
        <f t="shared" si="130"/>
        <v>06</v>
      </c>
      <c r="T445" s="13" t="str">
        <f t="shared" si="131"/>
        <v>CANS</v>
      </c>
      <c r="U445" s="13" t="str">
        <f t="shared" si="132"/>
        <v>cans</v>
      </c>
      <c r="V445" s="13">
        <f t="shared" si="133"/>
        <v>2</v>
      </c>
      <c r="W445" s="13" t="str">
        <f t="shared" si="134"/>
        <v>T030742 4</v>
      </c>
      <c r="X445" s="13" t="str">
        <f t="shared" si="135"/>
        <v>S55392</v>
      </c>
      <c r="Y445" s="13" t="str">
        <f t="shared" si="136"/>
        <v>T03</v>
      </c>
      <c r="Z445" s="13" t="str">
        <f t="shared" si="137"/>
        <v>742</v>
      </c>
      <c r="AA445" s="13">
        <f t="shared" si="138"/>
        <v>2</v>
      </c>
      <c r="AB445" s="13">
        <f t="shared" si="139"/>
        <v>4</v>
      </c>
      <c r="AC445" s="13"/>
      <c r="AD445" s="13"/>
      <c r="AE445" s="13"/>
    </row>
    <row r="446" spans="1:31" ht="30" x14ac:dyDescent="0.25">
      <c r="A446" s="9" t="s">
        <v>233</v>
      </c>
      <c r="B446" s="9" t="s">
        <v>1507</v>
      </c>
      <c r="C446" s="9" t="s">
        <v>1508</v>
      </c>
      <c r="D446" s="9" t="s">
        <v>794</v>
      </c>
      <c r="E446" s="9" t="s">
        <v>1509</v>
      </c>
      <c r="F446" s="9">
        <v>2</v>
      </c>
      <c r="G446" s="9" t="s">
        <v>14</v>
      </c>
      <c r="H446" s="9">
        <v>29</v>
      </c>
      <c r="I446" s="13">
        <f t="shared" si="120"/>
        <v>58</v>
      </c>
      <c r="J446" s="13">
        <f t="shared" si="121"/>
        <v>353</v>
      </c>
      <c r="K446" s="13">
        <f t="shared" si="122"/>
        <v>353</v>
      </c>
      <c r="L446" s="13">
        <f t="shared" si="123"/>
        <v>366.5</v>
      </c>
      <c r="M446" s="13">
        <f t="shared" si="124"/>
        <v>18</v>
      </c>
      <c r="N446" s="13" t="b">
        <f t="shared" si="125"/>
        <v>1</v>
      </c>
      <c r="O446" s="13" t="b">
        <f t="shared" si="126"/>
        <v>1</v>
      </c>
      <c r="P446" s="13" t="str">
        <f t="shared" si="127"/>
        <v>C002244-ct</v>
      </c>
      <c r="Q446" s="14" t="str">
        <f t="shared" si="128"/>
        <v>T077328
2</v>
      </c>
      <c r="R446" s="13" t="b">
        <f t="shared" si="129"/>
        <v>0</v>
      </c>
      <c r="S446" s="13" t="str">
        <f t="shared" si="130"/>
        <v>14</v>
      </c>
      <c r="T446" s="13" t="str">
        <f t="shared" si="131"/>
        <v>CT</v>
      </c>
      <c r="U446" s="13" t="str">
        <f t="shared" si="132"/>
        <v>ct</v>
      </c>
      <c r="V446" s="13">
        <f t="shared" si="133"/>
        <v>2</v>
      </c>
      <c r="W446" s="13" t="str">
        <f t="shared" si="134"/>
        <v>T077328 2</v>
      </c>
      <c r="X446" s="13" t="str">
        <f t="shared" si="135"/>
        <v>S55432</v>
      </c>
      <c r="Y446" s="13" t="str">
        <f t="shared" si="136"/>
        <v>T07</v>
      </c>
      <c r="Z446" s="13" t="str">
        <f t="shared" si="137"/>
        <v>328</v>
      </c>
      <c r="AA446" s="13">
        <f t="shared" si="138"/>
        <v>2</v>
      </c>
      <c r="AB446" s="13">
        <f t="shared" si="139"/>
        <v>2</v>
      </c>
      <c r="AC446" s="13"/>
      <c r="AD446" s="13"/>
      <c r="AE446" s="13"/>
    </row>
    <row r="447" spans="1:31" ht="30" x14ac:dyDescent="0.25">
      <c r="A447" s="9" t="s">
        <v>69</v>
      </c>
      <c r="B447" s="9" t="s">
        <v>1510</v>
      </c>
      <c r="C447" s="9" t="s">
        <v>1511</v>
      </c>
      <c r="D447" s="9" t="s">
        <v>394</v>
      </c>
      <c r="E447" s="9" t="s">
        <v>1512</v>
      </c>
      <c r="F447" s="9">
        <v>3</v>
      </c>
      <c r="G447" s="9" t="s">
        <v>278</v>
      </c>
      <c r="H447" s="9">
        <v>14</v>
      </c>
      <c r="I447" s="13">
        <f t="shared" si="120"/>
        <v>42</v>
      </c>
      <c r="J447" s="13">
        <f t="shared" si="121"/>
        <v>404</v>
      </c>
      <c r="K447" s="13">
        <f t="shared" si="122"/>
        <v>400</v>
      </c>
      <c r="L447" s="13">
        <f t="shared" si="123"/>
        <v>41</v>
      </c>
      <c r="M447" s="13">
        <f t="shared" si="124"/>
        <v>3</v>
      </c>
      <c r="N447" s="13" t="b">
        <f t="shared" si="125"/>
        <v>0</v>
      </c>
      <c r="O447" s="13" t="b">
        <f t="shared" si="126"/>
        <v>1</v>
      </c>
      <c r="P447" s="13" t="str">
        <f t="shared" si="127"/>
        <v>C004829-ct.</v>
      </c>
      <c r="Q447" s="14" t="str">
        <f t="shared" si="128"/>
        <v>T06630
3</v>
      </c>
      <c r="R447" s="13" t="b">
        <f t="shared" si="129"/>
        <v>0</v>
      </c>
      <c r="S447" s="13" t="str">
        <f t="shared" si="130"/>
        <v>21</v>
      </c>
      <c r="T447" s="13" t="str">
        <f t="shared" si="131"/>
        <v>CT.</v>
      </c>
      <c r="U447" s="13" t="str">
        <f t="shared" si="132"/>
        <v>ct.</v>
      </c>
      <c r="V447" s="13">
        <f t="shared" si="133"/>
        <v>2</v>
      </c>
      <c r="W447" s="13" t="str">
        <f t="shared" si="134"/>
        <v>T06630 3</v>
      </c>
      <c r="X447" s="13" t="str">
        <f t="shared" si="135"/>
        <v>S55715</v>
      </c>
      <c r="Y447" s="13" t="str">
        <f t="shared" si="136"/>
        <v>T06</v>
      </c>
      <c r="Z447" s="13" t="str">
        <f t="shared" si="137"/>
        <v>630</v>
      </c>
      <c r="AA447" s="13">
        <f t="shared" si="138"/>
        <v>2</v>
      </c>
      <c r="AB447" s="13">
        <f t="shared" si="139"/>
        <v>3</v>
      </c>
      <c r="AC447" s="13"/>
      <c r="AD447" s="13"/>
      <c r="AE447" s="13"/>
    </row>
    <row r="448" spans="1:31" ht="30" x14ac:dyDescent="0.25">
      <c r="A448" s="9" t="s">
        <v>21</v>
      </c>
      <c r="B448" s="9" t="s">
        <v>1513</v>
      </c>
      <c r="C448" s="9" t="s">
        <v>1514</v>
      </c>
      <c r="D448" s="9" t="s">
        <v>1515</v>
      </c>
      <c r="E448" s="9" t="s">
        <v>19</v>
      </c>
      <c r="F448" s="9">
        <v>10</v>
      </c>
      <c r="G448" s="9" t="s">
        <v>176</v>
      </c>
      <c r="H448" s="9">
        <v>19.5</v>
      </c>
      <c r="I448" s="13">
        <f t="shared" si="120"/>
        <v>195</v>
      </c>
      <c r="J448" s="13">
        <f t="shared" si="121"/>
        <v>53.5</v>
      </c>
      <c r="K448" s="13">
        <f t="shared" si="122"/>
        <v>53</v>
      </c>
      <c r="L448" s="13">
        <f t="shared" si="123"/>
        <v>19.5</v>
      </c>
      <c r="M448" s="13">
        <f t="shared" si="124"/>
        <v>1</v>
      </c>
      <c r="N448" s="13" t="b">
        <f t="shared" si="125"/>
        <v>0</v>
      </c>
      <c r="O448" s="13" t="b">
        <f t="shared" si="126"/>
        <v>1</v>
      </c>
      <c r="P448" s="13" t="str">
        <f t="shared" si="127"/>
        <v>C003519-oz</v>
      </c>
      <c r="Q448" s="14" t="str">
        <f t="shared" si="128"/>
        <v>T071952
10</v>
      </c>
      <c r="R448" s="13" t="b">
        <f t="shared" si="129"/>
        <v>0</v>
      </c>
      <c r="S448" s="13" t="str">
        <f t="shared" si="130"/>
        <v>21</v>
      </c>
      <c r="T448" s="13" t="str">
        <f t="shared" si="131"/>
        <v>OZ</v>
      </c>
      <c r="U448" s="13" t="str">
        <f t="shared" si="132"/>
        <v>oz</v>
      </c>
      <c r="V448" s="13">
        <f t="shared" si="133"/>
        <v>2</v>
      </c>
      <c r="W448" s="13" t="str">
        <f t="shared" si="134"/>
        <v>T071952 10</v>
      </c>
      <c r="X448" s="13" t="str">
        <f t="shared" si="135"/>
        <v>S55595</v>
      </c>
      <c r="Y448" s="13" t="str">
        <f t="shared" si="136"/>
        <v>T07</v>
      </c>
      <c r="Z448" s="13" t="str">
        <f t="shared" si="137"/>
        <v>952</v>
      </c>
      <c r="AA448" s="13">
        <f t="shared" si="138"/>
        <v>2</v>
      </c>
      <c r="AB448" s="13">
        <f t="shared" si="139"/>
        <v>2</v>
      </c>
      <c r="AC448" s="13"/>
      <c r="AD448" s="13"/>
      <c r="AE448" s="13"/>
    </row>
    <row r="449" spans="1:31" ht="30" x14ac:dyDescent="0.25">
      <c r="A449" s="9" t="s">
        <v>316</v>
      </c>
      <c r="B449" s="9" t="s">
        <v>1516</v>
      </c>
      <c r="C449" s="9" t="s">
        <v>1517</v>
      </c>
      <c r="D449" s="9" t="s">
        <v>1251</v>
      </c>
      <c r="E449" s="9" t="s">
        <v>1518</v>
      </c>
      <c r="F449" s="9">
        <v>11</v>
      </c>
      <c r="G449" s="9" t="s">
        <v>36</v>
      </c>
      <c r="H449" s="9">
        <v>40</v>
      </c>
      <c r="I449" s="13">
        <f t="shared" si="120"/>
        <v>440</v>
      </c>
      <c r="J449" s="13">
        <f t="shared" si="121"/>
        <v>3.5</v>
      </c>
      <c r="K449" s="13">
        <f t="shared" si="122"/>
        <v>2</v>
      </c>
      <c r="L449" s="13">
        <f t="shared" si="123"/>
        <v>285</v>
      </c>
      <c r="M449" s="13">
        <f t="shared" si="124"/>
        <v>16</v>
      </c>
      <c r="N449" s="13" t="b">
        <f t="shared" si="125"/>
        <v>1</v>
      </c>
      <c r="O449" s="13" t="b">
        <f t="shared" si="126"/>
        <v>1</v>
      </c>
      <c r="P449" s="13" t="str">
        <f t="shared" si="127"/>
        <v>C003486-cans</v>
      </c>
      <c r="Q449" s="14" t="str">
        <f t="shared" si="128"/>
        <v>T088152
11</v>
      </c>
      <c r="R449" s="13" t="b">
        <f t="shared" si="129"/>
        <v>0</v>
      </c>
      <c r="S449" s="13" t="str">
        <f t="shared" si="130"/>
        <v>05</v>
      </c>
      <c r="T449" s="13" t="str">
        <f t="shared" si="131"/>
        <v>CANS</v>
      </c>
      <c r="U449" s="13" t="str">
        <f t="shared" si="132"/>
        <v>cans</v>
      </c>
      <c r="V449" s="13">
        <f t="shared" si="133"/>
        <v>2</v>
      </c>
      <c r="W449" s="13" t="str">
        <f t="shared" si="134"/>
        <v>T088152 11</v>
      </c>
      <c r="X449" s="13" t="str">
        <f t="shared" si="135"/>
        <v>S55154</v>
      </c>
      <c r="Y449" s="13" t="str">
        <f t="shared" si="136"/>
        <v>T08</v>
      </c>
      <c r="Z449" s="13" t="str">
        <f t="shared" si="137"/>
        <v>152</v>
      </c>
      <c r="AA449" s="13">
        <f t="shared" si="138"/>
        <v>2</v>
      </c>
      <c r="AB449" s="13">
        <f t="shared" si="139"/>
        <v>4</v>
      </c>
      <c r="AC449" s="13"/>
      <c r="AD449" s="13"/>
      <c r="AE449" s="13"/>
    </row>
    <row r="450" spans="1:31" ht="30" x14ac:dyDescent="0.25">
      <c r="A450" s="9" t="s">
        <v>752</v>
      </c>
      <c r="B450" s="9" t="s">
        <v>1519</v>
      </c>
      <c r="C450" s="9" t="s">
        <v>1520</v>
      </c>
      <c r="D450" s="9" t="s">
        <v>791</v>
      </c>
      <c r="E450" s="9" t="s">
        <v>1094</v>
      </c>
      <c r="F450" s="9">
        <v>7</v>
      </c>
      <c r="G450" s="9" t="s">
        <v>14</v>
      </c>
      <c r="H450" s="9">
        <v>26</v>
      </c>
      <c r="I450" s="13">
        <f t="shared" si="120"/>
        <v>182</v>
      </c>
      <c r="J450" s="13">
        <f t="shared" si="121"/>
        <v>58</v>
      </c>
      <c r="K450" s="13">
        <f t="shared" si="122"/>
        <v>58</v>
      </c>
      <c r="L450" s="13">
        <f t="shared" si="123"/>
        <v>337.5</v>
      </c>
      <c r="M450" s="13">
        <f t="shared" si="124"/>
        <v>17</v>
      </c>
      <c r="N450" s="13" t="b">
        <f t="shared" si="125"/>
        <v>1</v>
      </c>
      <c r="O450" s="13" t="b">
        <f t="shared" si="126"/>
        <v>1</v>
      </c>
      <c r="P450" s="13" t="str">
        <f t="shared" si="127"/>
        <v>C002238-ct</v>
      </c>
      <c r="Q450" s="14" t="str">
        <f t="shared" si="128"/>
        <v>T028420
7</v>
      </c>
      <c r="R450" s="13" t="b">
        <f t="shared" si="129"/>
        <v>0</v>
      </c>
      <c r="S450" s="13" t="str">
        <f t="shared" si="130"/>
        <v>18</v>
      </c>
      <c r="T450" s="13" t="str">
        <f t="shared" si="131"/>
        <v>CT</v>
      </c>
      <c r="U450" s="13" t="str">
        <f t="shared" si="132"/>
        <v>ct</v>
      </c>
      <c r="V450" s="13">
        <f t="shared" si="133"/>
        <v>2</v>
      </c>
      <c r="W450" s="13" t="str">
        <f t="shared" si="134"/>
        <v>T028420 7</v>
      </c>
      <c r="X450" s="13" t="str">
        <f t="shared" si="135"/>
        <v>S55162</v>
      </c>
      <c r="Y450" s="13" t="str">
        <f t="shared" si="136"/>
        <v>T02</v>
      </c>
      <c r="Z450" s="13" t="str">
        <f t="shared" si="137"/>
        <v>420</v>
      </c>
      <c r="AA450" s="13">
        <f t="shared" si="138"/>
        <v>2</v>
      </c>
      <c r="AB450" s="13">
        <f t="shared" si="139"/>
        <v>2</v>
      </c>
      <c r="AC450" s="13"/>
      <c r="AD450" s="13"/>
      <c r="AE450" s="13"/>
    </row>
    <row r="451" spans="1:31" ht="30" x14ac:dyDescent="0.25">
      <c r="A451" s="9" t="s">
        <v>116</v>
      </c>
      <c r="B451" s="9" t="s">
        <v>1521</v>
      </c>
      <c r="C451" s="9" t="s">
        <v>1522</v>
      </c>
      <c r="D451" s="9" t="s">
        <v>686</v>
      </c>
      <c r="E451" s="9" t="s">
        <v>1523</v>
      </c>
      <c r="F451" s="9">
        <v>8</v>
      </c>
      <c r="G451" s="9" t="s">
        <v>68</v>
      </c>
      <c r="H451" s="9">
        <v>20</v>
      </c>
      <c r="I451" s="13">
        <f t="shared" si="120"/>
        <v>160</v>
      </c>
      <c r="J451" s="13">
        <f t="shared" si="121"/>
        <v>90.5</v>
      </c>
      <c r="K451" s="13">
        <f t="shared" si="122"/>
        <v>84</v>
      </c>
      <c r="L451" s="13">
        <f t="shared" si="123"/>
        <v>146</v>
      </c>
      <c r="M451" s="13">
        <f t="shared" si="124"/>
        <v>8</v>
      </c>
      <c r="N451" s="13" t="b">
        <f t="shared" si="125"/>
        <v>0</v>
      </c>
      <c r="O451" s="13" t="b">
        <f t="shared" si="126"/>
        <v>1</v>
      </c>
      <c r="P451" s="13" t="str">
        <f t="shared" si="127"/>
        <v>C002905-bottles</v>
      </c>
      <c r="Q451" s="14" t="str">
        <f t="shared" si="128"/>
        <v>T049666
8</v>
      </c>
      <c r="R451" s="13" t="b">
        <f t="shared" si="129"/>
        <v>0</v>
      </c>
      <c r="S451" s="13" t="str">
        <f t="shared" si="130"/>
        <v>07</v>
      </c>
      <c r="T451" s="13" t="str">
        <f t="shared" si="131"/>
        <v>BOTTLES</v>
      </c>
      <c r="U451" s="13" t="str">
        <f t="shared" si="132"/>
        <v>bottles</v>
      </c>
      <c r="V451" s="13">
        <f t="shared" si="133"/>
        <v>2</v>
      </c>
      <c r="W451" s="13" t="str">
        <f t="shared" si="134"/>
        <v>T049666 8</v>
      </c>
      <c r="X451" s="13" t="str">
        <f t="shared" si="135"/>
        <v>S55415</v>
      </c>
      <c r="Y451" s="13" t="str">
        <f t="shared" si="136"/>
        <v>T04</v>
      </c>
      <c r="Z451" s="13" t="str">
        <f t="shared" si="137"/>
        <v>666</v>
      </c>
      <c r="AA451" s="13">
        <f t="shared" si="138"/>
        <v>2</v>
      </c>
      <c r="AB451" s="13">
        <f t="shared" si="139"/>
        <v>7</v>
      </c>
      <c r="AC451" s="13"/>
      <c r="AD451" s="13"/>
      <c r="AE451" s="13"/>
    </row>
    <row r="452" spans="1:31" ht="30" x14ac:dyDescent="0.25">
      <c r="A452" s="9" t="s">
        <v>528</v>
      </c>
      <c r="B452" s="9" t="s">
        <v>1524</v>
      </c>
      <c r="C452" s="9" t="s">
        <v>1525</v>
      </c>
      <c r="D452" s="9" t="s">
        <v>1032</v>
      </c>
      <c r="E452" s="9" t="s">
        <v>1526</v>
      </c>
      <c r="F452" s="9">
        <v>9</v>
      </c>
      <c r="G452" s="9" t="s">
        <v>14</v>
      </c>
      <c r="H452" s="9">
        <v>14</v>
      </c>
      <c r="I452" s="13">
        <f t="shared" si="120"/>
        <v>126</v>
      </c>
      <c r="J452" s="13">
        <f t="shared" si="121"/>
        <v>157</v>
      </c>
      <c r="K452" s="13">
        <f t="shared" si="122"/>
        <v>154</v>
      </c>
      <c r="L452" s="13">
        <f t="shared" si="123"/>
        <v>311.5</v>
      </c>
      <c r="M452" s="13">
        <f t="shared" si="124"/>
        <v>16</v>
      </c>
      <c r="N452" s="13" t="b">
        <f t="shared" si="125"/>
        <v>0</v>
      </c>
      <c r="O452" s="13" t="b">
        <f t="shared" si="126"/>
        <v>1</v>
      </c>
      <c r="P452" s="13" t="str">
        <f t="shared" si="127"/>
        <v>C000662-ct</v>
      </c>
      <c r="Q452" s="14" t="str">
        <f t="shared" si="128"/>
        <v>T014946
9</v>
      </c>
      <c r="R452" s="13" t="b">
        <f t="shared" si="129"/>
        <v>0</v>
      </c>
      <c r="S452" s="13" t="str">
        <f t="shared" si="130"/>
        <v>18</v>
      </c>
      <c r="T452" s="13" t="str">
        <f t="shared" si="131"/>
        <v>CT</v>
      </c>
      <c r="U452" s="13" t="str">
        <f t="shared" si="132"/>
        <v>ct</v>
      </c>
      <c r="V452" s="13">
        <f t="shared" si="133"/>
        <v>2</v>
      </c>
      <c r="W452" s="13" t="str">
        <f t="shared" si="134"/>
        <v>T014946 9</v>
      </c>
      <c r="X452" s="13" t="str">
        <f t="shared" si="135"/>
        <v>S55216</v>
      </c>
      <c r="Y452" s="13" t="str">
        <f t="shared" si="136"/>
        <v>T01</v>
      </c>
      <c r="Z452" s="13" t="str">
        <f t="shared" si="137"/>
        <v>946</v>
      </c>
      <c r="AA452" s="13">
        <f t="shared" si="138"/>
        <v>2</v>
      </c>
      <c r="AB452" s="13">
        <f t="shared" si="139"/>
        <v>2</v>
      </c>
      <c r="AC452" s="13"/>
      <c r="AD452" s="13"/>
      <c r="AE452" s="13"/>
    </row>
    <row r="453" spans="1:31" ht="30" x14ac:dyDescent="0.25">
      <c r="A453" s="9" t="s">
        <v>292</v>
      </c>
      <c r="B453" s="9" t="s">
        <v>1527</v>
      </c>
      <c r="C453" s="9" t="s">
        <v>1528</v>
      </c>
      <c r="D453" s="9" t="s">
        <v>485</v>
      </c>
      <c r="E453" s="9" t="s">
        <v>824</v>
      </c>
      <c r="F453" s="9">
        <v>3</v>
      </c>
      <c r="G453" s="9" t="s">
        <v>14</v>
      </c>
      <c r="H453" s="9">
        <v>32</v>
      </c>
      <c r="I453" s="13">
        <f t="shared" si="120"/>
        <v>96</v>
      </c>
      <c r="J453" s="13">
        <f t="shared" si="121"/>
        <v>231.5</v>
      </c>
      <c r="K453" s="13">
        <f t="shared" si="122"/>
        <v>228</v>
      </c>
      <c r="L453" s="13">
        <f t="shared" si="123"/>
        <v>297.5</v>
      </c>
      <c r="M453" s="13">
        <f t="shared" si="124"/>
        <v>15</v>
      </c>
      <c r="N453" s="13" t="b">
        <f t="shared" si="125"/>
        <v>1</v>
      </c>
      <c r="O453" s="13" t="b">
        <f t="shared" si="126"/>
        <v>1</v>
      </c>
      <c r="P453" s="13" t="str">
        <f t="shared" si="127"/>
        <v>C004563-ct</v>
      </c>
      <c r="Q453" s="14" t="str">
        <f t="shared" si="128"/>
        <v>T089441
3</v>
      </c>
      <c r="R453" s="13" t="b">
        <f t="shared" si="129"/>
        <v>0</v>
      </c>
      <c r="S453" s="13" t="str">
        <f t="shared" si="130"/>
        <v>13</v>
      </c>
      <c r="T453" s="13" t="str">
        <f t="shared" si="131"/>
        <v>CT</v>
      </c>
      <c r="U453" s="13" t="str">
        <f t="shared" si="132"/>
        <v>ct</v>
      </c>
      <c r="V453" s="13">
        <f t="shared" si="133"/>
        <v>2</v>
      </c>
      <c r="W453" s="13" t="str">
        <f t="shared" si="134"/>
        <v>T089441 3</v>
      </c>
      <c r="X453" s="13" t="str">
        <f t="shared" si="135"/>
        <v>S55515</v>
      </c>
      <c r="Y453" s="13" t="str">
        <f t="shared" si="136"/>
        <v>T08</v>
      </c>
      <c r="Z453" s="13" t="str">
        <f t="shared" si="137"/>
        <v>441</v>
      </c>
      <c r="AA453" s="13">
        <f t="shared" si="138"/>
        <v>2</v>
      </c>
      <c r="AB453" s="13">
        <f t="shared" si="139"/>
        <v>2</v>
      </c>
      <c r="AC453" s="13"/>
      <c r="AD453" s="13"/>
      <c r="AE453" s="13"/>
    </row>
    <row r="454" spans="1:31" ht="30" x14ac:dyDescent="0.25">
      <c r="A454" s="9" t="s">
        <v>100</v>
      </c>
      <c r="B454" s="9" t="s">
        <v>1529</v>
      </c>
      <c r="C454" s="9" t="s">
        <v>1530</v>
      </c>
      <c r="D454" s="9" t="s">
        <v>1531</v>
      </c>
      <c r="E454" s="9" t="s">
        <v>1532</v>
      </c>
      <c r="F454" s="9">
        <v>4</v>
      </c>
      <c r="G454" s="9" t="s">
        <v>14</v>
      </c>
      <c r="H454" s="9">
        <v>16</v>
      </c>
      <c r="I454" s="13">
        <f t="shared" ref="I454:I500" si="140">$F454*H454</f>
        <v>64</v>
      </c>
      <c r="J454" s="13">
        <f t="shared" ref="J454:J500" si="141">_xlfn.RANK.AVG(I454,$I$5:$I$550000)</f>
        <v>328</v>
      </c>
      <c r="K454" s="13">
        <f t="shared" ref="K454:K500" si="142">_xlfn.RANK.EQ(I454,$I$5:$I$550000)</f>
        <v>324</v>
      </c>
      <c r="L454" s="13">
        <f t="shared" ref="L454:L500" si="143">SUMIF(G454:G866,G454,H454:H949)</f>
        <v>265.5</v>
      </c>
      <c r="M454" s="13">
        <f t="shared" ref="M454:M500" si="144">COUNTIF(G454:G866,G454)</f>
        <v>14</v>
      </c>
      <c r="N454" s="13" t="b">
        <f t="shared" ref="N454:N500" si="145">AND(H454&gt;20,H454&lt;70)</f>
        <v>0</v>
      </c>
      <c r="O454" s="13" t="b">
        <f t="shared" ref="O454:O500" si="146">OR(H454&gt;10,H454&lt;60)</f>
        <v>1</v>
      </c>
      <c r="P454" s="13" t="str">
        <f t="shared" ref="P454:P500" si="147">_xlfn.CONCAT(B454,"-",G454)</f>
        <v>C008136-ct</v>
      </c>
      <c r="Q454" s="14" t="str">
        <f t="shared" ref="Q454:Q500" si="148">_xlfn.CONCAT(C454,CHAR(10),F454)</f>
        <v>T048913
4</v>
      </c>
      <c r="R454" s="13" t="b">
        <f t="shared" ref="R454:R500" si="149">EXACT(D454,E454)</f>
        <v>0</v>
      </c>
      <c r="S454" s="13" t="str">
        <f t="shared" ref="S454:S500" si="150">MID(D454,4,2)</f>
        <v>19</v>
      </c>
      <c r="T454" s="13" t="str">
        <f t="shared" ref="T454:T500" si="151">UPPER(G454)</f>
        <v>CT</v>
      </c>
      <c r="U454" s="13" t="str">
        <f t="shared" ref="U454:U500" si="152">LOWER(G454)</f>
        <v>ct</v>
      </c>
      <c r="V454" s="13">
        <f t="shared" ref="V454:V500" si="153">SEARCH("0",E454)</f>
        <v>2</v>
      </c>
      <c r="W454" s="13" t="str">
        <f t="shared" ref="W454:W500" si="154">_xlfn.TEXTJOIN(" ",TRUE,C454,F454)</f>
        <v>T048913 4</v>
      </c>
      <c r="X454" s="13" t="str">
        <f t="shared" ref="X454:X500" si="155">SUBSTITUTE(E454,"0","5")</f>
        <v>S55331</v>
      </c>
      <c r="Y454" s="13" t="str">
        <f t="shared" ref="Y454:Y500" si="156">LEFT(C454,3)</f>
        <v>T04</v>
      </c>
      <c r="Z454" s="13" t="str">
        <f t="shared" ref="Z454:Z500" si="157">RIGHT(C454,3)</f>
        <v>913</v>
      </c>
      <c r="AA454" s="13">
        <f t="shared" ref="AA454:AA500" si="158">FIND("0",A454)</f>
        <v>2</v>
      </c>
      <c r="AB454" s="13">
        <f t="shared" ref="AB454:AB500" si="159">LEN(G454)</f>
        <v>2</v>
      </c>
      <c r="AC454" s="13"/>
      <c r="AD454" s="13"/>
      <c r="AE454" s="13"/>
    </row>
    <row r="455" spans="1:31" ht="30" x14ac:dyDescent="0.25">
      <c r="A455" s="9" t="s">
        <v>130</v>
      </c>
      <c r="B455" s="9" t="s">
        <v>1533</v>
      </c>
      <c r="C455" s="9" t="s">
        <v>1534</v>
      </c>
      <c r="D455" s="9" t="s">
        <v>1535</v>
      </c>
      <c r="E455" s="9" t="s">
        <v>1536</v>
      </c>
      <c r="F455" s="9">
        <v>1</v>
      </c>
      <c r="G455" s="9" t="s">
        <v>14</v>
      </c>
      <c r="H455" s="9">
        <v>46</v>
      </c>
      <c r="I455" s="13">
        <f t="shared" si="140"/>
        <v>46</v>
      </c>
      <c r="J455" s="13">
        <f t="shared" si="141"/>
        <v>393</v>
      </c>
      <c r="K455" s="13">
        <f t="shared" si="142"/>
        <v>393</v>
      </c>
      <c r="L455" s="13">
        <f t="shared" si="143"/>
        <v>249.5</v>
      </c>
      <c r="M455" s="13">
        <f t="shared" si="144"/>
        <v>13</v>
      </c>
      <c r="N455" s="13" t="b">
        <f t="shared" si="145"/>
        <v>1</v>
      </c>
      <c r="O455" s="13" t="b">
        <f t="shared" si="146"/>
        <v>1</v>
      </c>
      <c r="P455" s="13" t="str">
        <f t="shared" si="147"/>
        <v>C005345-ct</v>
      </c>
      <c r="Q455" s="14" t="str">
        <f t="shared" si="148"/>
        <v>T046359
1</v>
      </c>
      <c r="R455" s="13" t="b">
        <f t="shared" si="149"/>
        <v>0</v>
      </c>
      <c r="S455" s="13" t="str">
        <f t="shared" si="150"/>
        <v>11</v>
      </c>
      <c r="T455" s="13" t="str">
        <f t="shared" si="151"/>
        <v>CT</v>
      </c>
      <c r="U455" s="13" t="str">
        <f t="shared" si="152"/>
        <v>ct</v>
      </c>
      <c r="V455" s="13">
        <f t="shared" si="153"/>
        <v>2</v>
      </c>
      <c r="W455" s="13" t="str">
        <f t="shared" si="154"/>
        <v>T046359 1</v>
      </c>
      <c r="X455" s="13" t="str">
        <f t="shared" si="155"/>
        <v>S55695</v>
      </c>
      <c r="Y455" s="13" t="str">
        <f t="shared" si="156"/>
        <v>T04</v>
      </c>
      <c r="Z455" s="13" t="str">
        <f t="shared" si="157"/>
        <v>359</v>
      </c>
      <c r="AA455" s="13">
        <f t="shared" si="158"/>
        <v>2</v>
      </c>
      <c r="AB455" s="13">
        <f t="shared" si="159"/>
        <v>2</v>
      </c>
      <c r="AC455" s="13"/>
      <c r="AD455" s="13"/>
      <c r="AE455" s="13"/>
    </row>
    <row r="456" spans="1:31" ht="30" x14ac:dyDescent="0.25">
      <c r="A456" s="9" t="s">
        <v>26</v>
      </c>
      <c r="B456" s="9" t="s">
        <v>1537</v>
      </c>
      <c r="C456" s="9" t="s">
        <v>1538</v>
      </c>
      <c r="D456" s="9" t="s">
        <v>141</v>
      </c>
      <c r="E456" s="9" t="s">
        <v>479</v>
      </c>
      <c r="F456" s="9">
        <v>6</v>
      </c>
      <c r="G456" s="9" t="s">
        <v>36</v>
      </c>
      <c r="H456" s="9">
        <v>8</v>
      </c>
      <c r="I456" s="13">
        <f t="shared" si="140"/>
        <v>48</v>
      </c>
      <c r="J456" s="13">
        <f t="shared" si="141"/>
        <v>382.5</v>
      </c>
      <c r="K456" s="13">
        <f t="shared" si="142"/>
        <v>379</v>
      </c>
      <c r="L456" s="13">
        <f t="shared" si="143"/>
        <v>245</v>
      </c>
      <c r="M456" s="13">
        <f t="shared" si="144"/>
        <v>15</v>
      </c>
      <c r="N456" s="13" t="b">
        <f t="shared" si="145"/>
        <v>0</v>
      </c>
      <c r="O456" s="13" t="b">
        <f t="shared" si="146"/>
        <v>1</v>
      </c>
      <c r="P456" s="13" t="str">
        <f t="shared" si="147"/>
        <v>C001581-cans</v>
      </c>
      <c r="Q456" s="14" t="str">
        <f t="shared" si="148"/>
        <v>T01327
6</v>
      </c>
      <c r="R456" s="13" t="b">
        <f t="shared" si="149"/>
        <v>0</v>
      </c>
      <c r="S456" s="13" t="str">
        <f t="shared" si="150"/>
        <v>04</v>
      </c>
      <c r="T456" s="13" t="str">
        <f t="shared" si="151"/>
        <v>CANS</v>
      </c>
      <c r="U456" s="13" t="str">
        <f t="shared" si="152"/>
        <v>cans</v>
      </c>
      <c r="V456" s="13">
        <f t="shared" si="153"/>
        <v>2</v>
      </c>
      <c r="W456" s="13" t="str">
        <f t="shared" si="154"/>
        <v>T01327 6</v>
      </c>
      <c r="X456" s="13" t="str">
        <f t="shared" si="155"/>
        <v>S55636</v>
      </c>
      <c r="Y456" s="13" t="str">
        <f t="shared" si="156"/>
        <v>T01</v>
      </c>
      <c r="Z456" s="13" t="str">
        <f t="shared" si="157"/>
        <v>327</v>
      </c>
      <c r="AA456" s="13">
        <f t="shared" si="158"/>
        <v>2</v>
      </c>
      <c r="AB456" s="13">
        <f t="shared" si="159"/>
        <v>4</v>
      </c>
      <c r="AC456" s="13"/>
      <c r="AD456" s="13"/>
      <c r="AE456" s="13"/>
    </row>
    <row r="457" spans="1:31" ht="30" x14ac:dyDescent="0.25">
      <c r="A457" s="9" t="s">
        <v>74</v>
      </c>
      <c r="B457" s="9" t="s">
        <v>1539</v>
      </c>
      <c r="C457" s="9" t="s">
        <v>1540</v>
      </c>
      <c r="D457" s="9" t="s">
        <v>1541</v>
      </c>
      <c r="E457" s="9" t="s">
        <v>1542</v>
      </c>
      <c r="F457" s="9">
        <v>9</v>
      </c>
      <c r="G457" s="9" t="s">
        <v>14</v>
      </c>
      <c r="H457" s="9">
        <v>24</v>
      </c>
      <c r="I457" s="13">
        <f t="shared" si="140"/>
        <v>216</v>
      </c>
      <c r="J457" s="13">
        <f t="shared" si="141"/>
        <v>38</v>
      </c>
      <c r="K457" s="13">
        <f t="shared" si="142"/>
        <v>37</v>
      </c>
      <c r="L457" s="13">
        <f t="shared" si="143"/>
        <v>203.5</v>
      </c>
      <c r="M457" s="13">
        <f t="shared" si="144"/>
        <v>12</v>
      </c>
      <c r="N457" s="13" t="b">
        <f t="shared" si="145"/>
        <v>1</v>
      </c>
      <c r="O457" s="13" t="b">
        <f t="shared" si="146"/>
        <v>1</v>
      </c>
      <c r="P457" s="13" t="str">
        <f t="shared" si="147"/>
        <v>C003430-ct</v>
      </c>
      <c r="Q457" s="14" t="str">
        <f t="shared" si="148"/>
        <v>T048593
9</v>
      </c>
      <c r="R457" s="13" t="b">
        <f t="shared" si="149"/>
        <v>0</v>
      </c>
      <c r="S457" s="13" t="str">
        <f t="shared" si="150"/>
        <v>13</v>
      </c>
      <c r="T457" s="13" t="str">
        <f t="shared" si="151"/>
        <v>CT</v>
      </c>
      <c r="U457" s="13" t="str">
        <f t="shared" si="152"/>
        <v>ct</v>
      </c>
      <c r="V457" s="13">
        <f t="shared" si="153"/>
        <v>2</v>
      </c>
      <c r="W457" s="13" t="str">
        <f t="shared" si="154"/>
        <v>T048593 9</v>
      </c>
      <c r="X457" s="13" t="str">
        <f t="shared" si="155"/>
        <v>S55565</v>
      </c>
      <c r="Y457" s="13" t="str">
        <f t="shared" si="156"/>
        <v>T04</v>
      </c>
      <c r="Z457" s="13" t="str">
        <f t="shared" si="157"/>
        <v>593</v>
      </c>
      <c r="AA457" s="13">
        <f t="shared" si="158"/>
        <v>2</v>
      </c>
      <c r="AB457" s="13">
        <f t="shared" si="159"/>
        <v>2</v>
      </c>
      <c r="AC457" s="13"/>
      <c r="AD457" s="13"/>
      <c r="AE457" s="13"/>
    </row>
    <row r="458" spans="1:31" ht="30" x14ac:dyDescent="0.25">
      <c r="A458" s="9" t="s">
        <v>348</v>
      </c>
      <c r="B458" s="9" t="s">
        <v>1543</v>
      </c>
      <c r="C458" s="9" t="s">
        <v>1544</v>
      </c>
      <c r="D458" s="9" t="s">
        <v>29</v>
      </c>
      <c r="E458" s="9" t="s">
        <v>1545</v>
      </c>
      <c r="F458" s="9">
        <v>11</v>
      </c>
      <c r="G458" s="9" t="s">
        <v>14</v>
      </c>
      <c r="H458" s="9">
        <v>14</v>
      </c>
      <c r="I458" s="13">
        <f t="shared" si="140"/>
        <v>154</v>
      </c>
      <c r="J458" s="13">
        <f t="shared" si="141"/>
        <v>100.5</v>
      </c>
      <c r="K458" s="13">
        <f t="shared" si="142"/>
        <v>99</v>
      </c>
      <c r="L458" s="13">
        <f t="shared" si="143"/>
        <v>179.5</v>
      </c>
      <c r="M458" s="13">
        <f t="shared" si="144"/>
        <v>11</v>
      </c>
      <c r="N458" s="13" t="b">
        <f t="shared" si="145"/>
        <v>0</v>
      </c>
      <c r="O458" s="13" t="b">
        <f t="shared" si="146"/>
        <v>1</v>
      </c>
      <c r="P458" s="13" t="str">
        <f t="shared" si="147"/>
        <v>C003069-ct</v>
      </c>
      <c r="Q458" s="14" t="str">
        <f t="shared" si="148"/>
        <v>T054261
11</v>
      </c>
      <c r="R458" s="13" t="b">
        <f t="shared" si="149"/>
        <v>0</v>
      </c>
      <c r="S458" s="13" t="str">
        <f t="shared" si="150"/>
        <v>13</v>
      </c>
      <c r="T458" s="13" t="str">
        <f t="shared" si="151"/>
        <v>CT</v>
      </c>
      <c r="U458" s="13" t="str">
        <f t="shared" si="152"/>
        <v>ct</v>
      </c>
      <c r="V458" s="13">
        <f t="shared" si="153"/>
        <v>2</v>
      </c>
      <c r="W458" s="13" t="str">
        <f t="shared" si="154"/>
        <v>T054261 11</v>
      </c>
      <c r="X458" s="13" t="str">
        <f t="shared" si="155"/>
        <v>S55722</v>
      </c>
      <c r="Y458" s="13" t="str">
        <f t="shared" si="156"/>
        <v>T05</v>
      </c>
      <c r="Z458" s="13" t="str">
        <f t="shared" si="157"/>
        <v>261</v>
      </c>
      <c r="AA458" s="13">
        <f t="shared" si="158"/>
        <v>2</v>
      </c>
      <c r="AB458" s="13">
        <f t="shared" si="159"/>
        <v>2</v>
      </c>
      <c r="AC458" s="13"/>
      <c r="AD458" s="13"/>
      <c r="AE458" s="13"/>
    </row>
    <row r="459" spans="1:31" ht="30" x14ac:dyDescent="0.25">
      <c r="A459" s="9" t="s">
        <v>292</v>
      </c>
      <c r="B459" s="9" t="s">
        <v>1546</v>
      </c>
      <c r="C459" s="9" t="s">
        <v>1547</v>
      </c>
      <c r="D459" s="9" t="s">
        <v>335</v>
      </c>
      <c r="E459" s="9" t="s">
        <v>1385</v>
      </c>
      <c r="F459" s="9">
        <v>3</v>
      </c>
      <c r="G459" s="9" t="s">
        <v>36</v>
      </c>
      <c r="H459" s="9">
        <v>40</v>
      </c>
      <c r="I459" s="13">
        <f t="shared" si="140"/>
        <v>120</v>
      </c>
      <c r="J459" s="13">
        <f t="shared" si="141"/>
        <v>169.5</v>
      </c>
      <c r="K459" s="13">
        <f t="shared" si="142"/>
        <v>162</v>
      </c>
      <c r="L459" s="13">
        <f t="shared" si="143"/>
        <v>237</v>
      </c>
      <c r="M459" s="13">
        <f t="shared" si="144"/>
        <v>14</v>
      </c>
      <c r="N459" s="13" t="b">
        <f t="shared" si="145"/>
        <v>1</v>
      </c>
      <c r="O459" s="13" t="b">
        <f t="shared" si="146"/>
        <v>1</v>
      </c>
      <c r="P459" s="13" t="str">
        <f t="shared" si="147"/>
        <v>C005155-cans</v>
      </c>
      <c r="Q459" s="14" t="str">
        <f t="shared" si="148"/>
        <v>T037158
3</v>
      </c>
      <c r="R459" s="13" t="b">
        <f t="shared" si="149"/>
        <v>0</v>
      </c>
      <c r="S459" s="13" t="str">
        <f t="shared" si="150"/>
        <v>05</v>
      </c>
      <c r="T459" s="13" t="str">
        <f t="shared" si="151"/>
        <v>CANS</v>
      </c>
      <c r="U459" s="13" t="str">
        <f t="shared" si="152"/>
        <v>cans</v>
      </c>
      <c r="V459" s="13">
        <f t="shared" si="153"/>
        <v>2</v>
      </c>
      <c r="W459" s="13" t="str">
        <f t="shared" si="154"/>
        <v>T037158 3</v>
      </c>
      <c r="X459" s="13" t="str">
        <f t="shared" si="155"/>
        <v>S5528</v>
      </c>
      <c r="Y459" s="13" t="str">
        <f t="shared" si="156"/>
        <v>T03</v>
      </c>
      <c r="Z459" s="13" t="str">
        <f t="shared" si="157"/>
        <v>158</v>
      </c>
      <c r="AA459" s="13">
        <f t="shared" si="158"/>
        <v>2</v>
      </c>
      <c r="AB459" s="13">
        <f t="shared" si="159"/>
        <v>4</v>
      </c>
      <c r="AC459" s="13"/>
      <c r="AD459" s="13"/>
      <c r="AE459" s="13"/>
    </row>
    <row r="460" spans="1:31" ht="30" x14ac:dyDescent="0.25">
      <c r="A460" s="9" t="s">
        <v>227</v>
      </c>
      <c r="B460" s="9" t="s">
        <v>1548</v>
      </c>
      <c r="C460" s="9" t="s">
        <v>1549</v>
      </c>
      <c r="D460" s="9" t="s">
        <v>1550</v>
      </c>
      <c r="E460" s="9" t="s">
        <v>495</v>
      </c>
      <c r="F460" s="9">
        <v>7</v>
      </c>
      <c r="G460" s="9" t="s">
        <v>36</v>
      </c>
      <c r="H460" s="9">
        <v>23</v>
      </c>
      <c r="I460" s="13">
        <f t="shared" si="140"/>
        <v>161</v>
      </c>
      <c r="J460" s="13">
        <f t="shared" si="141"/>
        <v>83</v>
      </c>
      <c r="K460" s="13">
        <f t="shared" si="142"/>
        <v>83</v>
      </c>
      <c r="L460" s="13">
        <f t="shared" si="143"/>
        <v>197</v>
      </c>
      <c r="M460" s="13">
        <f t="shared" si="144"/>
        <v>13</v>
      </c>
      <c r="N460" s="13" t="b">
        <f t="shared" si="145"/>
        <v>1</v>
      </c>
      <c r="O460" s="13" t="b">
        <f t="shared" si="146"/>
        <v>1</v>
      </c>
      <c r="P460" s="13" t="str">
        <f t="shared" si="147"/>
        <v>C001500-cans</v>
      </c>
      <c r="Q460" s="14" t="str">
        <f t="shared" si="148"/>
        <v>T089177
7</v>
      </c>
      <c r="R460" s="13" t="b">
        <f t="shared" si="149"/>
        <v>0</v>
      </c>
      <c r="S460" s="13" t="str">
        <f t="shared" si="150"/>
        <v>05</v>
      </c>
      <c r="T460" s="13" t="str">
        <f t="shared" si="151"/>
        <v>CANS</v>
      </c>
      <c r="U460" s="13" t="str">
        <f t="shared" si="152"/>
        <v>cans</v>
      </c>
      <c r="V460" s="13">
        <f t="shared" si="153"/>
        <v>2</v>
      </c>
      <c r="W460" s="13" t="str">
        <f t="shared" si="154"/>
        <v>T089177 7</v>
      </c>
      <c r="X460" s="13" t="str">
        <f t="shared" si="155"/>
        <v>S55312</v>
      </c>
      <c r="Y460" s="13" t="str">
        <f t="shared" si="156"/>
        <v>T08</v>
      </c>
      <c r="Z460" s="13" t="str">
        <f t="shared" si="157"/>
        <v>177</v>
      </c>
      <c r="AA460" s="13">
        <f t="shared" si="158"/>
        <v>2</v>
      </c>
      <c r="AB460" s="13">
        <f t="shared" si="159"/>
        <v>4</v>
      </c>
      <c r="AC460" s="13"/>
      <c r="AD460" s="13"/>
      <c r="AE460" s="13"/>
    </row>
    <row r="461" spans="1:31" ht="30" x14ac:dyDescent="0.25">
      <c r="A461" s="9" t="s">
        <v>125</v>
      </c>
      <c r="B461" s="9" t="s">
        <v>1551</v>
      </c>
      <c r="C461" s="9" t="s">
        <v>1552</v>
      </c>
      <c r="D461" s="9" t="s">
        <v>1553</v>
      </c>
      <c r="E461" s="9" t="s">
        <v>558</v>
      </c>
      <c r="F461" s="9">
        <v>10</v>
      </c>
      <c r="G461" s="9" t="s">
        <v>36</v>
      </c>
      <c r="H461" s="9">
        <v>6.75</v>
      </c>
      <c r="I461" s="13">
        <f t="shared" si="140"/>
        <v>67.5</v>
      </c>
      <c r="J461" s="13">
        <f t="shared" si="141"/>
        <v>311.5</v>
      </c>
      <c r="K461" s="13">
        <f t="shared" si="142"/>
        <v>309</v>
      </c>
      <c r="L461" s="13">
        <f t="shared" si="143"/>
        <v>174</v>
      </c>
      <c r="M461" s="13">
        <f t="shared" si="144"/>
        <v>12</v>
      </c>
      <c r="N461" s="13" t="b">
        <f t="shared" si="145"/>
        <v>0</v>
      </c>
      <c r="O461" s="13" t="b">
        <f t="shared" si="146"/>
        <v>1</v>
      </c>
      <c r="P461" s="13" t="str">
        <f t="shared" si="147"/>
        <v>C008667-cans</v>
      </c>
      <c r="Q461" s="14" t="str">
        <f t="shared" si="148"/>
        <v>T050366
10</v>
      </c>
      <c r="R461" s="13" t="b">
        <f t="shared" si="149"/>
        <v>0</v>
      </c>
      <c r="S461" s="13" t="str">
        <f t="shared" si="150"/>
        <v>00</v>
      </c>
      <c r="T461" s="13" t="str">
        <f t="shared" si="151"/>
        <v>CANS</v>
      </c>
      <c r="U461" s="13" t="str">
        <f t="shared" si="152"/>
        <v>cans</v>
      </c>
      <c r="V461" s="13">
        <f t="shared" si="153"/>
        <v>2</v>
      </c>
      <c r="W461" s="13" t="str">
        <f t="shared" si="154"/>
        <v>T050366 10</v>
      </c>
      <c r="X461" s="13" t="str">
        <f t="shared" si="155"/>
        <v>S55429</v>
      </c>
      <c r="Y461" s="13" t="str">
        <f t="shared" si="156"/>
        <v>T05</v>
      </c>
      <c r="Z461" s="13" t="str">
        <f t="shared" si="157"/>
        <v>366</v>
      </c>
      <c r="AA461" s="13">
        <f t="shared" si="158"/>
        <v>2</v>
      </c>
      <c r="AB461" s="13">
        <f t="shared" si="159"/>
        <v>4</v>
      </c>
      <c r="AC461" s="13"/>
      <c r="AD461" s="13"/>
      <c r="AE461" s="13"/>
    </row>
    <row r="462" spans="1:31" ht="30" x14ac:dyDescent="0.25">
      <c r="A462" s="9" t="s">
        <v>468</v>
      </c>
      <c r="B462" s="9" t="s">
        <v>1554</v>
      </c>
      <c r="C462" s="9" t="s">
        <v>1555</v>
      </c>
      <c r="D462" s="9" t="s">
        <v>1556</v>
      </c>
      <c r="E462" s="9" t="s">
        <v>1557</v>
      </c>
      <c r="F462" s="9">
        <v>8</v>
      </c>
      <c r="G462" s="9" t="s">
        <v>36</v>
      </c>
      <c r="H462" s="9">
        <v>16.25</v>
      </c>
      <c r="I462" s="13">
        <f t="shared" si="140"/>
        <v>130</v>
      </c>
      <c r="J462" s="13">
        <f t="shared" si="141"/>
        <v>145</v>
      </c>
      <c r="K462" s="13">
        <f t="shared" si="142"/>
        <v>143</v>
      </c>
      <c r="L462" s="13">
        <f t="shared" si="143"/>
        <v>167.25</v>
      </c>
      <c r="M462" s="13">
        <f t="shared" si="144"/>
        <v>11</v>
      </c>
      <c r="N462" s="13" t="b">
        <f t="shared" si="145"/>
        <v>0</v>
      </c>
      <c r="O462" s="13" t="b">
        <f t="shared" si="146"/>
        <v>1</v>
      </c>
      <c r="P462" s="13" t="str">
        <f t="shared" si="147"/>
        <v>C006351-cans</v>
      </c>
      <c r="Q462" s="14" t="str">
        <f t="shared" si="148"/>
        <v>T070393
8</v>
      </c>
      <c r="R462" s="13" t="b">
        <f t="shared" si="149"/>
        <v>0</v>
      </c>
      <c r="S462" s="13" t="str">
        <f t="shared" si="150"/>
        <v>02</v>
      </c>
      <c r="T462" s="13" t="str">
        <f t="shared" si="151"/>
        <v>CANS</v>
      </c>
      <c r="U462" s="13" t="str">
        <f t="shared" si="152"/>
        <v>cans</v>
      </c>
      <c r="V462" s="13">
        <f t="shared" si="153"/>
        <v>2</v>
      </c>
      <c r="W462" s="13" t="str">
        <f t="shared" si="154"/>
        <v>T070393 8</v>
      </c>
      <c r="X462" s="13" t="str">
        <f t="shared" si="155"/>
        <v>S55419</v>
      </c>
      <c r="Y462" s="13" t="str">
        <f t="shared" si="156"/>
        <v>T07</v>
      </c>
      <c r="Z462" s="13" t="str">
        <f t="shared" si="157"/>
        <v>393</v>
      </c>
      <c r="AA462" s="13">
        <f t="shared" si="158"/>
        <v>2</v>
      </c>
      <c r="AB462" s="13">
        <f t="shared" si="159"/>
        <v>4</v>
      </c>
      <c r="AC462" s="13"/>
      <c r="AD462" s="13"/>
      <c r="AE462" s="13"/>
    </row>
    <row r="463" spans="1:31" ht="30" x14ac:dyDescent="0.25">
      <c r="A463" s="9" t="s">
        <v>218</v>
      </c>
      <c r="B463" s="9" t="s">
        <v>1558</v>
      </c>
      <c r="C463" s="9" t="s">
        <v>1559</v>
      </c>
      <c r="D463" s="9" t="s">
        <v>1259</v>
      </c>
      <c r="E463" s="9" t="s">
        <v>315</v>
      </c>
      <c r="F463" s="9">
        <v>5</v>
      </c>
      <c r="G463" s="9" t="s">
        <v>68</v>
      </c>
      <c r="H463" s="9">
        <v>18</v>
      </c>
      <c r="I463" s="13">
        <f t="shared" si="140"/>
        <v>90</v>
      </c>
      <c r="J463" s="13">
        <f t="shared" si="141"/>
        <v>245</v>
      </c>
      <c r="K463" s="13">
        <f t="shared" si="142"/>
        <v>239</v>
      </c>
      <c r="L463" s="13">
        <f t="shared" si="143"/>
        <v>126</v>
      </c>
      <c r="M463" s="13">
        <f t="shared" si="144"/>
        <v>7</v>
      </c>
      <c r="N463" s="13" t="b">
        <f t="shared" si="145"/>
        <v>0</v>
      </c>
      <c r="O463" s="13" t="b">
        <f t="shared" si="146"/>
        <v>1</v>
      </c>
      <c r="P463" s="13" t="str">
        <f t="shared" si="147"/>
        <v>C004102-bottles</v>
      </c>
      <c r="Q463" s="14" t="str">
        <f t="shared" si="148"/>
        <v>T03121
5</v>
      </c>
      <c r="R463" s="13" t="b">
        <f t="shared" si="149"/>
        <v>0</v>
      </c>
      <c r="S463" s="13" t="str">
        <f t="shared" si="150"/>
        <v>08</v>
      </c>
      <c r="T463" s="13" t="str">
        <f t="shared" si="151"/>
        <v>BOTTLES</v>
      </c>
      <c r="U463" s="13" t="str">
        <f t="shared" si="152"/>
        <v>bottles</v>
      </c>
      <c r="V463" s="13">
        <f t="shared" si="153"/>
        <v>2</v>
      </c>
      <c r="W463" s="13" t="str">
        <f t="shared" si="154"/>
        <v>T03121 5</v>
      </c>
      <c r="X463" s="13" t="str">
        <f t="shared" si="155"/>
        <v>S55218</v>
      </c>
      <c r="Y463" s="13" t="str">
        <f t="shared" si="156"/>
        <v>T03</v>
      </c>
      <c r="Z463" s="13" t="str">
        <f t="shared" si="157"/>
        <v>121</v>
      </c>
      <c r="AA463" s="13">
        <f t="shared" si="158"/>
        <v>2</v>
      </c>
      <c r="AB463" s="13">
        <f t="shared" si="159"/>
        <v>7</v>
      </c>
      <c r="AC463" s="13"/>
      <c r="AD463" s="13"/>
      <c r="AE463" s="13"/>
    </row>
    <row r="464" spans="1:31" ht="30" x14ac:dyDescent="0.25">
      <c r="A464" s="9" t="s">
        <v>125</v>
      </c>
      <c r="B464" s="9" t="s">
        <v>1560</v>
      </c>
      <c r="C464" s="9" t="s">
        <v>1561</v>
      </c>
      <c r="D464" s="9" t="s">
        <v>794</v>
      </c>
      <c r="E464" s="9" t="s">
        <v>1562</v>
      </c>
      <c r="F464" s="9">
        <v>7</v>
      </c>
      <c r="G464" s="9" t="s">
        <v>14</v>
      </c>
      <c r="H464" s="9">
        <v>29</v>
      </c>
      <c r="I464" s="13">
        <f t="shared" si="140"/>
        <v>203</v>
      </c>
      <c r="J464" s="13">
        <f t="shared" si="141"/>
        <v>45</v>
      </c>
      <c r="K464" s="13">
        <f t="shared" si="142"/>
        <v>45</v>
      </c>
      <c r="L464" s="13">
        <f t="shared" si="143"/>
        <v>165.5</v>
      </c>
      <c r="M464" s="13">
        <f t="shared" si="144"/>
        <v>10</v>
      </c>
      <c r="N464" s="13" t="b">
        <f t="shared" si="145"/>
        <v>1</v>
      </c>
      <c r="O464" s="13" t="b">
        <f t="shared" si="146"/>
        <v>1</v>
      </c>
      <c r="P464" s="13" t="str">
        <f t="shared" si="147"/>
        <v>C007664-ct</v>
      </c>
      <c r="Q464" s="14" t="str">
        <f t="shared" si="148"/>
        <v>T066869
7</v>
      </c>
      <c r="R464" s="13" t="b">
        <f t="shared" si="149"/>
        <v>0</v>
      </c>
      <c r="S464" s="13" t="str">
        <f t="shared" si="150"/>
        <v>14</v>
      </c>
      <c r="T464" s="13" t="str">
        <f t="shared" si="151"/>
        <v>CT</v>
      </c>
      <c r="U464" s="13" t="str">
        <f t="shared" si="152"/>
        <v>ct</v>
      </c>
      <c r="V464" s="13">
        <f t="shared" si="153"/>
        <v>2</v>
      </c>
      <c r="W464" s="13" t="str">
        <f t="shared" si="154"/>
        <v>T066869 7</v>
      </c>
      <c r="X464" s="13" t="str">
        <f t="shared" si="155"/>
        <v>S55255</v>
      </c>
      <c r="Y464" s="13" t="str">
        <f t="shared" si="156"/>
        <v>T06</v>
      </c>
      <c r="Z464" s="13" t="str">
        <f t="shared" si="157"/>
        <v>869</v>
      </c>
      <c r="AA464" s="13">
        <f t="shared" si="158"/>
        <v>2</v>
      </c>
      <c r="AB464" s="13">
        <f t="shared" si="159"/>
        <v>2</v>
      </c>
      <c r="AC464" s="13"/>
      <c r="AD464" s="13"/>
      <c r="AE464" s="13"/>
    </row>
    <row r="465" spans="1:31" ht="30" x14ac:dyDescent="0.25">
      <c r="A465" s="9" t="s">
        <v>177</v>
      </c>
      <c r="B465" s="9" t="s">
        <v>1563</v>
      </c>
      <c r="C465" s="9" t="s">
        <v>1564</v>
      </c>
      <c r="D465" s="9" t="s">
        <v>948</v>
      </c>
      <c r="E465" s="9" t="s">
        <v>1545</v>
      </c>
      <c r="F465" s="9">
        <v>9</v>
      </c>
      <c r="G465" s="9" t="s">
        <v>36</v>
      </c>
      <c r="H465" s="9">
        <v>11.5</v>
      </c>
      <c r="I465" s="13">
        <f t="shared" si="140"/>
        <v>103.5</v>
      </c>
      <c r="J465" s="13">
        <f t="shared" si="141"/>
        <v>209</v>
      </c>
      <c r="K465" s="13">
        <f t="shared" si="142"/>
        <v>209</v>
      </c>
      <c r="L465" s="13">
        <f t="shared" si="143"/>
        <v>151</v>
      </c>
      <c r="M465" s="13">
        <f t="shared" si="144"/>
        <v>10</v>
      </c>
      <c r="N465" s="13" t="b">
        <f t="shared" si="145"/>
        <v>0</v>
      </c>
      <c r="O465" s="13" t="b">
        <f t="shared" si="146"/>
        <v>1</v>
      </c>
      <c r="P465" s="13" t="str">
        <f t="shared" si="147"/>
        <v>C007293-cans</v>
      </c>
      <c r="Q465" s="14" t="str">
        <f t="shared" si="148"/>
        <v>T072748
9</v>
      </c>
      <c r="R465" s="13" t="b">
        <f t="shared" si="149"/>
        <v>0</v>
      </c>
      <c r="S465" s="13" t="str">
        <f t="shared" si="150"/>
        <v>02</v>
      </c>
      <c r="T465" s="13" t="str">
        <f t="shared" si="151"/>
        <v>CANS</v>
      </c>
      <c r="U465" s="13" t="str">
        <f t="shared" si="152"/>
        <v>cans</v>
      </c>
      <c r="V465" s="13">
        <f t="shared" si="153"/>
        <v>2</v>
      </c>
      <c r="W465" s="13" t="str">
        <f t="shared" si="154"/>
        <v>T072748 9</v>
      </c>
      <c r="X465" s="13" t="str">
        <f t="shared" si="155"/>
        <v>S55722</v>
      </c>
      <c r="Y465" s="13" t="str">
        <f t="shared" si="156"/>
        <v>T07</v>
      </c>
      <c r="Z465" s="13" t="str">
        <f t="shared" si="157"/>
        <v>748</v>
      </c>
      <c r="AA465" s="13">
        <f t="shared" si="158"/>
        <v>2</v>
      </c>
      <c r="AB465" s="13">
        <f t="shared" si="159"/>
        <v>4</v>
      </c>
      <c r="AC465" s="13"/>
      <c r="AD465" s="13"/>
      <c r="AE465" s="13"/>
    </row>
    <row r="466" spans="1:31" ht="30" x14ac:dyDescent="0.25">
      <c r="A466" s="9" t="s">
        <v>91</v>
      </c>
      <c r="B466" s="9" t="s">
        <v>1565</v>
      </c>
      <c r="C466" s="9" t="s">
        <v>1566</v>
      </c>
      <c r="D466" s="9" t="s">
        <v>1567</v>
      </c>
      <c r="E466" s="9" t="s">
        <v>83</v>
      </c>
      <c r="F466" s="9">
        <v>10</v>
      </c>
      <c r="G466" s="9" t="s">
        <v>68</v>
      </c>
      <c r="H466" s="9">
        <v>26</v>
      </c>
      <c r="I466" s="13">
        <f t="shared" si="140"/>
        <v>260</v>
      </c>
      <c r="J466" s="13">
        <f t="shared" si="141"/>
        <v>24</v>
      </c>
      <c r="K466" s="13">
        <f t="shared" si="142"/>
        <v>24</v>
      </c>
      <c r="L466" s="13">
        <f t="shared" si="143"/>
        <v>108</v>
      </c>
      <c r="M466" s="13">
        <f t="shared" si="144"/>
        <v>6</v>
      </c>
      <c r="N466" s="13" t="b">
        <f t="shared" si="145"/>
        <v>1</v>
      </c>
      <c r="O466" s="13" t="b">
        <f t="shared" si="146"/>
        <v>1</v>
      </c>
      <c r="P466" s="13" t="str">
        <f t="shared" si="147"/>
        <v>C001095-bottles</v>
      </c>
      <c r="Q466" s="14" t="str">
        <f t="shared" si="148"/>
        <v>T083957
10</v>
      </c>
      <c r="R466" s="13" t="b">
        <f t="shared" si="149"/>
        <v>0</v>
      </c>
      <c r="S466" s="13" t="str">
        <f t="shared" si="150"/>
        <v>03</v>
      </c>
      <c r="T466" s="13" t="str">
        <f t="shared" si="151"/>
        <v>BOTTLES</v>
      </c>
      <c r="U466" s="13" t="str">
        <f t="shared" si="152"/>
        <v>bottles</v>
      </c>
      <c r="V466" s="13">
        <f t="shared" si="153"/>
        <v>2</v>
      </c>
      <c r="W466" s="13" t="str">
        <f t="shared" si="154"/>
        <v>T083957 10</v>
      </c>
      <c r="X466" s="13" t="str">
        <f t="shared" si="155"/>
        <v>S55164</v>
      </c>
      <c r="Y466" s="13" t="str">
        <f t="shared" si="156"/>
        <v>T08</v>
      </c>
      <c r="Z466" s="13" t="str">
        <f t="shared" si="157"/>
        <v>957</v>
      </c>
      <c r="AA466" s="13">
        <f t="shared" si="158"/>
        <v>2</v>
      </c>
      <c r="AB466" s="13">
        <f t="shared" si="159"/>
        <v>7</v>
      </c>
      <c r="AC466" s="13"/>
      <c r="AD466" s="13"/>
      <c r="AE466" s="13"/>
    </row>
    <row r="467" spans="1:31" ht="30" x14ac:dyDescent="0.25">
      <c r="A467" s="9" t="s">
        <v>84</v>
      </c>
      <c r="B467" s="9" t="s">
        <v>1568</v>
      </c>
      <c r="C467" s="9" t="s">
        <v>1569</v>
      </c>
      <c r="D467" s="9" t="s">
        <v>1289</v>
      </c>
      <c r="E467" s="9" t="s">
        <v>150</v>
      </c>
      <c r="F467" s="9">
        <v>5</v>
      </c>
      <c r="G467" s="9" t="s">
        <v>36</v>
      </c>
      <c r="H467" s="9">
        <v>18</v>
      </c>
      <c r="I467" s="13">
        <f t="shared" si="140"/>
        <v>90</v>
      </c>
      <c r="J467" s="13">
        <f t="shared" si="141"/>
        <v>245</v>
      </c>
      <c r="K467" s="13">
        <f t="shared" si="142"/>
        <v>239</v>
      </c>
      <c r="L467" s="13">
        <f t="shared" si="143"/>
        <v>139.5</v>
      </c>
      <c r="M467" s="13">
        <f t="shared" si="144"/>
        <v>9</v>
      </c>
      <c r="N467" s="13" t="b">
        <f t="shared" si="145"/>
        <v>0</v>
      </c>
      <c r="O467" s="13" t="b">
        <f t="shared" si="146"/>
        <v>1</v>
      </c>
      <c r="P467" s="13" t="str">
        <f t="shared" si="147"/>
        <v>C004985-cans</v>
      </c>
      <c r="Q467" s="14" t="str">
        <f t="shared" si="148"/>
        <v>T033333
5</v>
      </c>
      <c r="R467" s="13" t="b">
        <f t="shared" si="149"/>
        <v>0</v>
      </c>
      <c r="S467" s="13" t="str">
        <f t="shared" si="150"/>
        <v>08</v>
      </c>
      <c r="T467" s="13" t="str">
        <f t="shared" si="151"/>
        <v>CANS</v>
      </c>
      <c r="U467" s="13" t="str">
        <f t="shared" si="152"/>
        <v>cans</v>
      </c>
      <c r="V467" s="13">
        <f t="shared" si="153"/>
        <v>2</v>
      </c>
      <c r="W467" s="13" t="str">
        <f t="shared" si="154"/>
        <v>T033333 5</v>
      </c>
      <c r="X467" s="13" t="str">
        <f t="shared" si="155"/>
        <v>S55172</v>
      </c>
      <c r="Y467" s="13" t="str">
        <f t="shared" si="156"/>
        <v>T03</v>
      </c>
      <c r="Z467" s="13" t="str">
        <f t="shared" si="157"/>
        <v>333</v>
      </c>
      <c r="AA467" s="13">
        <f t="shared" si="158"/>
        <v>2</v>
      </c>
      <c r="AB467" s="13">
        <f t="shared" si="159"/>
        <v>4</v>
      </c>
      <c r="AC467" s="13"/>
      <c r="AD467" s="13"/>
      <c r="AE467" s="13"/>
    </row>
    <row r="468" spans="1:31" ht="30" x14ac:dyDescent="0.25">
      <c r="A468" s="9" t="s">
        <v>79</v>
      </c>
      <c r="B468" s="9" t="s">
        <v>1570</v>
      </c>
      <c r="C468" s="9" t="s">
        <v>1571</v>
      </c>
      <c r="D468" s="9" t="s">
        <v>1572</v>
      </c>
      <c r="E468" s="9" t="s">
        <v>1270</v>
      </c>
      <c r="F468" s="9">
        <v>8</v>
      </c>
      <c r="G468" s="9" t="s">
        <v>36</v>
      </c>
      <c r="H468" s="9">
        <v>6.75</v>
      </c>
      <c r="I468" s="13">
        <f t="shared" si="140"/>
        <v>54</v>
      </c>
      <c r="J468" s="13">
        <f t="shared" si="141"/>
        <v>366.5</v>
      </c>
      <c r="K468" s="13">
        <f t="shared" si="142"/>
        <v>365</v>
      </c>
      <c r="L468" s="13">
        <f t="shared" si="143"/>
        <v>121.5</v>
      </c>
      <c r="M468" s="13">
        <f t="shared" si="144"/>
        <v>8</v>
      </c>
      <c r="N468" s="13" t="b">
        <f t="shared" si="145"/>
        <v>0</v>
      </c>
      <c r="O468" s="13" t="b">
        <f t="shared" si="146"/>
        <v>1</v>
      </c>
      <c r="P468" s="13" t="str">
        <f t="shared" si="147"/>
        <v>C005107-cans</v>
      </c>
      <c r="Q468" s="14" t="str">
        <f t="shared" si="148"/>
        <v>T092118
8</v>
      </c>
      <c r="R468" s="13" t="b">
        <f t="shared" si="149"/>
        <v>0</v>
      </c>
      <c r="S468" s="13" t="str">
        <f t="shared" si="150"/>
        <v>00</v>
      </c>
      <c r="T468" s="13" t="str">
        <f t="shared" si="151"/>
        <v>CANS</v>
      </c>
      <c r="U468" s="13" t="str">
        <f t="shared" si="152"/>
        <v>cans</v>
      </c>
      <c r="V468" s="13">
        <f t="shared" si="153"/>
        <v>2</v>
      </c>
      <c r="W468" s="13" t="str">
        <f t="shared" si="154"/>
        <v>T092118 8</v>
      </c>
      <c r="X468" s="13" t="str">
        <f t="shared" si="155"/>
        <v>S55153</v>
      </c>
      <c r="Y468" s="13" t="str">
        <f t="shared" si="156"/>
        <v>T09</v>
      </c>
      <c r="Z468" s="13" t="str">
        <f t="shared" si="157"/>
        <v>118</v>
      </c>
      <c r="AA468" s="13">
        <f t="shared" si="158"/>
        <v>2</v>
      </c>
      <c r="AB468" s="13">
        <f t="shared" si="159"/>
        <v>4</v>
      </c>
      <c r="AC468" s="13"/>
      <c r="AD468" s="13"/>
      <c r="AE468" s="13"/>
    </row>
    <row r="469" spans="1:31" ht="30" x14ac:dyDescent="0.25">
      <c r="A469" s="9" t="s">
        <v>31</v>
      </c>
      <c r="B469" s="9" t="s">
        <v>1573</v>
      </c>
      <c r="C469" s="9" t="s">
        <v>1574</v>
      </c>
      <c r="D469" s="9" t="s">
        <v>958</v>
      </c>
      <c r="E469" s="9" t="s">
        <v>1575</v>
      </c>
      <c r="F469" s="9">
        <v>4</v>
      </c>
      <c r="G469" s="9" t="s">
        <v>115</v>
      </c>
      <c r="H469" s="9">
        <v>17</v>
      </c>
      <c r="I469" s="13">
        <f t="shared" si="140"/>
        <v>68</v>
      </c>
      <c r="J469" s="13">
        <f t="shared" si="141"/>
        <v>306</v>
      </c>
      <c r="K469" s="13">
        <f t="shared" si="142"/>
        <v>304</v>
      </c>
      <c r="L469" s="13">
        <f t="shared" si="143"/>
        <v>65</v>
      </c>
      <c r="M469" s="13">
        <f t="shared" si="144"/>
        <v>4</v>
      </c>
      <c r="N469" s="13" t="b">
        <f t="shared" si="145"/>
        <v>0</v>
      </c>
      <c r="O469" s="13" t="b">
        <f t="shared" si="146"/>
        <v>1</v>
      </c>
      <c r="P469" s="13" t="str">
        <f t="shared" si="147"/>
        <v>C007256-bags</v>
      </c>
      <c r="Q469" s="14" t="str">
        <f t="shared" si="148"/>
        <v>T058485
4</v>
      </c>
      <c r="R469" s="13" t="b">
        <f t="shared" si="149"/>
        <v>0</v>
      </c>
      <c r="S469" s="13" t="str">
        <f t="shared" si="150"/>
        <v>15</v>
      </c>
      <c r="T469" s="13" t="str">
        <f t="shared" si="151"/>
        <v>BAGS</v>
      </c>
      <c r="U469" s="13" t="str">
        <f t="shared" si="152"/>
        <v>bags</v>
      </c>
      <c r="V469" s="13">
        <f t="shared" si="153"/>
        <v>2</v>
      </c>
      <c r="W469" s="13" t="str">
        <f t="shared" si="154"/>
        <v>T058485 4</v>
      </c>
      <c r="X469" s="13" t="str">
        <f t="shared" si="155"/>
        <v>S55635</v>
      </c>
      <c r="Y469" s="13" t="str">
        <f t="shared" si="156"/>
        <v>T05</v>
      </c>
      <c r="Z469" s="13" t="str">
        <f t="shared" si="157"/>
        <v>485</v>
      </c>
      <c r="AA469" s="13">
        <f t="shared" si="158"/>
        <v>2</v>
      </c>
      <c r="AB469" s="13">
        <f t="shared" si="159"/>
        <v>4</v>
      </c>
      <c r="AC469" s="13"/>
      <c r="AD469" s="13"/>
      <c r="AE469" s="13"/>
    </row>
    <row r="470" spans="1:31" ht="30" x14ac:dyDescent="0.25">
      <c r="A470" s="9" t="s">
        <v>84</v>
      </c>
      <c r="B470" s="9" t="s">
        <v>1576</v>
      </c>
      <c r="C470" s="9" t="s">
        <v>1577</v>
      </c>
      <c r="D470" s="9" t="s">
        <v>246</v>
      </c>
      <c r="E470" s="9" t="s">
        <v>1461</v>
      </c>
      <c r="F470" s="9">
        <v>3</v>
      </c>
      <c r="G470" s="9" t="s">
        <v>248</v>
      </c>
      <c r="H470" s="9">
        <v>15</v>
      </c>
      <c r="I470" s="13">
        <f t="shared" si="140"/>
        <v>45</v>
      </c>
      <c r="J470" s="13">
        <f t="shared" si="141"/>
        <v>396.5</v>
      </c>
      <c r="K470" s="13">
        <f t="shared" si="142"/>
        <v>394</v>
      </c>
      <c r="L470" s="13">
        <f t="shared" si="143"/>
        <v>30</v>
      </c>
      <c r="M470" s="13">
        <f t="shared" si="144"/>
        <v>2</v>
      </c>
      <c r="N470" s="13" t="b">
        <f t="shared" si="145"/>
        <v>0</v>
      </c>
      <c r="O470" s="13" t="b">
        <f t="shared" si="146"/>
        <v>1</v>
      </c>
      <c r="P470" s="13" t="str">
        <f t="shared" si="147"/>
        <v>C005770-lb</v>
      </c>
      <c r="Q470" s="14" t="str">
        <f t="shared" si="148"/>
        <v>T050025
3</v>
      </c>
      <c r="R470" s="13" t="b">
        <f t="shared" si="149"/>
        <v>0</v>
      </c>
      <c r="S470" s="13" t="str">
        <f t="shared" si="150"/>
        <v>22</v>
      </c>
      <c r="T470" s="13" t="str">
        <f t="shared" si="151"/>
        <v>LB</v>
      </c>
      <c r="U470" s="13" t="str">
        <f t="shared" si="152"/>
        <v>lb</v>
      </c>
      <c r="V470" s="13">
        <f t="shared" si="153"/>
        <v>2</v>
      </c>
      <c r="W470" s="13" t="str">
        <f t="shared" si="154"/>
        <v>T050025 3</v>
      </c>
      <c r="X470" s="13" t="str">
        <f t="shared" si="155"/>
        <v>S55674</v>
      </c>
      <c r="Y470" s="13" t="str">
        <f t="shared" si="156"/>
        <v>T05</v>
      </c>
      <c r="Z470" s="13" t="str">
        <f t="shared" si="157"/>
        <v>025</v>
      </c>
      <c r="AA470" s="13">
        <f t="shared" si="158"/>
        <v>2</v>
      </c>
      <c r="AB470" s="13">
        <f t="shared" si="159"/>
        <v>2</v>
      </c>
      <c r="AC470" s="13"/>
      <c r="AD470" s="13"/>
      <c r="AE470" s="13"/>
    </row>
    <row r="471" spans="1:31" ht="30" x14ac:dyDescent="0.25">
      <c r="A471" s="9" t="s">
        <v>100</v>
      </c>
      <c r="B471" s="9" t="s">
        <v>1578</v>
      </c>
      <c r="C471" s="9" t="s">
        <v>1579</v>
      </c>
      <c r="D471" s="9" t="s">
        <v>98</v>
      </c>
      <c r="E471" s="9" t="s">
        <v>912</v>
      </c>
      <c r="F471" s="9">
        <v>6</v>
      </c>
      <c r="G471" s="9" t="s">
        <v>36</v>
      </c>
      <c r="H471" s="9">
        <v>6.75</v>
      </c>
      <c r="I471" s="13">
        <f t="shared" si="140"/>
        <v>40.5</v>
      </c>
      <c r="J471" s="13">
        <f t="shared" si="141"/>
        <v>409.5</v>
      </c>
      <c r="K471" s="13">
        <f t="shared" si="142"/>
        <v>409</v>
      </c>
      <c r="L471" s="13">
        <f t="shared" si="143"/>
        <v>114.75</v>
      </c>
      <c r="M471" s="13">
        <f t="shared" si="144"/>
        <v>7</v>
      </c>
      <c r="N471" s="13" t="b">
        <f t="shared" si="145"/>
        <v>0</v>
      </c>
      <c r="O471" s="13" t="b">
        <f t="shared" si="146"/>
        <v>1</v>
      </c>
      <c r="P471" s="13" t="str">
        <f t="shared" si="147"/>
        <v>C005111-cans</v>
      </c>
      <c r="Q471" s="14" t="str">
        <f t="shared" si="148"/>
        <v>T056556
6</v>
      </c>
      <c r="R471" s="13" t="b">
        <f t="shared" si="149"/>
        <v>0</v>
      </c>
      <c r="S471" s="13" t="str">
        <f t="shared" si="150"/>
        <v>02</v>
      </c>
      <c r="T471" s="13" t="str">
        <f t="shared" si="151"/>
        <v>CANS</v>
      </c>
      <c r="U471" s="13" t="str">
        <f t="shared" si="152"/>
        <v>cans</v>
      </c>
      <c r="V471" s="13">
        <f t="shared" si="153"/>
        <v>2</v>
      </c>
      <c r="W471" s="13" t="str">
        <f t="shared" si="154"/>
        <v>T056556 6</v>
      </c>
      <c r="X471" s="13" t="str">
        <f t="shared" si="155"/>
        <v>S55649</v>
      </c>
      <c r="Y471" s="13" t="str">
        <f t="shared" si="156"/>
        <v>T05</v>
      </c>
      <c r="Z471" s="13" t="str">
        <f t="shared" si="157"/>
        <v>556</v>
      </c>
      <c r="AA471" s="13">
        <f t="shared" si="158"/>
        <v>2</v>
      </c>
      <c r="AB471" s="13">
        <f t="shared" si="159"/>
        <v>4</v>
      </c>
      <c r="AC471" s="13"/>
      <c r="AD471" s="13"/>
      <c r="AE471" s="13"/>
    </row>
    <row r="472" spans="1:31" ht="30" x14ac:dyDescent="0.25">
      <c r="A472" s="9" t="s">
        <v>171</v>
      </c>
      <c r="B472" s="9" t="s">
        <v>1580</v>
      </c>
      <c r="C472" s="9" t="s">
        <v>1581</v>
      </c>
      <c r="D472" s="9" t="s">
        <v>766</v>
      </c>
      <c r="E472" s="9" t="s">
        <v>336</v>
      </c>
      <c r="F472" s="9">
        <v>5</v>
      </c>
      <c r="G472" s="9" t="s">
        <v>14</v>
      </c>
      <c r="H472" s="9">
        <v>19.5</v>
      </c>
      <c r="I472" s="13">
        <f t="shared" si="140"/>
        <v>97.5</v>
      </c>
      <c r="J472" s="13">
        <f t="shared" si="141"/>
        <v>225</v>
      </c>
      <c r="K472" s="13">
        <f t="shared" si="142"/>
        <v>223</v>
      </c>
      <c r="L472" s="13">
        <f t="shared" si="143"/>
        <v>136.5</v>
      </c>
      <c r="M472" s="13">
        <f t="shared" si="144"/>
        <v>9</v>
      </c>
      <c r="N472" s="13" t="b">
        <f t="shared" si="145"/>
        <v>0</v>
      </c>
      <c r="O472" s="13" t="b">
        <f t="shared" si="146"/>
        <v>1</v>
      </c>
      <c r="P472" s="13" t="str">
        <f t="shared" si="147"/>
        <v>C004900-ct</v>
      </c>
      <c r="Q472" s="14" t="str">
        <f t="shared" si="148"/>
        <v>T077775
5</v>
      </c>
      <c r="R472" s="13" t="b">
        <f t="shared" si="149"/>
        <v>0</v>
      </c>
      <c r="S472" s="13" t="str">
        <f t="shared" si="150"/>
        <v>13</v>
      </c>
      <c r="T472" s="13" t="str">
        <f t="shared" si="151"/>
        <v>CT</v>
      </c>
      <c r="U472" s="13" t="str">
        <f t="shared" si="152"/>
        <v>ct</v>
      </c>
      <c r="V472" s="13">
        <f t="shared" si="153"/>
        <v>2</v>
      </c>
      <c r="W472" s="13" t="str">
        <f t="shared" si="154"/>
        <v>T077775 5</v>
      </c>
      <c r="X472" s="13" t="str">
        <f t="shared" si="155"/>
        <v>S55324</v>
      </c>
      <c r="Y472" s="13" t="str">
        <f t="shared" si="156"/>
        <v>T07</v>
      </c>
      <c r="Z472" s="13" t="str">
        <f t="shared" si="157"/>
        <v>775</v>
      </c>
      <c r="AA472" s="13">
        <f t="shared" si="158"/>
        <v>2</v>
      </c>
      <c r="AB472" s="13">
        <f t="shared" si="159"/>
        <v>2</v>
      </c>
      <c r="AC472" s="13"/>
      <c r="AD472" s="13"/>
      <c r="AE472" s="13"/>
    </row>
    <row r="473" spans="1:31" ht="30" x14ac:dyDescent="0.25">
      <c r="A473" s="9" t="s">
        <v>116</v>
      </c>
      <c r="B473" s="9" t="s">
        <v>1582</v>
      </c>
      <c r="C473" s="9" t="s">
        <v>1583</v>
      </c>
      <c r="D473" s="9" t="s">
        <v>1176</v>
      </c>
      <c r="E473" s="9" t="s">
        <v>1584</v>
      </c>
      <c r="F473" s="9">
        <v>7</v>
      </c>
      <c r="G473" s="9" t="s">
        <v>36</v>
      </c>
      <c r="H473" s="9">
        <v>6.75</v>
      </c>
      <c r="I473" s="13">
        <f t="shared" si="140"/>
        <v>47.25</v>
      </c>
      <c r="J473" s="13">
        <f t="shared" si="141"/>
        <v>389</v>
      </c>
      <c r="K473" s="13">
        <f t="shared" si="142"/>
        <v>387</v>
      </c>
      <c r="L473" s="13">
        <f t="shared" si="143"/>
        <v>108</v>
      </c>
      <c r="M473" s="13">
        <f t="shared" si="144"/>
        <v>6</v>
      </c>
      <c r="N473" s="13" t="b">
        <f t="shared" si="145"/>
        <v>0</v>
      </c>
      <c r="O473" s="13" t="b">
        <f t="shared" si="146"/>
        <v>1</v>
      </c>
      <c r="P473" s="13" t="str">
        <f t="shared" si="147"/>
        <v>C007152-cans</v>
      </c>
      <c r="Q473" s="14" t="str">
        <f t="shared" si="148"/>
        <v>T075701
7</v>
      </c>
      <c r="R473" s="13" t="b">
        <f t="shared" si="149"/>
        <v>0</v>
      </c>
      <c r="S473" s="13" t="str">
        <f t="shared" si="150"/>
        <v>01</v>
      </c>
      <c r="T473" s="13" t="str">
        <f t="shared" si="151"/>
        <v>CANS</v>
      </c>
      <c r="U473" s="13" t="str">
        <f t="shared" si="152"/>
        <v>cans</v>
      </c>
      <c r="V473" s="13">
        <f t="shared" si="153"/>
        <v>2</v>
      </c>
      <c r="W473" s="13" t="str">
        <f t="shared" si="154"/>
        <v>T075701 7</v>
      </c>
      <c r="X473" s="13" t="str">
        <f t="shared" si="155"/>
        <v>S55157</v>
      </c>
      <c r="Y473" s="13" t="str">
        <f t="shared" si="156"/>
        <v>T07</v>
      </c>
      <c r="Z473" s="13" t="str">
        <f t="shared" si="157"/>
        <v>701</v>
      </c>
      <c r="AA473" s="13">
        <f t="shared" si="158"/>
        <v>2</v>
      </c>
      <c r="AB473" s="13">
        <f t="shared" si="159"/>
        <v>4</v>
      </c>
      <c r="AC473" s="13"/>
      <c r="AD473" s="13"/>
      <c r="AE473" s="13"/>
    </row>
    <row r="474" spans="1:31" ht="30" x14ac:dyDescent="0.25">
      <c r="A474" s="9" t="s">
        <v>532</v>
      </c>
      <c r="B474" s="9" t="s">
        <v>1585</v>
      </c>
      <c r="C474" s="9" t="s">
        <v>1586</v>
      </c>
      <c r="D474" s="9" t="s">
        <v>286</v>
      </c>
      <c r="E474" s="9" t="s">
        <v>671</v>
      </c>
      <c r="F474" s="9">
        <v>10</v>
      </c>
      <c r="G474" s="9" t="s">
        <v>14</v>
      </c>
      <c r="H474" s="9">
        <v>15</v>
      </c>
      <c r="I474" s="13">
        <f t="shared" si="140"/>
        <v>150</v>
      </c>
      <c r="J474" s="13">
        <f t="shared" si="141"/>
        <v>111</v>
      </c>
      <c r="K474" s="13">
        <f t="shared" si="142"/>
        <v>110</v>
      </c>
      <c r="L474" s="13">
        <f t="shared" si="143"/>
        <v>117</v>
      </c>
      <c r="M474" s="13">
        <f t="shared" si="144"/>
        <v>8</v>
      </c>
      <c r="N474" s="13" t="b">
        <f t="shared" si="145"/>
        <v>0</v>
      </c>
      <c r="O474" s="13" t="b">
        <f t="shared" si="146"/>
        <v>1</v>
      </c>
      <c r="P474" s="13" t="str">
        <f t="shared" si="147"/>
        <v>C001914-ct</v>
      </c>
      <c r="Q474" s="14" t="str">
        <f t="shared" si="148"/>
        <v>T064614
10</v>
      </c>
      <c r="R474" s="13" t="b">
        <f t="shared" si="149"/>
        <v>0</v>
      </c>
      <c r="S474" s="13" t="str">
        <f t="shared" si="150"/>
        <v>12</v>
      </c>
      <c r="T474" s="13" t="str">
        <f t="shared" si="151"/>
        <v>CT</v>
      </c>
      <c r="U474" s="13" t="str">
        <f t="shared" si="152"/>
        <v>ct</v>
      </c>
      <c r="V474" s="13">
        <f t="shared" si="153"/>
        <v>2</v>
      </c>
      <c r="W474" s="13" t="str">
        <f t="shared" si="154"/>
        <v>T064614 10</v>
      </c>
      <c r="X474" s="13" t="str">
        <f t="shared" si="155"/>
        <v>S55274</v>
      </c>
      <c r="Y474" s="13" t="str">
        <f t="shared" si="156"/>
        <v>T06</v>
      </c>
      <c r="Z474" s="13" t="str">
        <f t="shared" si="157"/>
        <v>614</v>
      </c>
      <c r="AA474" s="13">
        <f t="shared" si="158"/>
        <v>2</v>
      </c>
      <c r="AB474" s="13">
        <f t="shared" si="159"/>
        <v>2</v>
      </c>
      <c r="AC474" s="13"/>
      <c r="AD474" s="13"/>
      <c r="AE474" s="13"/>
    </row>
    <row r="475" spans="1:31" ht="30" x14ac:dyDescent="0.25">
      <c r="A475" s="9" t="s">
        <v>69</v>
      </c>
      <c r="B475" s="9" t="s">
        <v>1587</v>
      </c>
      <c r="C475" s="9" t="s">
        <v>1588</v>
      </c>
      <c r="D475" s="9" t="s">
        <v>535</v>
      </c>
      <c r="E475" s="9" t="s">
        <v>1589</v>
      </c>
      <c r="F475" s="9">
        <v>10</v>
      </c>
      <c r="G475" s="9" t="s">
        <v>14</v>
      </c>
      <c r="H475" s="9">
        <v>13</v>
      </c>
      <c r="I475" s="13">
        <f t="shared" si="140"/>
        <v>130</v>
      </c>
      <c r="J475" s="13">
        <f t="shared" si="141"/>
        <v>145</v>
      </c>
      <c r="K475" s="13">
        <f t="shared" si="142"/>
        <v>143</v>
      </c>
      <c r="L475" s="13">
        <f t="shared" si="143"/>
        <v>102</v>
      </c>
      <c r="M475" s="13">
        <f t="shared" si="144"/>
        <v>7</v>
      </c>
      <c r="N475" s="13" t="b">
        <f t="shared" si="145"/>
        <v>0</v>
      </c>
      <c r="O475" s="13" t="b">
        <f t="shared" si="146"/>
        <v>1</v>
      </c>
      <c r="P475" s="13" t="str">
        <f t="shared" si="147"/>
        <v>C001911-ct</v>
      </c>
      <c r="Q475" s="14" t="str">
        <f t="shared" si="148"/>
        <v>T060777
10</v>
      </c>
      <c r="R475" s="13" t="b">
        <f t="shared" si="149"/>
        <v>0</v>
      </c>
      <c r="S475" s="13" t="str">
        <f t="shared" si="150"/>
        <v>18</v>
      </c>
      <c r="T475" s="13" t="str">
        <f t="shared" si="151"/>
        <v>CT</v>
      </c>
      <c r="U475" s="13" t="str">
        <f t="shared" si="152"/>
        <v>ct</v>
      </c>
      <c r="V475" s="13">
        <f t="shared" si="153"/>
        <v>2</v>
      </c>
      <c r="W475" s="13" t="str">
        <f t="shared" si="154"/>
        <v>T060777 10</v>
      </c>
      <c r="X475" s="13" t="str">
        <f t="shared" si="155"/>
        <v>S55438</v>
      </c>
      <c r="Y475" s="13" t="str">
        <f t="shared" si="156"/>
        <v>T06</v>
      </c>
      <c r="Z475" s="13" t="str">
        <f t="shared" si="157"/>
        <v>777</v>
      </c>
      <c r="AA475" s="13">
        <f t="shared" si="158"/>
        <v>2</v>
      </c>
      <c r="AB475" s="13">
        <f t="shared" si="159"/>
        <v>2</v>
      </c>
      <c r="AC475" s="13"/>
      <c r="AD475" s="13"/>
      <c r="AE475" s="13"/>
    </row>
    <row r="476" spans="1:31" ht="30" x14ac:dyDescent="0.25">
      <c r="A476" s="9" t="s">
        <v>9</v>
      </c>
      <c r="B476" s="9" t="s">
        <v>1590</v>
      </c>
      <c r="C476" s="9" t="s">
        <v>1591</v>
      </c>
      <c r="D476" s="9" t="s">
        <v>252</v>
      </c>
      <c r="E476" s="9" t="s">
        <v>1592</v>
      </c>
      <c r="F476" s="9">
        <v>6</v>
      </c>
      <c r="G476" s="9" t="s">
        <v>254</v>
      </c>
      <c r="H476" s="9">
        <v>12</v>
      </c>
      <c r="I476" s="13">
        <f t="shared" si="140"/>
        <v>72</v>
      </c>
      <c r="J476" s="13">
        <f t="shared" si="141"/>
        <v>295.5</v>
      </c>
      <c r="K476" s="13">
        <f t="shared" si="142"/>
        <v>292</v>
      </c>
      <c r="L476" s="13">
        <f t="shared" si="143"/>
        <v>12</v>
      </c>
      <c r="M476" s="13">
        <f t="shared" si="144"/>
        <v>1</v>
      </c>
      <c r="N476" s="13" t="b">
        <f t="shared" si="145"/>
        <v>0</v>
      </c>
      <c r="O476" s="13" t="b">
        <f t="shared" si="146"/>
        <v>1</v>
      </c>
      <c r="P476" s="13" t="str">
        <f t="shared" si="147"/>
        <v>C000851-tins</v>
      </c>
      <c r="Q476" s="14" t="str">
        <f t="shared" si="148"/>
        <v>T039512
6</v>
      </c>
      <c r="R476" s="13" t="b">
        <f t="shared" si="149"/>
        <v>0</v>
      </c>
      <c r="S476" s="13" t="str">
        <f t="shared" si="150"/>
        <v>23</v>
      </c>
      <c r="T476" s="13" t="str">
        <f t="shared" si="151"/>
        <v>TINS</v>
      </c>
      <c r="U476" s="13" t="str">
        <f t="shared" si="152"/>
        <v>tins</v>
      </c>
      <c r="V476" s="13">
        <f t="shared" si="153"/>
        <v>2</v>
      </c>
      <c r="W476" s="13" t="str">
        <f t="shared" si="154"/>
        <v>T039512 6</v>
      </c>
      <c r="X476" s="13" t="str">
        <f t="shared" si="155"/>
        <v>S55183</v>
      </c>
      <c r="Y476" s="13" t="str">
        <f t="shared" si="156"/>
        <v>T03</v>
      </c>
      <c r="Z476" s="13" t="str">
        <f t="shared" si="157"/>
        <v>512</v>
      </c>
      <c r="AA476" s="13">
        <f t="shared" si="158"/>
        <v>2</v>
      </c>
      <c r="AB476" s="13">
        <f t="shared" si="159"/>
        <v>4</v>
      </c>
      <c r="AC476" s="13"/>
      <c r="AD476" s="13"/>
      <c r="AE476" s="13"/>
    </row>
    <row r="477" spans="1:31" ht="30" x14ac:dyDescent="0.25">
      <c r="A477" s="9" t="s">
        <v>79</v>
      </c>
      <c r="B477" s="9" t="s">
        <v>1593</v>
      </c>
      <c r="C477" s="9" t="s">
        <v>1594</v>
      </c>
      <c r="D477" s="9" t="s">
        <v>113</v>
      </c>
      <c r="E477" s="9" t="s">
        <v>1595</v>
      </c>
      <c r="F477" s="9">
        <v>1</v>
      </c>
      <c r="G477" s="9" t="s">
        <v>115</v>
      </c>
      <c r="H477" s="9">
        <v>15</v>
      </c>
      <c r="I477" s="13">
        <f t="shared" si="140"/>
        <v>15</v>
      </c>
      <c r="J477" s="13">
        <f t="shared" si="141"/>
        <v>476.5</v>
      </c>
      <c r="K477" s="13">
        <f t="shared" si="142"/>
        <v>473</v>
      </c>
      <c r="L477" s="13">
        <f t="shared" si="143"/>
        <v>48</v>
      </c>
      <c r="M477" s="13">
        <f t="shared" si="144"/>
        <v>3</v>
      </c>
      <c r="N477" s="13" t="b">
        <f t="shared" si="145"/>
        <v>0</v>
      </c>
      <c r="O477" s="13" t="b">
        <f t="shared" si="146"/>
        <v>1</v>
      </c>
      <c r="P477" s="13" t="str">
        <f t="shared" si="147"/>
        <v>C004489-bags</v>
      </c>
      <c r="Q477" s="14" t="str">
        <f t="shared" si="148"/>
        <v>T07739
1</v>
      </c>
      <c r="R477" s="13" t="b">
        <f t="shared" si="149"/>
        <v>0</v>
      </c>
      <c r="S477" s="13" t="str">
        <f t="shared" si="150"/>
        <v>16</v>
      </c>
      <c r="T477" s="13" t="str">
        <f t="shared" si="151"/>
        <v>BAGS</v>
      </c>
      <c r="U477" s="13" t="str">
        <f t="shared" si="152"/>
        <v>bags</v>
      </c>
      <c r="V477" s="13">
        <f t="shared" si="153"/>
        <v>2</v>
      </c>
      <c r="W477" s="13" t="str">
        <f t="shared" si="154"/>
        <v>T07739 1</v>
      </c>
      <c r="X477" s="13" t="str">
        <f t="shared" si="155"/>
        <v>S55215</v>
      </c>
      <c r="Y477" s="13" t="str">
        <f t="shared" si="156"/>
        <v>T07</v>
      </c>
      <c r="Z477" s="13" t="str">
        <f t="shared" si="157"/>
        <v>739</v>
      </c>
      <c r="AA477" s="13">
        <f t="shared" si="158"/>
        <v>2</v>
      </c>
      <c r="AB477" s="13">
        <f t="shared" si="159"/>
        <v>4</v>
      </c>
      <c r="AC477" s="13"/>
      <c r="AD477" s="13"/>
      <c r="AE477" s="13"/>
    </row>
    <row r="478" spans="1:31" ht="30" x14ac:dyDescent="0.25">
      <c r="A478" s="9" t="s">
        <v>368</v>
      </c>
      <c r="B478" s="9" t="s">
        <v>1596</v>
      </c>
      <c r="C478" s="9" t="s">
        <v>1597</v>
      </c>
      <c r="D478" s="9" t="s">
        <v>1598</v>
      </c>
      <c r="E478" s="9" t="s">
        <v>781</v>
      </c>
      <c r="F478" s="9">
        <v>4</v>
      </c>
      <c r="G478" s="9" t="s">
        <v>278</v>
      </c>
      <c r="H478" s="9">
        <v>14</v>
      </c>
      <c r="I478" s="13">
        <f t="shared" si="140"/>
        <v>56</v>
      </c>
      <c r="J478" s="13">
        <f t="shared" si="141"/>
        <v>360.5</v>
      </c>
      <c r="K478" s="13">
        <f t="shared" si="142"/>
        <v>357</v>
      </c>
      <c r="L478" s="13">
        <f t="shared" si="143"/>
        <v>27</v>
      </c>
      <c r="M478" s="13">
        <f t="shared" si="144"/>
        <v>2</v>
      </c>
      <c r="N478" s="13" t="b">
        <f t="shared" si="145"/>
        <v>0</v>
      </c>
      <c r="O478" s="13" t="b">
        <f t="shared" si="146"/>
        <v>1</v>
      </c>
      <c r="P478" s="13" t="str">
        <f t="shared" si="147"/>
        <v>C003496-ct.</v>
      </c>
      <c r="Q478" s="14" t="str">
        <f t="shared" si="148"/>
        <v>T055084
4</v>
      </c>
      <c r="R478" s="13" t="b">
        <f t="shared" si="149"/>
        <v>0</v>
      </c>
      <c r="S478" s="13" t="str">
        <f t="shared" si="150"/>
        <v>13</v>
      </c>
      <c r="T478" s="13" t="str">
        <f t="shared" si="151"/>
        <v>CT.</v>
      </c>
      <c r="U478" s="13" t="str">
        <f t="shared" si="152"/>
        <v>ct.</v>
      </c>
      <c r="V478" s="13">
        <f t="shared" si="153"/>
        <v>2</v>
      </c>
      <c r="W478" s="13" t="str">
        <f t="shared" si="154"/>
        <v>T055084 4</v>
      </c>
      <c r="X478" s="13" t="str">
        <f t="shared" si="155"/>
        <v>S55544</v>
      </c>
      <c r="Y478" s="13" t="str">
        <f t="shared" si="156"/>
        <v>T05</v>
      </c>
      <c r="Z478" s="13" t="str">
        <f t="shared" si="157"/>
        <v>084</v>
      </c>
      <c r="AA478" s="13">
        <f t="shared" si="158"/>
        <v>2</v>
      </c>
      <c r="AB478" s="13">
        <f t="shared" si="159"/>
        <v>3</v>
      </c>
      <c r="AC478" s="13"/>
      <c r="AD478" s="13"/>
      <c r="AE478" s="13"/>
    </row>
    <row r="479" spans="1:31" ht="30" x14ac:dyDescent="0.25">
      <c r="A479" s="9" t="s">
        <v>105</v>
      </c>
      <c r="B479" s="9" t="s">
        <v>1599</v>
      </c>
      <c r="C479" s="9" t="s">
        <v>1600</v>
      </c>
      <c r="D479" s="9" t="s">
        <v>841</v>
      </c>
      <c r="E479" s="9" t="s">
        <v>1601</v>
      </c>
      <c r="F479" s="9">
        <v>11</v>
      </c>
      <c r="G479" s="9" t="s">
        <v>14</v>
      </c>
      <c r="H479" s="9">
        <v>12</v>
      </c>
      <c r="I479" s="13">
        <f t="shared" si="140"/>
        <v>132</v>
      </c>
      <c r="J479" s="13">
        <f t="shared" si="141"/>
        <v>139.5</v>
      </c>
      <c r="K479" s="13">
        <f t="shared" si="142"/>
        <v>137</v>
      </c>
      <c r="L479" s="13">
        <f t="shared" si="143"/>
        <v>89</v>
      </c>
      <c r="M479" s="13">
        <f t="shared" si="144"/>
        <v>6</v>
      </c>
      <c r="N479" s="13" t="b">
        <f t="shared" si="145"/>
        <v>0</v>
      </c>
      <c r="O479" s="13" t="b">
        <f t="shared" si="146"/>
        <v>1</v>
      </c>
      <c r="P479" s="13" t="str">
        <f t="shared" si="147"/>
        <v>C001470-ct</v>
      </c>
      <c r="Q479" s="14" t="str">
        <f t="shared" si="148"/>
        <v>T043807
11</v>
      </c>
      <c r="R479" s="13" t="b">
        <f t="shared" si="149"/>
        <v>0</v>
      </c>
      <c r="S479" s="13" t="str">
        <f t="shared" si="150"/>
        <v>23</v>
      </c>
      <c r="T479" s="13" t="str">
        <f t="shared" si="151"/>
        <v>CT</v>
      </c>
      <c r="U479" s="13" t="str">
        <f t="shared" si="152"/>
        <v>ct</v>
      </c>
      <c r="V479" s="13">
        <f t="shared" si="153"/>
        <v>2</v>
      </c>
      <c r="W479" s="13" t="str">
        <f t="shared" si="154"/>
        <v>T043807 11</v>
      </c>
      <c r="X479" s="13" t="str">
        <f t="shared" si="155"/>
        <v>S55594</v>
      </c>
      <c r="Y479" s="13" t="str">
        <f t="shared" si="156"/>
        <v>T04</v>
      </c>
      <c r="Z479" s="13" t="str">
        <f t="shared" si="157"/>
        <v>807</v>
      </c>
      <c r="AA479" s="13">
        <f t="shared" si="158"/>
        <v>2</v>
      </c>
      <c r="AB479" s="13">
        <f t="shared" si="159"/>
        <v>2</v>
      </c>
      <c r="AC479" s="13"/>
      <c r="AD479" s="13"/>
      <c r="AE479" s="13"/>
    </row>
    <row r="480" spans="1:31" ht="30" x14ac:dyDescent="0.25">
      <c r="A480" s="9" t="s">
        <v>227</v>
      </c>
      <c r="B480" s="9" t="s">
        <v>1602</v>
      </c>
      <c r="C480" s="9" t="s">
        <v>1603</v>
      </c>
      <c r="D480" s="9" t="s">
        <v>576</v>
      </c>
      <c r="E480" s="9" t="s">
        <v>1604</v>
      </c>
      <c r="F480" s="9">
        <v>9</v>
      </c>
      <c r="G480" s="9" t="s">
        <v>68</v>
      </c>
      <c r="H480" s="9">
        <v>20</v>
      </c>
      <c r="I480" s="13">
        <f t="shared" si="140"/>
        <v>180</v>
      </c>
      <c r="J480" s="13">
        <f t="shared" si="141"/>
        <v>61.5</v>
      </c>
      <c r="K480" s="13">
        <f t="shared" si="142"/>
        <v>60</v>
      </c>
      <c r="L480" s="13">
        <f t="shared" si="143"/>
        <v>82</v>
      </c>
      <c r="M480" s="13">
        <f t="shared" si="144"/>
        <v>5</v>
      </c>
      <c r="N480" s="13" t="b">
        <f t="shared" si="145"/>
        <v>0</v>
      </c>
      <c r="O480" s="13" t="b">
        <f t="shared" si="146"/>
        <v>1</v>
      </c>
      <c r="P480" s="13" t="str">
        <f t="shared" si="147"/>
        <v>C001533-bottles</v>
      </c>
      <c r="Q480" s="14" t="str">
        <f t="shared" si="148"/>
        <v>T010488
9</v>
      </c>
      <c r="R480" s="13" t="b">
        <f t="shared" si="149"/>
        <v>0</v>
      </c>
      <c r="S480" s="13" t="str">
        <f t="shared" si="150"/>
        <v>09</v>
      </c>
      <c r="T480" s="13" t="str">
        <f t="shared" si="151"/>
        <v>BOTTLES</v>
      </c>
      <c r="U480" s="13" t="str">
        <f t="shared" si="152"/>
        <v>bottles</v>
      </c>
      <c r="V480" s="13">
        <f t="shared" si="153"/>
        <v>2</v>
      </c>
      <c r="W480" s="13" t="str">
        <f t="shared" si="154"/>
        <v>T010488 9</v>
      </c>
      <c r="X480" s="13" t="str">
        <f t="shared" si="155"/>
        <v>S55553</v>
      </c>
      <c r="Y480" s="13" t="str">
        <f t="shared" si="156"/>
        <v>T01</v>
      </c>
      <c r="Z480" s="13" t="str">
        <f t="shared" si="157"/>
        <v>488</v>
      </c>
      <c r="AA480" s="13">
        <f t="shared" si="158"/>
        <v>2</v>
      </c>
      <c r="AB480" s="13">
        <f t="shared" si="159"/>
        <v>7</v>
      </c>
      <c r="AC480" s="13"/>
      <c r="AD480" s="13"/>
      <c r="AE480" s="13"/>
    </row>
    <row r="481" spans="1:31" ht="30" x14ac:dyDescent="0.25">
      <c r="A481" s="9" t="s">
        <v>182</v>
      </c>
      <c r="B481" s="9" t="s">
        <v>1605</v>
      </c>
      <c r="C481" s="9" t="s">
        <v>1606</v>
      </c>
      <c r="D481" s="9" t="s">
        <v>1607</v>
      </c>
      <c r="E481" s="9" t="s">
        <v>509</v>
      </c>
      <c r="F481" s="9">
        <v>7</v>
      </c>
      <c r="G481" s="9" t="s">
        <v>14</v>
      </c>
      <c r="H481" s="9">
        <v>16</v>
      </c>
      <c r="I481" s="13">
        <f t="shared" si="140"/>
        <v>112</v>
      </c>
      <c r="J481" s="13">
        <f t="shared" si="141"/>
        <v>188.5</v>
      </c>
      <c r="K481" s="13">
        <f t="shared" si="142"/>
        <v>186</v>
      </c>
      <c r="L481" s="13">
        <f t="shared" si="143"/>
        <v>77</v>
      </c>
      <c r="M481" s="13">
        <f t="shared" si="144"/>
        <v>5</v>
      </c>
      <c r="N481" s="13" t="b">
        <f t="shared" si="145"/>
        <v>0</v>
      </c>
      <c r="O481" s="13" t="b">
        <f t="shared" si="146"/>
        <v>1</v>
      </c>
      <c r="P481" s="13" t="str">
        <f t="shared" si="147"/>
        <v>C000872-ct</v>
      </c>
      <c r="Q481" s="14" t="str">
        <f t="shared" si="148"/>
        <v>T09436
7</v>
      </c>
      <c r="R481" s="13" t="b">
        <f t="shared" si="149"/>
        <v>0</v>
      </c>
      <c r="S481" s="13" t="str">
        <f t="shared" si="150"/>
        <v>14</v>
      </c>
      <c r="T481" s="13" t="str">
        <f t="shared" si="151"/>
        <v>CT</v>
      </c>
      <c r="U481" s="13" t="str">
        <f t="shared" si="152"/>
        <v>ct</v>
      </c>
      <c r="V481" s="13">
        <f t="shared" si="153"/>
        <v>2</v>
      </c>
      <c r="W481" s="13" t="str">
        <f t="shared" si="154"/>
        <v>T09436 7</v>
      </c>
      <c r="X481" s="13" t="str">
        <f t="shared" si="155"/>
        <v>S55345</v>
      </c>
      <c r="Y481" s="13" t="str">
        <f t="shared" si="156"/>
        <v>T09</v>
      </c>
      <c r="Z481" s="13" t="str">
        <f t="shared" si="157"/>
        <v>436</v>
      </c>
      <c r="AA481" s="13">
        <f t="shared" si="158"/>
        <v>2</v>
      </c>
      <c r="AB481" s="13">
        <f t="shared" si="159"/>
        <v>2</v>
      </c>
      <c r="AC481" s="13"/>
      <c r="AD481" s="13"/>
      <c r="AE481" s="13"/>
    </row>
    <row r="482" spans="1:31" ht="30" x14ac:dyDescent="0.25">
      <c r="A482" s="9" t="s">
        <v>91</v>
      </c>
      <c r="B482" s="9" t="s">
        <v>1608</v>
      </c>
      <c r="C482" s="9" t="s">
        <v>1609</v>
      </c>
      <c r="D482" s="9" t="s">
        <v>728</v>
      </c>
      <c r="E482" s="9" t="s">
        <v>1610</v>
      </c>
      <c r="F482" s="9">
        <v>8</v>
      </c>
      <c r="G482" s="9" t="s">
        <v>187</v>
      </c>
      <c r="H482" s="9">
        <v>15</v>
      </c>
      <c r="I482" s="13">
        <f t="shared" si="140"/>
        <v>120</v>
      </c>
      <c r="J482" s="13">
        <f t="shared" si="141"/>
        <v>169.5</v>
      </c>
      <c r="K482" s="13">
        <f t="shared" si="142"/>
        <v>162</v>
      </c>
      <c r="L482" s="13">
        <f t="shared" si="143"/>
        <v>15</v>
      </c>
      <c r="M482" s="13">
        <f t="shared" si="144"/>
        <v>1</v>
      </c>
      <c r="N482" s="13" t="b">
        <f t="shared" si="145"/>
        <v>0</v>
      </c>
      <c r="O482" s="13" t="b">
        <f t="shared" si="146"/>
        <v>1</v>
      </c>
      <c r="P482" s="13" t="str">
        <f t="shared" si="147"/>
        <v>C006269-tubs</v>
      </c>
      <c r="Q482" s="14" t="str">
        <f t="shared" si="148"/>
        <v>T098613
8</v>
      </c>
      <c r="R482" s="13" t="b">
        <f t="shared" si="149"/>
        <v>0</v>
      </c>
      <c r="S482" s="13" t="str">
        <f t="shared" si="150"/>
        <v>10</v>
      </c>
      <c r="T482" s="13" t="str">
        <f t="shared" si="151"/>
        <v>TUBS</v>
      </c>
      <c r="U482" s="13" t="str">
        <f t="shared" si="152"/>
        <v>tubs</v>
      </c>
      <c r="V482" s="13">
        <f t="shared" si="153"/>
        <v>2</v>
      </c>
      <c r="W482" s="13" t="str">
        <f t="shared" si="154"/>
        <v>T098613 8</v>
      </c>
      <c r="X482" s="13" t="str">
        <f t="shared" si="155"/>
        <v>S55418</v>
      </c>
      <c r="Y482" s="13" t="str">
        <f t="shared" si="156"/>
        <v>T09</v>
      </c>
      <c r="Z482" s="13" t="str">
        <f t="shared" si="157"/>
        <v>613</v>
      </c>
      <c r="AA482" s="13">
        <f t="shared" si="158"/>
        <v>2</v>
      </c>
      <c r="AB482" s="13">
        <f t="shared" si="159"/>
        <v>4</v>
      </c>
      <c r="AC482" s="13"/>
      <c r="AD482" s="13"/>
      <c r="AE482" s="13"/>
    </row>
    <row r="483" spans="1:31" ht="30" x14ac:dyDescent="0.25">
      <c r="A483" s="9" t="s">
        <v>125</v>
      </c>
      <c r="B483" s="9" t="s">
        <v>1611</v>
      </c>
      <c r="C483" s="9" t="s">
        <v>1612</v>
      </c>
      <c r="D483" s="9" t="s">
        <v>1429</v>
      </c>
      <c r="E483" s="9" t="s">
        <v>1613</v>
      </c>
      <c r="F483" s="9">
        <v>9</v>
      </c>
      <c r="G483" s="9"/>
      <c r="H483" s="9">
        <v>17</v>
      </c>
      <c r="I483" s="13">
        <f t="shared" si="140"/>
        <v>153</v>
      </c>
      <c r="J483" s="13">
        <f t="shared" si="141"/>
        <v>105.5</v>
      </c>
      <c r="K483" s="13">
        <f t="shared" si="142"/>
        <v>103</v>
      </c>
      <c r="L483" s="13">
        <f t="shared" si="143"/>
        <v>0</v>
      </c>
      <c r="M483" s="13">
        <f t="shared" si="144"/>
        <v>0</v>
      </c>
      <c r="N483" s="13" t="b">
        <f t="shared" si="145"/>
        <v>0</v>
      </c>
      <c r="O483" s="13" t="b">
        <f t="shared" si="146"/>
        <v>1</v>
      </c>
      <c r="P483" s="13" t="str">
        <f t="shared" si="147"/>
        <v>C008861-</v>
      </c>
      <c r="Q483" s="14" t="str">
        <f t="shared" si="148"/>
        <v>T036513
9</v>
      </c>
      <c r="R483" s="13" t="b">
        <f t="shared" si="149"/>
        <v>0</v>
      </c>
      <c r="S483" s="13" t="str">
        <f t="shared" si="150"/>
        <v>15</v>
      </c>
      <c r="T483" s="13" t="str">
        <f t="shared" si="151"/>
        <v/>
      </c>
      <c r="U483" s="13" t="str">
        <f t="shared" si="152"/>
        <v/>
      </c>
      <c r="V483" s="13">
        <f t="shared" si="153"/>
        <v>2</v>
      </c>
      <c r="W483" s="13" t="str">
        <f t="shared" si="154"/>
        <v>T036513 9</v>
      </c>
      <c r="X483" s="13" t="str">
        <f t="shared" si="155"/>
        <v>S55285</v>
      </c>
      <c r="Y483" s="13" t="str">
        <f t="shared" si="156"/>
        <v>T03</v>
      </c>
      <c r="Z483" s="13" t="str">
        <f t="shared" si="157"/>
        <v>513</v>
      </c>
      <c r="AA483" s="13">
        <f t="shared" si="158"/>
        <v>2</v>
      </c>
      <c r="AB483" s="13">
        <f t="shared" si="159"/>
        <v>0</v>
      </c>
      <c r="AC483" s="13"/>
      <c r="AD483" s="13"/>
      <c r="AE483" s="13"/>
    </row>
    <row r="484" spans="1:31" ht="30" x14ac:dyDescent="0.25">
      <c r="A484" s="9" t="s">
        <v>130</v>
      </c>
      <c r="B484" s="9" t="s">
        <v>1614</v>
      </c>
      <c r="C484" s="9" t="s">
        <v>1615</v>
      </c>
      <c r="D484" s="9" t="s">
        <v>1541</v>
      </c>
      <c r="E484" s="9" t="s">
        <v>1406</v>
      </c>
      <c r="F484" s="9">
        <v>4</v>
      </c>
      <c r="G484" s="9" t="s">
        <v>14</v>
      </c>
      <c r="H484" s="9">
        <v>24</v>
      </c>
      <c r="I484" s="13">
        <f t="shared" si="140"/>
        <v>96</v>
      </c>
      <c r="J484" s="13">
        <f t="shared" si="141"/>
        <v>231.5</v>
      </c>
      <c r="K484" s="13">
        <f t="shared" si="142"/>
        <v>228</v>
      </c>
      <c r="L484" s="13">
        <f t="shared" si="143"/>
        <v>61</v>
      </c>
      <c r="M484" s="13">
        <f t="shared" si="144"/>
        <v>4</v>
      </c>
      <c r="N484" s="13" t="b">
        <f t="shared" si="145"/>
        <v>1</v>
      </c>
      <c r="O484" s="13" t="b">
        <f t="shared" si="146"/>
        <v>1</v>
      </c>
      <c r="P484" s="13" t="str">
        <f t="shared" si="147"/>
        <v>C002250-ct</v>
      </c>
      <c r="Q484" s="14" t="str">
        <f t="shared" si="148"/>
        <v>T024566
4</v>
      </c>
      <c r="R484" s="13" t="b">
        <f t="shared" si="149"/>
        <v>0</v>
      </c>
      <c r="S484" s="13" t="str">
        <f t="shared" si="150"/>
        <v>13</v>
      </c>
      <c r="T484" s="13" t="str">
        <f t="shared" si="151"/>
        <v>CT</v>
      </c>
      <c r="U484" s="13" t="str">
        <f t="shared" si="152"/>
        <v>ct</v>
      </c>
      <c r="V484" s="13">
        <f t="shared" si="153"/>
        <v>2</v>
      </c>
      <c r="W484" s="13" t="str">
        <f t="shared" si="154"/>
        <v>T024566 4</v>
      </c>
      <c r="X484" s="13" t="str">
        <f t="shared" si="155"/>
        <v>S5554</v>
      </c>
      <c r="Y484" s="13" t="str">
        <f t="shared" si="156"/>
        <v>T02</v>
      </c>
      <c r="Z484" s="13" t="str">
        <f t="shared" si="157"/>
        <v>566</v>
      </c>
      <c r="AA484" s="13">
        <f t="shared" si="158"/>
        <v>2</v>
      </c>
      <c r="AB484" s="13">
        <f t="shared" si="159"/>
        <v>2</v>
      </c>
      <c r="AC484" s="13"/>
      <c r="AD484" s="13"/>
      <c r="AE484" s="13"/>
    </row>
    <row r="485" spans="1:31" ht="30" x14ac:dyDescent="0.25">
      <c r="A485" s="9" t="s">
        <v>233</v>
      </c>
      <c r="B485" s="9" t="s">
        <v>1616</v>
      </c>
      <c r="C485" s="9" t="s">
        <v>1617</v>
      </c>
      <c r="D485" s="9" t="s">
        <v>246</v>
      </c>
      <c r="E485" s="9" t="s">
        <v>1109</v>
      </c>
      <c r="F485" s="9">
        <v>8</v>
      </c>
      <c r="G485" s="9" t="s">
        <v>248</v>
      </c>
      <c r="H485" s="9">
        <v>15</v>
      </c>
      <c r="I485" s="13">
        <f t="shared" si="140"/>
        <v>120</v>
      </c>
      <c r="J485" s="13">
        <f t="shared" si="141"/>
        <v>169.5</v>
      </c>
      <c r="K485" s="13">
        <f t="shared" si="142"/>
        <v>162</v>
      </c>
      <c r="L485" s="13">
        <f t="shared" si="143"/>
        <v>15</v>
      </c>
      <c r="M485" s="13">
        <f t="shared" si="144"/>
        <v>1</v>
      </c>
      <c r="N485" s="13" t="b">
        <f t="shared" si="145"/>
        <v>0</v>
      </c>
      <c r="O485" s="13" t="b">
        <f t="shared" si="146"/>
        <v>1</v>
      </c>
      <c r="P485" s="13" t="str">
        <f t="shared" si="147"/>
        <v>C003457-lb</v>
      </c>
      <c r="Q485" s="14" t="str">
        <f t="shared" si="148"/>
        <v>T09496
8</v>
      </c>
      <c r="R485" s="13" t="b">
        <f t="shared" si="149"/>
        <v>0</v>
      </c>
      <c r="S485" s="13" t="str">
        <f t="shared" si="150"/>
        <v>22</v>
      </c>
      <c r="T485" s="13" t="str">
        <f t="shared" si="151"/>
        <v>LB</v>
      </c>
      <c r="U485" s="13" t="str">
        <f t="shared" si="152"/>
        <v>lb</v>
      </c>
      <c r="V485" s="13">
        <f t="shared" si="153"/>
        <v>2</v>
      </c>
      <c r="W485" s="13" t="str">
        <f t="shared" si="154"/>
        <v>T09496 8</v>
      </c>
      <c r="X485" s="13" t="str">
        <f t="shared" si="155"/>
        <v>S55247</v>
      </c>
      <c r="Y485" s="13" t="str">
        <f t="shared" si="156"/>
        <v>T09</v>
      </c>
      <c r="Z485" s="13" t="str">
        <f t="shared" si="157"/>
        <v>496</v>
      </c>
      <c r="AA485" s="13">
        <f t="shared" si="158"/>
        <v>2</v>
      </c>
      <c r="AB485" s="13">
        <f t="shared" si="159"/>
        <v>2</v>
      </c>
      <c r="AC485" s="13"/>
      <c r="AD485" s="13"/>
      <c r="AE485" s="13"/>
    </row>
    <row r="486" spans="1:31" ht="30" x14ac:dyDescent="0.25">
      <c r="A486" s="9" t="s">
        <v>84</v>
      </c>
      <c r="B486" s="9" t="s">
        <v>1618</v>
      </c>
      <c r="C486" s="9" t="s">
        <v>1619</v>
      </c>
      <c r="D486" s="9" t="s">
        <v>1620</v>
      </c>
      <c r="E486" s="9" t="s">
        <v>1217</v>
      </c>
      <c r="F486" s="9">
        <v>5</v>
      </c>
      <c r="G486" s="9" t="s">
        <v>68</v>
      </c>
      <c r="H486" s="9">
        <v>9</v>
      </c>
      <c r="I486" s="13">
        <f t="shared" si="140"/>
        <v>45</v>
      </c>
      <c r="J486" s="13">
        <f t="shared" si="141"/>
        <v>396.5</v>
      </c>
      <c r="K486" s="13">
        <f t="shared" si="142"/>
        <v>394</v>
      </c>
      <c r="L486" s="13">
        <f t="shared" si="143"/>
        <v>62</v>
      </c>
      <c r="M486" s="13">
        <f t="shared" si="144"/>
        <v>4</v>
      </c>
      <c r="N486" s="13" t="b">
        <f t="shared" si="145"/>
        <v>0</v>
      </c>
      <c r="O486" s="13" t="b">
        <f t="shared" si="146"/>
        <v>1</v>
      </c>
      <c r="P486" s="13" t="str">
        <f t="shared" si="147"/>
        <v>C001654-bottles</v>
      </c>
      <c r="Q486" s="14" t="str">
        <f t="shared" si="148"/>
        <v>T064062
5</v>
      </c>
      <c r="R486" s="13" t="b">
        <f t="shared" si="149"/>
        <v>0</v>
      </c>
      <c r="S486" s="13" t="str">
        <f t="shared" si="150"/>
        <v>09</v>
      </c>
      <c r="T486" s="13" t="str">
        <f t="shared" si="151"/>
        <v>BOTTLES</v>
      </c>
      <c r="U486" s="13" t="str">
        <f t="shared" si="152"/>
        <v>bottles</v>
      </c>
      <c r="V486" s="13">
        <f t="shared" si="153"/>
        <v>2</v>
      </c>
      <c r="W486" s="13" t="str">
        <f t="shared" si="154"/>
        <v>T064062 5</v>
      </c>
      <c r="X486" s="13" t="str">
        <f t="shared" si="155"/>
        <v>S55121</v>
      </c>
      <c r="Y486" s="13" t="str">
        <f t="shared" si="156"/>
        <v>T06</v>
      </c>
      <c r="Z486" s="13" t="str">
        <f t="shared" si="157"/>
        <v>062</v>
      </c>
      <c r="AA486" s="13">
        <f t="shared" si="158"/>
        <v>2</v>
      </c>
      <c r="AB486" s="13">
        <f t="shared" si="159"/>
        <v>7</v>
      </c>
      <c r="AC486" s="13"/>
      <c r="AD486" s="13"/>
      <c r="AE486" s="13"/>
    </row>
    <row r="487" spans="1:31" ht="30" x14ac:dyDescent="0.25">
      <c r="A487" s="9" t="s">
        <v>15</v>
      </c>
      <c r="B487" s="9" t="s">
        <v>1621</v>
      </c>
      <c r="C487" s="9" t="s">
        <v>1622</v>
      </c>
      <c r="D487" s="9" t="s">
        <v>319</v>
      </c>
      <c r="E487" s="9" t="s">
        <v>1623</v>
      </c>
      <c r="F487" s="9">
        <v>2</v>
      </c>
      <c r="G487" s="9" t="s">
        <v>36</v>
      </c>
      <c r="H487" s="9">
        <v>40</v>
      </c>
      <c r="I487" s="13">
        <f t="shared" si="140"/>
        <v>80</v>
      </c>
      <c r="J487" s="13">
        <f t="shared" si="141"/>
        <v>275</v>
      </c>
      <c r="K487" s="13">
        <f t="shared" si="142"/>
        <v>272</v>
      </c>
      <c r="L487" s="13">
        <f t="shared" si="143"/>
        <v>101.25</v>
      </c>
      <c r="M487" s="13">
        <f t="shared" si="144"/>
        <v>5</v>
      </c>
      <c r="N487" s="13" t="b">
        <f t="shared" si="145"/>
        <v>1</v>
      </c>
      <c r="O487" s="13" t="b">
        <f t="shared" si="146"/>
        <v>1</v>
      </c>
      <c r="P487" s="13" t="str">
        <f t="shared" si="147"/>
        <v>C000225-cans</v>
      </c>
      <c r="Q487" s="14" t="str">
        <f t="shared" si="148"/>
        <v>T059289
2</v>
      </c>
      <c r="R487" s="13" t="b">
        <f t="shared" si="149"/>
        <v>0</v>
      </c>
      <c r="S487" s="13" t="str">
        <f t="shared" si="150"/>
        <v>05</v>
      </c>
      <c r="T487" s="13" t="str">
        <f t="shared" si="151"/>
        <v>CANS</v>
      </c>
      <c r="U487" s="13" t="str">
        <f t="shared" si="152"/>
        <v>cans</v>
      </c>
      <c r="V487" s="13">
        <f t="shared" si="153"/>
        <v>2</v>
      </c>
      <c r="W487" s="13" t="str">
        <f t="shared" si="154"/>
        <v>T059289 2</v>
      </c>
      <c r="X487" s="13" t="str">
        <f t="shared" si="155"/>
        <v>S55614</v>
      </c>
      <c r="Y487" s="13" t="str">
        <f t="shared" si="156"/>
        <v>T05</v>
      </c>
      <c r="Z487" s="13" t="str">
        <f t="shared" si="157"/>
        <v>289</v>
      </c>
      <c r="AA487" s="13">
        <f t="shared" si="158"/>
        <v>2</v>
      </c>
      <c r="AB487" s="13">
        <f t="shared" si="159"/>
        <v>4</v>
      </c>
      <c r="AC487" s="13"/>
      <c r="AD487" s="13"/>
      <c r="AE487" s="13"/>
    </row>
    <row r="488" spans="1:31" ht="30" x14ac:dyDescent="0.25">
      <c r="A488" s="9" t="s">
        <v>21</v>
      </c>
      <c r="B488" s="9" t="s">
        <v>1624</v>
      </c>
      <c r="C488" s="9" t="s">
        <v>1625</v>
      </c>
      <c r="D488" s="9" t="s">
        <v>1626</v>
      </c>
      <c r="E488" s="9" t="s">
        <v>324</v>
      </c>
      <c r="F488" s="9">
        <v>6</v>
      </c>
      <c r="G488" s="9" t="s">
        <v>14</v>
      </c>
      <c r="H488" s="9">
        <v>12</v>
      </c>
      <c r="I488" s="13">
        <f t="shared" si="140"/>
        <v>72</v>
      </c>
      <c r="J488" s="13">
        <f t="shared" si="141"/>
        <v>295.5</v>
      </c>
      <c r="K488" s="13">
        <f t="shared" si="142"/>
        <v>292</v>
      </c>
      <c r="L488" s="13">
        <f t="shared" si="143"/>
        <v>37</v>
      </c>
      <c r="M488" s="13">
        <f t="shared" si="144"/>
        <v>3</v>
      </c>
      <c r="N488" s="13" t="b">
        <f t="shared" si="145"/>
        <v>0</v>
      </c>
      <c r="O488" s="13" t="b">
        <f t="shared" si="146"/>
        <v>1</v>
      </c>
      <c r="P488" s="13" t="str">
        <f t="shared" si="147"/>
        <v>C007837-ct</v>
      </c>
      <c r="Q488" s="14" t="str">
        <f t="shared" si="148"/>
        <v>T012803
6</v>
      </c>
      <c r="R488" s="13" t="b">
        <f t="shared" si="149"/>
        <v>0</v>
      </c>
      <c r="S488" s="13" t="str">
        <f t="shared" si="150"/>
        <v>22</v>
      </c>
      <c r="T488" s="13" t="str">
        <f t="shared" si="151"/>
        <v>CT</v>
      </c>
      <c r="U488" s="13" t="str">
        <f t="shared" si="152"/>
        <v>ct</v>
      </c>
      <c r="V488" s="13">
        <f t="shared" si="153"/>
        <v>2</v>
      </c>
      <c r="W488" s="13" t="str">
        <f t="shared" si="154"/>
        <v>T012803 6</v>
      </c>
      <c r="X488" s="13" t="str">
        <f t="shared" si="155"/>
        <v>S55265</v>
      </c>
      <c r="Y488" s="13" t="str">
        <f t="shared" si="156"/>
        <v>T01</v>
      </c>
      <c r="Z488" s="13" t="str">
        <f t="shared" si="157"/>
        <v>803</v>
      </c>
      <c r="AA488" s="13">
        <f t="shared" si="158"/>
        <v>2</v>
      </c>
      <c r="AB488" s="13">
        <f t="shared" si="159"/>
        <v>2</v>
      </c>
      <c r="AC488" s="13"/>
      <c r="AD488" s="13"/>
      <c r="AE488" s="13"/>
    </row>
    <row r="489" spans="1:31" ht="30" x14ac:dyDescent="0.25">
      <c r="A489" s="9" t="s">
        <v>105</v>
      </c>
      <c r="B489" s="9" t="s">
        <v>1627</v>
      </c>
      <c r="C489" s="9" t="s">
        <v>1628</v>
      </c>
      <c r="D489" s="9" t="s">
        <v>207</v>
      </c>
      <c r="E489" s="9" t="s">
        <v>626</v>
      </c>
      <c r="F489" s="9">
        <v>6</v>
      </c>
      <c r="G489" s="9" t="s">
        <v>68</v>
      </c>
      <c r="H489" s="9">
        <v>20</v>
      </c>
      <c r="I489" s="13">
        <f t="shared" si="140"/>
        <v>120</v>
      </c>
      <c r="J489" s="13">
        <f t="shared" si="141"/>
        <v>169.5</v>
      </c>
      <c r="K489" s="13">
        <f t="shared" si="142"/>
        <v>162</v>
      </c>
      <c r="L489" s="13">
        <f t="shared" si="143"/>
        <v>53</v>
      </c>
      <c r="M489" s="13">
        <f t="shared" si="144"/>
        <v>3</v>
      </c>
      <c r="N489" s="13" t="b">
        <f t="shared" si="145"/>
        <v>0</v>
      </c>
      <c r="O489" s="13" t="b">
        <f t="shared" si="146"/>
        <v>1</v>
      </c>
      <c r="P489" s="13" t="str">
        <f t="shared" si="147"/>
        <v>C002928-bottles</v>
      </c>
      <c r="Q489" s="14" t="str">
        <f t="shared" si="148"/>
        <v>T083400
6</v>
      </c>
      <c r="R489" s="13" t="b">
        <f t="shared" si="149"/>
        <v>0</v>
      </c>
      <c r="S489" s="13" t="str">
        <f t="shared" si="150"/>
        <v>06</v>
      </c>
      <c r="T489" s="13" t="str">
        <f t="shared" si="151"/>
        <v>BOTTLES</v>
      </c>
      <c r="U489" s="13" t="str">
        <f t="shared" si="152"/>
        <v>bottles</v>
      </c>
      <c r="V489" s="13">
        <f t="shared" si="153"/>
        <v>2</v>
      </c>
      <c r="W489" s="13" t="str">
        <f t="shared" si="154"/>
        <v>T083400 6</v>
      </c>
      <c r="X489" s="13" t="str">
        <f t="shared" si="155"/>
        <v>S5514</v>
      </c>
      <c r="Y489" s="13" t="str">
        <f t="shared" si="156"/>
        <v>T08</v>
      </c>
      <c r="Z489" s="13" t="str">
        <f t="shared" si="157"/>
        <v>400</v>
      </c>
      <c r="AA489" s="13">
        <f t="shared" si="158"/>
        <v>2</v>
      </c>
      <c r="AB489" s="13">
        <f t="shared" si="159"/>
        <v>7</v>
      </c>
      <c r="AC489" s="13"/>
      <c r="AD489" s="13"/>
      <c r="AE489" s="13"/>
    </row>
    <row r="490" spans="1:31" ht="30" x14ac:dyDescent="0.25">
      <c r="A490" s="9" t="s">
        <v>125</v>
      </c>
      <c r="B490" s="9" t="s">
        <v>1629</v>
      </c>
      <c r="C490" s="9" t="s">
        <v>1630</v>
      </c>
      <c r="D490" s="9" t="s">
        <v>458</v>
      </c>
      <c r="E490" s="9" t="s">
        <v>1631</v>
      </c>
      <c r="F490" s="9">
        <v>5</v>
      </c>
      <c r="G490" s="9" t="s">
        <v>278</v>
      </c>
      <c r="H490" s="9">
        <v>13</v>
      </c>
      <c r="I490" s="13">
        <f t="shared" si="140"/>
        <v>65</v>
      </c>
      <c r="J490" s="13">
        <f t="shared" si="141"/>
        <v>321.5</v>
      </c>
      <c r="K490" s="13">
        <f t="shared" si="142"/>
        <v>320</v>
      </c>
      <c r="L490" s="13">
        <f t="shared" si="143"/>
        <v>13</v>
      </c>
      <c r="M490" s="13">
        <f t="shared" si="144"/>
        <v>1</v>
      </c>
      <c r="N490" s="13" t="b">
        <f t="shared" si="145"/>
        <v>0</v>
      </c>
      <c r="O490" s="13" t="b">
        <f t="shared" si="146"/>
        <v>1</v>
      </c>
      <c r="P490" s="13" t="str">
        <f t="shared" si="147"/>
        <v>C005340-ct.</v>
      </c>
      <c r="Q490" s="14" t="str">
        <f t="shared" si="148"/>
        <v>T067924
5</v>
      </c>
      <c r="R490" s="13" t="b">
        <f t="shared" si="149"/>
        <v>0</v>
      </c>
      <c r="S490" s="13" t="str">
        <f t="shared" si="150"/>
        <v>18</v>
      </c>
      <c r="T490" s="13" t="str">
        <f t="shared" si="151"/>
        <v>CT.</v>
      </c>
      <c r="U490" s="13" t="str">
        <f t="shared" si="152"/>
        <v>ct.</v>
      </c>
      <c r="V490" s="13">
        <f t="shared" si="153"/>
        <v>2</v>
      </c>
      <c r="W490" s="13" t="str">
        <f t="shared" si="154"/>
        <v>T067924 5</v>
      </c>
      <c r="X490" s="13" t="str">
        <f t="shared" si="155"/>
        <v>S55168</v>
      </c>
      <c r="Y490" s="13" t="str">
        <f t="shared" si="156"/>
        <v>T06</v>
      </c>
      <c r="Z490" s="13" t="str">
        <f t="shared" si="157"/>
        <v>924</v>
      </c>
      <c r="AA490" s="13">
        <f t="shared" si="158"/>
        <v>2</v>
      </c>
      <c r="AB490" s="13">
        <f t="shared" si="159"/>
        <v>3</v>
      </c>
      <c r="AC490" s="13"/>
      <c r="AD490" s="13"/>
      <c r="AE490" s="13"/>
    </row>
    <row r="491" spans="1:31" ht="30" x14ac:dyDescent="0.25">
      <c r="A491" s="9" t="s">
        <v>130</v>
      </c>
      <c r="B491" s="9" t="s">
        <v>1632</v>
      </c>
      <c r="C491" s="9" t="s">
        <v>1633</v>
      </c>
      <c r="D491" s="9" t="s">
        <v>1289</v>
      </c>
      <c r="E491" s="9" t="s">
        <v>1634</v>
      </c>
      <c r="F491" s="9">
        <v>2</v>
      </c>
      <c r="G491" s="9" t="s">
        <v>36</v>
      </c>
      <c r="H491" s="9">
        <v>18</v>
      </c>
      <c r="I491" s="13">
        <f t="shared" si="140"/>
        <v>36</v>
      </c>
      <c r="J491" s="13">
        <f t="shared" si="141"/>
        <v>417.5</v>
      </c>
      <c r="K491" s="13">
        <f t="shared" si="142"/>
        <v>416</v>
      </c>
      <c r="L491" s="13">
        <f t="shared" si="143"/>
        <v>61.25</v>
      </c>
      <c r="M491" s="13">
        <f t="shared" si="144"/>
        <v>4</v>
      </c>
      <c r="N491" s="13" t="b">
        <f t="shared" si="145"/>
        <v>0</v>
      </c>
      <c r="O491" s="13" t="b">
        <f t="shared" si="146"/>
        <v>1</v>
      </c>
      <c r="P491" s="13" t="str">
        <f t="shared" si="147"/>
        <v>C002993-cans</v>
      </c>
      <c r="Q491" s="14" t="str">
        <f t="shared" si="148"/>
        <v>T023419
2</v>
      </c>
      <c r="R491" s="13" t="b">
        <f t="shared" si="149"/>
        <v>0</v>
      </c>
      <c r="S491" s="13" t="str">
        <f t="shared" si="150"/>
        <v>08</v>
      </c>
      <c r="T491" s="13" t="str">
        <f t="shared" si="151"/>
        <v>CANS</v>
      </c>
      <c r="U491" s="13" t="str">
        <f t="shared" si="152"/>
        <v>cans</v>
      </c>
      <c r="V491" s="13">
        <f t="shared" si="153"/>
        <v>2</v>
      </c>
      <c r="W491" s="13" t="str">
        <f t="shared" si="154"/>
        <v>T023419 2</v>
      </c>
      <c r="X491" s="13" t="str">
        <f t="shared" si="155"/>
        <v>S55144</v>
      </c>
      <c r="Y491" s="13" t="str">
        <f t="shared" si="156"/>
        <v>T02</v>
      </c>
      <c r="Z491" s="13" t="str">
        <f t="shared" si="157"/>
        <v>419</v>
      </c>
      <c r="AA491" s="13">
        <f t="shared" si="158"/>
        <v>2</v>
      </c>
      <c r="AB491" s="13">
        <f t="shared" si="159"/>
        <v>4</v>
      </c>
      <c r="AC491" s="13"/>
      <c r="AD491" s="13"/>
      <c r="AE491" s="13"/>
    </row>
    <row r="492" spans="1:31" ht="30" x14ac:dyDescent="0.25">
      <c r="A492" s="9" t="s">
        <v>69</v>
      </c>
      <c r="B492" s="9" t="s">
        <v>1635</v>
      </c>
      <c r="C492" s="9" t="s">
        <v>1636</v>
      </c>
      <c r="D492" s="9" t="s">
        <v>597</v>
      </c>
      <c r="E492" s="9" t="s">
        <v>1637</v>
      </c>
      <c r="F492" s="9">
        <v>5</v>
      </c>
      <c r="G492" s="9" t="s">
        <v>115</v>
      </c>
      <c r="H492" s="9">
        <v>16</v>
      </c>
      <c r="I492" s="13">
        <f t="shared" si="140"/>
        <v>80</v>
      </c>
      <c r="J492" s="13">
        <f t="shared" si="141"/>
        <v>275</v>
      </c>
      <c r="K492" s="13">
        <f t="shared" si="142"/>
        <v>272</v>
      </c>
      <c r="L492" s="13">
        <f t="shared" si="143"/>
        <v>33</v>
      </c>
      <c r="M492" s="13">
        <f t="shared" si="144"/>
        <v>2</v>
      </c>
      <c r="N492" s="13" t="b">
        <f t="shared" si="145"/>
        <v>0</v>
      </c>
      <c r="O492" s="13" t="b">
        <f t="shared" si="146"/>
        <v>1</v>
      </c>
      <c r="P492" s="13" t="str">
        <f t="shared" si="147"/>
        <v>C007592-bags</v>
      </c>
      <c r="Q492" s="14" t="str">
        <f t="shared" si="148"/>
        <v>T07056
5</v>
      </c>
      <c r="R492" s="13" t="b">
        <f t="shared" si="149"/>
        <v>0</v>
      </c>
      <c r="S492" s="13" t="str">
        <f t="shared" si="150"/>
        <v>15</v>
      </c>
      <c r="T492" s="13" t="str">
        <f t="shared" si="151"/>
        <v>BAGS</v>
      </c>
      <c r="U492" s="13" t="str">
        <f t="shared" si="152"/>
        <v>bags</v>
      </c>
      <c r="V492" s="13">
        <f t="shared" si="153"/>
        <v>2</v>
      </c>
      <c r="W492" s="13" t="str">
        <f t="shared" si="154"/>
        <v>T07056 5</v>
      </c>
      <c r="X492" s="13" t="str">
        <f t="shared" si="155"/>
        <v>S5525</v>
      </c>
      <c r="Y492" s="13" t="str">
        <f t="shared" si="156"/>
        <v>T07</v>
      </c>
      <c r="Z492" s="13" t="str">
        <f t="shared" si="157"/>
        <v>056</v>
      </c>
      <c r="AA492" s="13">
        <f t="shared" si="158"/>
        <v>2</v>
      </c>
      <c r="AB492" s="13">
        <f t="shared" si="159"/>
        <v>4</v>
      </c>
      <c r="AC492" s="13"/>
      <c r="AD492" s="13"/>
      <c r="AE492" s="13"/>
    </row>
    <row r="493" spans="1:31" ht="30" x14ac:dyDescent="0.25">
      <c r="A493" s="9" t="s">
        <v>155</v>
      </c>
      <c r="B493" s="9" t="s">
        <v>1638</v>
      </c>
      <c r="C493" s="9" t="s">
        <v>1639</v>
      </c>
      <c r="D493" s="9" t="s">
        <v>845</v>
      </c>
      <c r="E493" s="9" t="s">
        <v>1640</v>
      </c>
      <c r="F493" s="9">
        <v>11</v>
      </c>
      <c r="G493" s="9" t="s">
        <v>36</v>
      </c>
      <c r="H493" s="9">
        <v>16.25</v>
      </c>
      <c r="I493" s="13">
        <f t="shared" si="140"/>
        <v>178.75</v>
      </c>
      <c r="J493" s="13">
        <f t="shared" si="141"/>
        <v>64</v>
      </c>
      <c r="K493" s="13">
        <f t="shared" si="142"/>
        <v>64</v>
      </c>
      <c r="L493" s="13">
        <f t="shared" si="143"/>
        <v>43.25</v>
      </c>
      <c r="M493" s="13">
        <f>COUNTIF(G493:G905,G493)</f>
        <v>3</v>
      </c>
      <c r="N493" s="13" t="b">
        <f t="shared" si="145"/>
        <v>0</v>
      </c>
      <c r="O493" s="13" t="b">
        <f t="shared" si="146"/>
        <v>1</v>
      </c>
      <c r="P493" s="13" t="str">
        <f t="shared" si="147"/>
        <v>C007746-cans</v>
      </c>
      <c r="Q493" s="14" t="str">
        <f t="shared" si="148"/>
        <v>T070198
11</v>
      </c>
      <c r="R493" s="13" t="b">
        <f t="shared" si="149"/>
        <v>0</v>
      </c>
      <c r="S493" s="13" t="str">
        <f t="shared" si="150"/>
        <v>00</v>
      </c>
      <c r="T493" s="13" t="str">
        <f t="shared" si="151"/>
        <v>CANS</v>
      </c>
      <c r="U493" s="13" t="str">
        <f t="shared" si="152"/>
        <v>cans</v>
      </c>
      <c r="V493" s="13">
        <f t="shared" si="153"/>
        <v>2</v>
      </c>
      <c r="W493" s="13" t="str">
        <f t="shared" si="154"/>
        <v>T070198 11</v>
      </c>
      <c r="X493" s="13" t="str">
        <f t="shared" si="155"/>
        <v>S55379</v>
      </c>
      <c r="Y493" s="13" t="str">
        <f t="shared" si="156"/>
        <v>T07</v>
      </c>
      <c r="Z493" s="13" t="str">
        <f t="shared" si="157"/>
        <v>198</v>
      </c>
      <c r="AA493" s="13">
        <f t="shared" si="158"/>
        <v>2</v>
      </c>
      <c r="AB493" s="13">
        <f t="shared" si="159"/>
        <v>4</v>
      </c>
      <c r="AC493" s="13"/>
      <c r="AD493" s="13"/>
      <c r="AE493" s="13"/>
    </row>
    <row r="494" spans="1:31" ht="30" x14ac:dyDescent="0.25">
      <c r="A494" s="9" t="s">
        <v>196</v>
      </c>
      <c r="B494" s="9" t="s">
        <v>1641</v>
      </c>
      <c r="C494" s="9" t="s">
        <v>1642</v>
      </c>
      <c r="D494" s="9" t="s">
        <v>762</v>
      </c>
      <c r="E494" s="9" t="s">
        <v>1643</v>
      </c>
      <c r="F494" s="9">
        <v>7</v>
      </c>
      <c r="G494" s="9" t="s">
        <v>36</v>
      </c>
      <c r="H494" s="9">
        <v>11.5</v>
      </c>
      <c r="I494" s="13">
        <f t="shared" si="140"/>
        <v>80.5</v>
      </c>
      <c r="J494" s="13">
        <f t="shared" si="141"/>
        <v>271</v>
      </c>
      <c r="K494" s="13">
        <f t="shared" si="142"/>
        <v>271</v>
      </c>
      <c r="L494" s="13">
        <f t="shared" si="143"/>
        <v>27</v>
      </c>
      <c r="M494" s="13">
        <f t="shared" si="144"/>
        <v>2</v>
      </c>
      <c r="N494" s="13" t="b">
        <f t="shared" si="145"/>
        <v>0</v>
      </c>
      <c r="O494" s="13" t="b">
        <f t="shared" si="146"/>
        <v>1</v>
      </c>
      <c r="P494" s="13" t="str">
        <f t="shared" si="147"/>
        <v>C005610-cans</v>
      </c>
      <c r="Q494" s="14" t="str">
        <f t="shared" si="148"/>
        <v>T030718
7</v>
      </c>
      <c r="R494" s="13" t="b">
        <f t="shared" si="149"/>
        <v>0</v>
      </c>
      <c r="S494" s="13" t="str">
        <f t="shared" si="150"/>
        <v>02</v>
      </c>
      <c r="T494" s="13" t="str">
        <f t="shared" si="151"/>
        <v>CANS</v>
      </c>
      <c r="U494" s="13" t="str">
        <f t="shared" si="152"/>
        <v>cans</v>
      </c>
      <c r="V494" s="13">
        <f t="shared" si="153"/>
        <v>2</v>
      </c>
      <c r="W494" s="13" t="str">
        <f t="shared" si="154"/>
        <v>T030718 7</v>
      </c>
      <c r="X494" s="13" t="str">
        <f t="shared" si="155"/>
        <v>S5512</v>
      </c>
      <c r="Y494" s="13" t="str">
        <f t="shared" si="156"/>
        <v>T03</v>
      </c>
      <c r="Z494" s="13" t="str">
        <f t="shared" si="157"/>
        <v>718</v>
      </c>
      <c r="AA494" s="13">
        <f t="shared" si="158"/>
        <v>2</v>
      </c>
      <c r="AB494" s="13">
        <f t="shared" si="159"/>
        <v>4</v>
      </c>
      <c r="AC494" s="13"/>
      <c r="AD494" s="13"/>
      <c r="AE494" s="13"/>
    </row>
    <row r="495" spans="1:31" ht="30" x14ac:dyDescent="0.25">
      <c r="A495" s="9" t="s">
        <v>21</v>
      </c>
      <c r="B495" s="9" t="s">
        <v>1644</v>
      </c>
      <c r="C495" s="9" t="s">
        <v>1645</v>
      </c>
      <c r="D495" s="9" t="s">
        <v>190</v>
      </c>
      <c r="E495" s="9" t="s">
        <v>1646</v>
      </c>
      <c r="F495" s="9">
        <v>1</v>
      </c>
      <c r="G495" s="9" t="s">
        <v>14</v>
      </c>
      <c r="H495" s="9">
        <v>6</v>
      </c>
      <c r="I495" s="13">
        <f t="shared" si="140"/>
        <v>6</v>
      </c>
      <c r="J495" s="13">
        <f t="shared" si="141"/>
        <v>497</v>
      </c>
      <c r="K495" s="13">
        <f t="shared" si="142"/>
        <v>497</v>
      </c>
      <c r="L495" s="13">
        <f t="shared" si="143"/>
        <v>25</v>
      </c>
      <c r="M495" s="13">
        <f t="shared" si="144"/>
        <v>2</v>
      </c>
      <c r="N495" s="13" t="b">
        <f t="shared" si="145"/>
        <v>0</v>
      </c>
      <c r="O495" s="13" t="b">
        <f t="shared" si="146"/>
        <v>1</v>
      </c>
      <c r="P495" s="13" t="str">
        <f t="shared" si="147"/>
        <v>C003414-ct</v>
      </c>
      <c r="Q495" s="14" t="str">
        <f t="shared" si="148"/>
        <v>T019188
1</v>
      </c>
      <c r="R495" s="13" t="b">
        <f t="shared" si="149"/>
        <v>0</v>
      </c>
      <c r="S495" s="13" t="str">
        <f t="shared" si="150"/>
        <v>21</v>
      </c>
      <c r="T495" s="13" t="str">
        <f t="shared" si="151"/>
        <v>CT</v>
      </c>
      <c r="U495" s="13" t="str">
        <f t="shared" si="152"/>
        <v>ct</v>
      </c>
      <c r="V495" s="13">
        <f t="shared" si="153"/>
        <v>2</v>
      </c>
      <c r="W495" s="13" t="str">
        <f t="shared" si="154"/>
        <v>T019188 1</v>
      </c>
      <c r="X495" s="13" t="str">
        <f t="shared" si="155"/>
        <v>S55176</v>
      </c>
      <c r="Y495" s="13" t="str">
        <f t="shared" si="156"/>
        <v>T01</v>
      </c>
      <c r="Z495" s="13" t="str">
        <f t="shared" si="157"/>
        <v>188</v>
      </c>
      <c r="AA495" s="13">
        <f t="shared" si="158"/>
        <v>2</v>
      </c>
      <c r="AB495" s="13">
        <f t="shared" si="159"/>
        <v>2</v>
      </c>
      <c r="AC495" s="13"/>
      <c r="AD495" s="13"/>
      <c r="AE495" s="13"/>
    </row>
    <row r="496" spans="1:31" ht="30" x14ac:dyDescent="0.25">
      <c r="A496" s="9" t="s">
        <v>297</v>
      </c>
      <c r="B496" s="9" t="s">
        <v>1647</v>
      </c>
      <c r="C496" s="9" t="s">
        <v>1648</v>
      </c>
      <c r="D496" s="9" t="s">
        <v>802</v>
      </c>
      <c r="E496" s="9" t="s">
        <v>1649</v>
      </c>
      <c r="F496" s="9">
        <v>5</v>
      </c>
      <c r="G496" s="9" t="s">
        <v>115</v>
      </c>
      <c r="H496" s="9">
        <v>17</v>
      </c>
      <c r="I496" s="13">
        <f t="shared" si="140"/>
        <v>85</v>
      </c>
      <c r="J496" s="13">
        <f t="shared" si="141"/>
        <v>258</v>
      </c>
      <c r="K496" s="13">
        <f t="shared" si="142"/>
        <v>257</v>
      </c>
      <c r="L496" s="13">
        <f t="shared" si="143"/>
        <v>17</v>
      </c>
      <c r="M496" s="13">
        <f t="shared" si="144"/>
        <v>1</v>
      </c>
      <c r="N496" s="13" t="b">
        <f t="shared" si="145"/>
        <v>0</v>
      </c>
      <c r="O496" s="13" t="b">
        <f t="shared" si="146"/>
        <v>1</v>
      </c>
      <c r="P496" s="13" t="str">
        <f t="shared" si="147"/>
        <v>C002706-bags</v>
      </c>
      <c r="Q496" s="14" t="str">
        <f t="shared" si="148"/>
        <v>T083262
5</v>
      </c>
      <c r="R496" s="13" t="b">
        <f t="shared" si="149"/>
        <v>0</v>
      </c>
      <c r="S496" s="13" t="str">
        <f t="shared" si="150"/>
        <v>16</v>
      </c>
      <c r="T496" s="13" t="str">
        <f t="shared" si="151"/>
        <v>BAGS</v>
      </c>
      <c r="U496" s="13" t="str">
        <f t="shared" si="152"/>
        <v>bags</v>
      </c>
      <c r="V496" s="13">
        <f t="shared" si="153"/>
        <v>2</v>
      </c>
      <c r="W496" s="13" t="str">
        <f t="shared" si="154"/>
        <v>T083262 5</v>
      </c>
      <c r="X496" s="13" t="str">
        <f t="shared" si="155"/>
        <v>S55193</v>
      </c>
      <c r="Y496" s="13" t="str">
        <f t="shared" si="156"/>
        <v>T08</v>
      </c>
      <c r="Z496" s="13" t="str">
        <f t="shared" si="157"/>
        <v>262</v>
      </c>
      <c r="AA496" s="13">
        <f t="shared" si="158"/>
        <v>2</v>
      </c>
      <c r="AB496" s="13">
        <f t="shared" si="159"/>
        <v>4</v>
      </c>
      <c r="AC496" s="13"/>
      <c r="AD496" s="13"/>
      <c r="AE496" s="13"/>
    </row>
    <row r="497" spans="1:31" ht="30" x14ac:dyDescent="0.25">
      <c r="A497" s="9" t="s">
        <v>292</v>
      </c>
      <c r="B497" s="9" t="s">
        <v>1650</v>
      </c>
      <c r="C497" s="9" t="s">
        <v>1651</v>
      </c>
      <c r="D497" s="9" t="s">
        <v>72</v>
      </c>
      <c r="E497" s="9" t="s">
        <v>1562</v>
      </c>
      <c r="F497" s="9">
        <v>9</v>
      </c>
      <c r="G497" s="9" t="s">
        <v>36</v>
      </c>
      <c r="H497" s="9">
        <v>15.5</v>
      </c>
      <c r="I497" s="13">
        <f t="shared" si="140"/>
        <v>139.5</v>
      </c>
      <c r="J497" s="13">
        <f t="shared" si="141"/>
        <v>127</v>
      </c>
      <c r="K497" s="13">
        <f t="shared" si="142"/>
        <v>127</v>
      </c>
      <c r="L497" s="13">
        <f t="shared" si="143"/>
        <v>15.5</v>
      </c>
      <c r="M497" s="13">
        <f t="shared" si="144"/>
        <v>1</v>
      </c>
      <c r="N497" s="13" t="b">
        <f t="shared" si="145"/>
        <v>0</v>
      </c>
      <c r="O497" s="13" t="b">
        <f t="shared" si="146"/>
        <v>1</v>
      </c>
      <c r="P497" s="13" t="str">
        <f t="shared" si="147"/>
        <v>C007013-cans</v>
      </c>
      <c r="Q497" s="14" t="str">
        <f t="shared" si="148"/>
        <v>T098609
9</v>
      </c>
      <c r="R497" s="13" t="b">
        <f t="shared" si="149"/>
        <v>0</v>
      </c>
      <c r="S497" s="13" t="str">
        <f t="shared" si="150"/>
        <v>07</v>
      </c>
      <c r="T497" s="13" t="str">
        <f t="shared" si="151"/>
        <v>CANS</v>
      </c>
      <c r="U497" s="13" t="str">
        <f t="shared" si="152"/>
        <v>cans</v>
      </c>
      <c r="V497" s="13">
        <f t="shared" si="153"/>
        <v>2</v>
      </c>
      <c r="W497" s="13" t="str">
        <f t="shared" si="154"/>
        <v>T098609 9</v>
      </c>
      <c r="X497" s="13" t="str">
        <f t="shared" si="155"/>
        <v>S55255</v>
      </c>
      <c r="Y497" s="13" t="str">
        <f t="shared" si="156"/>
        <v>T09</v>
      </c>
      <c r="Z497" s="13" t="str">
        <f t="shared" si="157"/>
        <v>609</v>
      </c>
      <c r="AA497" s="13">
        <f t="shared" si="158"/>
        <v>2</v>
      </c>
      <c r="AB497" s="13">
        <f t="shared" si="159"/>
        <v>4</v>
      </c>
      <c r="AC497" s="13"/>
      <c r="AD497" s="13"/>
      <c r="AE497" s="13"/>
    </row>
    <row r="498" spans="1:31" ht="30" x14ac:dyDescent="0.25">
      <c r="A498" s="9" t="s">
        <v>182</v>
      </c>
      <c r="B498" s="9" t="s">
        <v>695</v>
      </c>
      <c r="C498" s="9" t="s">
        <v>1652</v>
      </c>
      <c r="D498" s="9" t="s">
        <v>94</v>
      </c>
      <c r="E498" s="9" t="s">
        <v>520</v>
      </c>
      <c r="F498" s="9">
        <v>10</v>
      </c>
      <c r="G498" s="9" t="s">
        <v>68</v>
      </c>
      <c r="H498" s="9">
        <v>20</v>
      </c>
      <c r="I498" s="13">
        <f t="shared" si="140"/>
        <v>200</v>
      </c>
      <c r="J498" s="13">
        <f t="shared" si="141"/>
        <v>48</v>
      </c>
      <c r="K498" s="13">
        <f t="shared" si="142"/>
        <v>46</v>
      </c>
      <c r="L498" s="13">
        <f t="shared" si="143"/>
        <v>33</v>
      </c>
      <c r="M498" s="13">
        <f t="shared" si="144"/>
        <v>2</v>
      </c>
      <c r="N498" s="13" t="b">
        <f t="shared" si="145"/>
        <v>0</v>
      </c>
      <c r="O498" s="13" t="b">
        <f t="shared" si="146"/>
        <v>1</v>
      </c>
      <c r="P498" s="13" t="str">
        <f t="shared" si="147"/>
        <v>C007170-bottles</v>
      </c>
      <c r="Q498" s="14" t="str">
        <f t="shared" si="148"/>
        <v>T086214
10</v>
      </c>
      <c r="R498" s="13" t="b">
        <f t="shared" si="149"/>
        <v>0</v>
      </c>
      <c r="S498" s="13" t="str">
        <f t="shared" si="150"/>
        <v>06</v>
      </c>
      <c r="T498" s="13" t="str">
        <f t="shared" si="151"/>
        <v>BOTTLES</v>
      </c>
      <c r="U498" s="13" t="str">
        <f t="shared" si="152"/>
        <v>bottles</v>
      </c>
      <c r="V498" s="13">
        <f t="shared" si="153"/>
        <v>2</v>
      </c>
      <c r="W498" s="13" t="str">
        <f t="shared" si="154"/>
        <v>T086214 10</v>
      </c>
      <c r="X498" s="13" t="str">
        <f t="shared" si="155"/>
        <v>S55664</v>
      </c>
      <c r="Y498" s="13" t="str">
        <f t="shared" si="156"/>
        <v>T08</v>
      </c>
      <c r="Z498" s="13" t="str">
        <f t="shared" si="157"/>
        <v>214</v>
      </c>
      <c r="AA498" s="13">
        <f t="shared" si="158"/>
        <v>2</v>
      </c>
      <c r="AB498" s="13">
        <f t="shared" si="159"/>
        <v>7</v>
      </c>
      <c r="AC498" s="13"/>
      <c r="AD498" s="13"/>
      <c r="AE498" s="13"/>
    </row>
    <row r="499" spans="1:31" ht="30" x14ac:dyDescent="0.25">
      <c r="A499" s="9" t="s">
        <v>249</v>
      </c>
      <c r="B499" s="9" t="s">
        <v>1653</v>
      </c>
      <c r="C499" s="9" t="s">
        <v>1654</v>
      </c>
      <c r="D499" s="9" t="s">
        <v>1655</v>
      </c>
      <c r="E499" s="9" t="s">
        <v>1562</v>
      </c>
      <c r="F499" s="9">
        <v>3</v>
      </c>
      <c r="G499" s="9" t="s">
        <v>14</v>
      </c>
      <c r="H499" s="9">
        <v>19</v>
      </c>
      <c r="I499" s="13">
        <f t="shared" si="140"/>
        <v>57</v>
      </c>
      <c r="J499" s="13">
        <f t="shared" si="141"/>
        <v>355</v>
      </c>
      <c r="K499" s="13">
        <f t="shared" si="142"/>
        <v>354</v>
      </c>
      <c r="L499" s="13">
        <f t="shared" si="143"/>
        <v>19</v>
      </c>
      <c r="M499" s="13">
        <f t="shared" si="144"/>
        <v>1</v>
      </c>
      <c r="N499" s="13" t="b">
        <f t="shared" si="145"/>
        <v>0</v>
      </c>
      <c r="O499" s="13" t="b">
        <f t="shared" si="146"/>
        <v>1</v>
      </c>
      <c r="P499" s="13" t="str">
        <f t="shared" si="147"/>
        <v>C003365-ct</v>
      </c>
      <c r="Q499" s="14" t="str">
        <f t="shared" si="148"/>
        <v>T069478
3</v>
      </c>
      <c r="R499" s="13" t="b">
        <f t="shared" si="149"/>
        <v>0</v>
      </c>
      <c r="S499" s="13" t="str">
        <f t="shared" si="150"/>
        <v>17</v>
      </c>
      <c r="T499" s="13" t="str">
        <f t="shared" si="151"/>
        <v>CT</v>
      </c>
      <c r="U499" s="13" t="str">
        <f t="shared" si="152"/>
        <v>ct</v>
      </c>
      <c r="V499" s="13">
        <f t="shared" si="153"/>
        <v>2</v>
      </c>
      <c r="W499" s="13" t="str">
        <f t="shared" si="154"/>
        <v>T069478 3</v>
      </c>
      <c r="X499" s="13" t="str">
        <f t="shared" si="155"/>
        <v>S55255</v>
      </c>
      <c r="Y499" s="13" t="str">
        <f t="shared" si="156"/>
        <v>T06</v>
      </c>
      <c r="Z499" s="13" t="str">
        <f t="shared" si="157"/>
        <v>478</v>
      </c>
      <c r="AA499" s="13">
        <f t="shared" si="158"/>
        <v>2</v>
      </c>
      <c r="AB499" s="13">
        <f t="shared" si="159"/>
        <v>2</v>
      </c>
      <c r="AC499" s="13"/>
      <c r="AD499" s="13"/>
      <c r="AE499" s="13"/>
    </row>
    <row r="500" spans="1:31" ht="30" x14ac:dyDescent="0.25">
      <c r="A500" s="9" t="s">
        <v>100</v>
      </c>
      <c r="B500" s="9" t="s">
        <v>1656</v>
      </c>
      <c r="C500" s="9" t="s">
        <v>1657</v>
      </c>
      <c r="D500" s="9" t="s">
        <v>1658</v>
      </c>
      <c r="E500" s="9" t="s">
        <v>1470</v>
      </c>
      <c r="F500" s="9">
        <v>4</v>
      </c>
      <c r="G500" s="9" t="s">
        <v>68</v>
      </c>
      <c r="H500" s="9">
        <v>13</v>
      </c>
      <c r="I500" s="13">
        <f t="shared" si="140"/>
        <v>52</v>
      </c>
      <c r="J500" s="13">
        <f t="shared" si="141"/>
        <v>371</v>
      </c>
      <c r="K500" s="13">
        <f t="shared" si="142"/>
        <v>370</v>
      </c>
      <c r="L500" s="13">
        <f t="shared" si="143"/>
        <v>13</v>
      </c>
      <c r="M500" s="13">
        <f t="shared" si="144"/>
        <v>1</v>
      </c>
      <c r="N500" s="13" t="b">
        <f t="shared" si="145"/>
        <v>0</v>
      </c>
      <c r="O500" s="13" t="b">
        <f t="shared" si="146"/>
        <v>1</v>
      </c>
      <c r="P500" s="13" t="str">
        <f t="shared" si="147"/>
        <v>C003314-bottles</v>
      </c>
      <c r="Q500" s="14" t="str">
        <f t="shared" si="148"/>
        <v>T04209
4</v>
      </c>
      <c r="R500" s="13" t="b">
        <f t="shared" si="149"/>
        <v>0</v>
      </c>
      <c r="S500" s="13" t="str">
        <f t="shared" si="150"/>
        <v>09</v>
      </c>
      <c r="T500" s="13" t="str">
        <f t="shared" si="151"/>
        <v>BOTTLES</v>
      </c>
      <c r="U500" s="13" t="str">
        <f t="shared" si="152"/>
        <v>bottles</v>
      </c>
      <c r="V500" s="13">
        <f t="shared" si="153"/>
        <v>2</v>
      </c>
      <c r="W500" s="13" t="str">
        <f t="shared" si="154"/>
        <v>T04209 4</v>
      </c>
      <c r="X500" s="13" t="str">
        <f t="shared" si="155"/>
        <v>S55332</v>
      </c>
      <c r="Y500" s="13" t="str">
        <f t="shared" si="156"/>
        <v>T04</v>
      </c>
      <c r="Z500" s="13" t="str">
        <f t="shared" si="157"/>
        <v>209</v>
      </c>
      <c r="AA500" s="13">
        <f t="shared" si="158"/>
        <v>2</v>
      </c>
      <c r="AB500" s="13">
        <f t="shared" si="159"/>
        <v>7</v>
      </c>
      <c r="AC500" s="13"/>
      <c r="AD500" s="13"/>
      <c r="AE500" s="13"/>
    </row>
    <row r="503" spans="1:31" ht="21" x14ac:dyDescent="0.35">
      <c r="A503" s="6" t="s">
        <v>90</v>
      </c>
    </row>
    <row r="505" spans="1:31" x14ac:dyDescent="0.25">
      <c r="A505" t="s">
        <v>47</v>
      </c>
      <c r="B505" s="1" t="s">
        <v>2</v>
      </c>
      <c r="C505" s="1" t="s">
        <v>4</v>
      </c>
      <c r="D505" s="1" t="s">
        <v>0</v>
      </c>
      <c r="E505" s="1" t="s">
        <v>1</v>
      </c>
      <c r="F505" s="1" t="s">
        <v>8</v>
      </c>
      <c r="G505" s="1" t="s">
        <v>5</v>
      </c>
      <c r="H505" s="1" t="s">
        <v>7</v>
      </c>
      <c r="I505" s="1" t="s">
        <v>3</v>
      </c>
      <c r="J505" s="1" t="s">
        <v>6</v>
      </c>
    </row>
    <row r="506" spans="1:31" x14ac:dyDescent="0.25">
      <c r="B506" s="5" t="s">
        <v>11</v>
      </c>
      <c r="C506" s="2" t="s">
        <v>13</v>
      </c>
      <c r="D506" s="2" t="s">
        <v>9</v>
      </c>
      <c r="E506" s="2" t="s">
        <v>10</v>
      </c>
      <c r="F506" s="2">
        <v>35</v>
      </c>
      <c r="G506" s="2">
        <v>1</v>
      </c>
      <c r="H506" s="2">
        <v>35</v>
      </c>
      <c r="I506" s="2" t="s">
        <v>12</v>
      </c>
      <c r="J506" s="2" t="s">
        <v>14</v>
      </c>
    </row>
    <row r="508" spans="1:31" ht="18.75" x14ac:dyDescent="0.3">
      <c r="A508" s="7" t="s">
        <v>43</v>
      </c>
    </row>
    <row r="509" spans="1:31" x14ac:dyDescent="0.25">
      <c r="B509">
        <v>1</v>
      </c>
      <c r="C509">
        <v>2</v>
      </c>
    </row>
    <row r="510" spans="1:31" x14ac:dyDescent="0.25">
      <c r="B510" s="1" t="s">
        <v>0</v>
      </c>
      <c r="C510" s="1" t="s">
        <v>4</v>
      </c>
    </row>
    <row r="511" spans="1:31" x14ac:dyDescent="0.25">
      <c r="B511" s="2" t="s">
        <v>9</v>
      </c>
      <c r="C511" s="5" t="s">
        <v>13</v>
      </c>
    </row>
    <row r="512" spans="1:31" x14ac:dyDescent="0.25">
      <c r="B512" s="2" t="s">
        <v>15</v>
      </c>
      <c r="C512" s="5" t="s">
        <v>19</v>
      </c>
    </row>
    <row r="513" spans="1:10" x14ac:dyDescent="0.25">
      <c r="B513" s="2" t="s">
        <v>21</v>
      </c>
      <c r="C513" s="2" t="s">
        <v>25</v>
      </c>
    </row>
    <row r="514" spans="1:10" x14ac:dyDescent="0.25">
      <c r="B514" s="2" t="s">
        <v>26</v>
      </c>
      <c r="C514" s="2" t="s">
        <v>30</v>
      </c>
    </row>
    <row r="515" spans="1:10" x14ac:dyDescent="0.25">
      <c r="B515" s="2" t="s">
        <v>31</v>
      </c>
      <c r="C515" s="2" t="s">
        <v>35</v>
      </c>
    </row>
    <row r="518" spans="1:10" ht="18.75" x14ac:dyDescent="0.3">
      <c r="A518" s="7" t="s">
        <v>44</v>
      </c>
      <c r="B518" s="2" t="s">
        <v>21</v>
      </c>
      <c r="C518" s="4" t="str" cm="1">
        <f t="array" ref="C518:J518">_xlfn.XLOOKUP(B518,A487:A492,B487:I492,"not found",0)</f>
        <v>C007837</v>
      </c>
      <c r="D518" s="4" t="str">
        <v>T012803</v>
      </c>
      <c r="E518" s="4" t="str">
        <v>I00222</v>
      </c>
      <c r="F518" s="4" t="str">
        <v>S00265</v>
      </c>
      <c r="G518" s="4">
        <v>6</v>
      </c>
      <c r="H518" s="4" t="str">
        <v>ct</v>
      </c>
      <c r="I518" s="4">
        <v>12</v>
      </c>
      <c r="J518" s="4">
        <v>72</v>
      </c>
    </row>
    <row r="550001" spans="8:9" x14ac:dyDescent="0.25">
      <c r="H550001" s="3" t="s">
        <v>37</v>
      </c>
      <c r="I550001">
        <f>SUM(I5:I550000)</f>
        <v>52888</v>
      </c>
    </row>
    <row r="550002" spans="8:9" x14ac:dyDescent="0.25">
      <c r="H550002" s="3" t="s">
        <v>38</v>
      </c>
      <c r="I550002">
        <f>AVERAGE(I5:I550000)</f>
        <v>106.41448692152917</v>
      </c>
    </row>
    <row r="550003" spans="8:9" x14ac:dyDescent="0.25">
      <c r="H550003" s="3" t="s">
        <v>39</v>
      </c>
      <c r="I550003">
        <f>MIN(I5:I550000)</f>
        <v>6</v>
      </c>
    </row>
    <row r="550004" spans="8:9" x14ac:dyDescent="0.25">
      <c r="H550004" s="3" t="s">
        <v>40</v>
      </c>
      <c r="I550004">
        <f>MAX(I5:I550000)</f>
        <v>530</v>
      </c>
    </row>
  </sheetData>
  <autoFilter ref="A4:AE500" xr:uid="{9C1A1783-2E08-4609-A8AC-64621B6E48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B9406-9715-4075-AC6F-94256BAA4C7C}">
  <dimension ref="A1:AE497"/>
  <sheetViews>
    <sheetView tabSelected="1" workbookViewId="0">
      <selection activeCell="K11" sqref="K11"/>
    </sheetView>
  </sheetViews>
  <sheetFormatPr defaultRowHeight="15" x14ac:dyDescent="0.25"/>
  <cols>
    <col min="1" max="1" width="9.28515625" bestFit="1" customWidth="1"/>
    <col min="2" max="2" width="39.140625" bestFit="1" customWidth="1"/>
    <col min="3" max="3" width="26.28515625" bestFit="1" customWidth="1"/>
    <col min="4" max="4" width="12.85546875" bestFit="1" customWidth="1"/>
    <col min="5" max="5" width="33" bestFit="1" customWidth="1"/>
    <col min="6" max="6" width="7.85546875" bestFit="1" customWidth="1"/>
    <col min="7" max="7" width="10" bestFit="1" customWidth="1"/>
  </cols>
  <sheetData>
    <row r="1" spans="1:31" x14ac:dyDescent="0.25">
      <c r="A1" s="16" t="s">
        <v>3</v>
      </c>
      <c r="B1" s="16" t="s">
        <v>1797</v>
      </c>
      <c r="C1" s="16" t="s">
        <v>1798</v>
      </c>
      <c r="D1" s="16" t="s">
        <v>1799</v>
      </c>
      <c r="E1" s="16" t="s">
        <v>1800</v>
      </c>
      <c r="F1" s="8" t="s">
        <v>5</v>
      </c>
      <c r="G1" s="16" t="s">
        <v>6</v>
      </c>
      <c r="H1" s="16" t="s">
        <v>7</v>
      </c>
      <c r="I1" s="11" t="s">
        <v>1659</v>
      </c>
      <c r="J1" s="12" t="s">
        <v>45</v>
      </c>
      <c r="K1" s="12" t="s">
        <v>46</v>
      </c>
      <c r="L1" s="12" t="s">
        <v>41</v>
      </c>
      <c r="M1" s="12" t="s">
        <v>42</v>
      </c>
      <c r="N1" s="12" t="s">
        <v>1661</v>
      </c>
      <c r="O1" s="12" t="s">
        <v>1660</v>
      </c>
      <c r="P1" s="12" t="s">
        <v>49</v>
      </c>
      <c r="Q1" s="12" t="s">
        <v>60</v>
      </c>
      <c r="R1" s="12" t="s">
        <v>48</v>
      </c>
      <c r="S1" s="12" t="s">
        <v>53</v>
      </c>
      <c r="T1" s="12" t="s">
        <v>54</v>
      </c>
      <c r="U1" s="12" t="s">
        <v>55</v>
      </c>
      <c r="V1" s="12" t="s">
        <v>57</v>
      </c>
      <c r="W1" s="12" t="s">
        <v>59</v>
      </c>
      <c r="X1" s="12" t="s">
        <v>58</v>
      </c>
      <c r="Y1" s="12" t="s">
        <v>51</v>
      </c>
      <c r="Z1" s="12" t="s">
        <v>52</v>
      </c>
      <c r="AA1" s="12" t="s">
        <v>50</v>
      </c>
      <c r="AB1" s="12" t="s">
        <v>56</v>
      </c>
      <c r="AC1" s="12" t="s">
        <v>89</v>
      </c>
      <c r="AD1" s="12" t="s">
        <v>61</v>
      </c>
      <c r="AE1" s="12" t="s">
        <v>62</v>
      </c>
    </row>
    <row r="2" spans="1:31" x14ac:dyDescent="0.25">
      <c r="A2" s="15" t="s">
        <v>1662</v>
      </c>
      <c r="B2" s="15" t="s">
        <v>1663</v>
      </c>
      <c r="C2" s="15" t="s">
        <v>1664</v>
      </c>
      <c r="D2" s="15" t="s">
        <v>1665</v>
      </c>
      <c r="E2" s="15" t="s">
        <v>1666</v>
      </c>
      <c r="F2" s="9">
        <v>1</v>
      </c>
      <c r="G2" s="15" t="s">
        <v>36</v>
      </c>
      <c r="H2" s="15">
        <v>11.5</v>
      </c>
      <c r="I2">
        <f>H2*F2</f>
        <v>11.5</v>
      </c>
    </row>
    <row r="3" spans="1:31" x14ac:dyDescent="0.25">
      <c r="A3" s="15" t="s">
        <v>1553</v>
      </c>
      <c r="B3" s="15" t="s">
        <v>1667</v>
      </c>
      <c r="C3" s="15" t="s">
        <v>1664</v>
      </c>
      <c r="D3" s="15" t="s">
        <v>1668</v>
      </c>
      <c r="E3" s="15" t="s">
        <v>1669</v>
      </c>
      <c r="F3" s="9">
        <v>1</v>
      </c>
      <c r="G3" s="15" t="s">
        <v>36</v>
      </c>
      <c r="H3" s="15">
        <v>6.75</v>
      </c>
      <c r="I3">
        <f t="shared" ref="I3:I66" si="0">H3*F3</f>
        <v>6.75</v>
      </c>
    </row>
    <row r="4" spans="1:31" x14ac:dyDescent="0.25">
      <c r="A4" s="15" t="s">
        <v>242</v>
      </c>
      <c r="B4" s="15" t="s">
        <v>1670</v>
      </c>
      <c r="C4" s="15" t="s">
        <v>1664</v>
      </c>
      <c r="D4" s="15" t="s">
        <v>1671</v>
      </c>
      <c r="E4" s="15" t="s">
        <v>1672</v>
      </c>
      <c r="F4" s="9">
        <v>8</v>
      </c>
      <c r="G4" s="15" t="s">
        <v>36</v>
      </c>
      <c r="H4" s="15">
        <v>6.75</v>
      </c>
      <c r="I4">
        <f t="shared" si="0"/>
        <v>54</v>
      </c>
    </row>
    <row r="5" spans="1:31" x14ac:dyDescent="0.25">
      <c r="A5" s="15" t="s">
        <v>1572</v>
      </c>
      <c r="B5" s="15" t="s">
        <v>1673</v>
      </c>
      <c r="C5" s="15" t="s">
        <v>1664</v>
      </c>
      <c r="D5" s="15" t="s">
        <v>1665</v>
      </c>
      <c r="E5" s="15" t="s">
        <v>1666</v>
      </c>
      <c r="F5" s="9">
        <v>8</v>
      </c>
      <c r="G5" s="15" t="s">
        <v>36</v>
      </c>
      <c r="H5" s="15">
        <v>6.75</v>
      </c>
      <c r="I5">
        <f t="shared" si="0"/>
        <v>54</v>
      </c>
    </row>
    <row r="6" spans="1:31" x14ac:dyDescent="0.25">
      <c r="A6" s="15" t="s">
        <v>1046</v>
      </c>
      <c r="B6" s="15" t="s">
        <v>1674</v>
      </c>
      <c r="C6" s="15" t="s">
        <v>1664</v>
      </c>
      <c r="D6" s="15" t="s">
        <v>1675</v>
      </c>
      <c r="E6" s="15" t="s">
        <v>1676</v>
      </c>
      <c r="F6" s="9">
        <v>8</v>
      </c>
      <c r="G6" s="15" t="s">
        <v>36</v>
      </c>
      <c r="H6" s="15">
        <v>6.75</v>
      </c>
      <c r="I6">
        <f t="shared" si="0"/>
        <v>54</v>
      </c>
    </row>
    <row r="7" spans="1:31" x14ac:dyDescent="0.25">
      <c r="A7" s="15" t="s">
        <v>632</v>
      </c>
      <c r="B7" s="15" t="s">
        <v>1677</v>
      </c>
      <c r="C7" s="15" t="s">
        <v>1664</v>
      </c>
      <c r="D7" s="15" t="s">
        <v>1678</v>
      </c>
      <c r="E7" s="15" t="s">
        <v>1679</v>
      </c>
      <c r="F7" s="9">
        <v>5</v>
      </c>
      <c r="G7" s="15" t="s">
        <v>36</v>
      </c>
      <c r="H7" s="15">
        <v>16.25</v>
      </c>
      <c r="I7">
        <f t="shared" si="0"/>
        <v>81.25</v>
      </c>
    </row>
    <row r="8" spans="1:31" x14ac:dyDescent="0.25">
      <c r="A8" s="15" t="s">
        <v>261</v>
      </c>
      <c r="B8" s="15" t="s">
        <v>1677</v>
      </c>
      <c r="C8" s="15" t="s">
        <v>1664</v>
      </c>
      <c r="D8" s="15" t="s">
        <v>1680</v>
      </c>
      <c r="E8" s="15" t="s">
        <v>1681</v>
      </c>
      <c r="F8" s="9">
        <v>2</v>
      </c>
      <c r="G8" s="15" t="s">
        <v>36</v>
      </c>
      <c r="H8" s="15">
        <v>6.75</v>
      </c>
      <c r="I8">
        <f t="shared" si="0"/>
        <v>13.5</v>
      </c>
    </row>
    <row r="9" spans="1:31" x14ac:dyDescent="0.25">
      <c r="A9" s="15" t="s">
        <v>406</v>
      </c>
      <c r="B9" s="15" t="s">
        <v>1682</v>
      </c>
      <c r="C9" s="15" t="s">
        <v>1664</v>
      </c>
      <c r="D9" s="15" t="s">
        <v>1680</v>
      </c>
      <c r="E9" s="15" t="s">
        <v>1681</v>
      </c>
      <c r="F9" s="9">
        <v>1</v>
      </c>
      <c r="G9" s="15" t="s">
        <v>36</v>
      </c>
      <c r="H9" s="15">
        <v>16.25</v>
      </c>
      <c r="I9">
        <f t="shared" si="0"/>
        <v>16.25</v>
      </c>
    </row>
    <row r="10" spans="1:31" x14ac:dyDescent="0.25">
      <c r="A10" s="15" t="s">
        <v>845</v>
      </c>
      <c r="B10" s="15" t="s">
        <v>1683</v>
      </c>
      <c r="C10" s="15" t="s">
        <v>1664</v>
      </c>
      <c r="D10" s="15" t="s">
        <v>1665</v>
      </c>
      <c r="E10" s="15" t="s">
        <v>1666</v>
      </c>
      <c r="F10" s="9">
        <v>11</v>
      </c>
      <c r="G10" s="15" t="s">
        <v>36</v>
      </c>
      <c r="H10" s="15">
        <v>16.25</v>
      </c>
      <c r="I10">
        <f t="shared" si="0"/>
        <v>178.75</v>
      </c>
    </row>
    <row r="11" spans="1:31" x14ac:dyDescent="0.25">
      <c r="A11" s="15" t="s">
        <v>398</v>
      </c>
      <c r="B11" s="15" t="s">
        <v>1683</v>
      </c>
      <c r="C11" s="15" t="s">
        <v>1664</v>
      </c>
      <c r="D11" s="15" t="s">
        <v>1678</v>
      </c>
      <c r="E11" s="15" t="s">
        <v>1679</v>
      </c>
      <c r="F11" s="9">
        <v>10</v>
      </c>
      <c r="G11" s="15" t="s">
        <v>36</v>
      </c>
      <c r="H11" s="15">
        <v>6.75</v>
      </c>
      <c r="I11">
        <f t="shared" si="0"/>
        <v>67.5</v>
      </c>
    </row>
    <row r="12" spans="1:31" x14ac:dyDescent="0.25">
      <c r="A12" s="15" t="s">
        <v>1426</v>
      </c>
      <c r="B12" s="15" t="s">
        <v>1684</v>
      </c>
      <c r="C12" s="15" t="s">
        <v>1664</v>
      </c>
      <c r="D12" s="15" t="s">
        <v>1685</v>
      </c>
      <c r="E12" s="15" t="s">
        <v>1686</v>
      </c>
      <c r="F12" s="9">
        <v>8</v>
      </c>
      <c r="G12" s="15" t="s">
        <v>36</v>
      </c>
      <c r="H12" s="15">
        <v>6.75</v>
      </c>
      <c r="I12">
        <f t="shared" si="0"/>
        <v>54</v>
      </c>
    </row>
    <row r="13" spans="1:31" x14ac:dyDescent="0.25">
      <c r="A13" s="15" t="s">
        <v>1687</v>
      </c>
      <c r="B13" s="15" t="s">
        <v>1688</v>
      </c>
      <c r="C13" s="15" t="s">
        <v>1664</v>
      </c>
      <c r="D13" s="15" t="s">
        <v>1689</v>
      </c>
      <c r="E13" s="15" t="s">
        <v>1690</v>
      </c>
      <c r="F13" s="9">
        <v>10</v>
      </c>
      <c r="G13" s="15" t="s">
        <v>36</v>
      </c>
      <c r="H13" s="15">
        <v>16.25</v>
      </c>
      <c r="I13">
        <f t="shared" si="0"/>
        <v>162.5</v>
      </c>
    </row>
    <row r="14" spans="1:31" x14ac:dyDescent="0.25">
      <c r="A14" s="15" t="s">
        <v>1176</v>
      </c>
      <c r="B14" s="15" t="s">
        <v>1691</v>
      </c>
      <c r="C14" s="15" t="s">
        <v>1664</v>
      </c>
      <c r="D14" s="15" t="s">
        <v>1692</v>
      </c>
      <c r="E14" s="15" t="s">
        <v>1693</v>
      </c>
      <c r="F14" s="9">
        <v>3</v>
      </c>
      <c r="G14" s="15" t="s">
        <v>36</v>
      </c>
      <c r="H14" s="15">
        <v>6.75</v>
      </c>
      <c r="I14">
        <f t="shared" si="0"/>
        <v>20.25</v>
      </c>
    </row>
    <row r="15" spans="1:31" x14ac:dyDescent="0.25">
      <c r="A15" s="15" t="s">
        <v>922</v>
      </c>
      <c r="B15" s="15" t="s">
        <v>1694</v>
      </c>
      <c r="C15" s="15" t="s">
        <v>1664</v>
      </c>
      <c r="D15" s="15" t="s">
        <v>1675</v>
      </c>
      <c r="E15" s="15" t="s">
        <v>1676</v>
      </c>
      <c r="F15" s="9">
        <v>6</v>
      </c>
      <c r="G15" s="15" t="s">
        <v>36</v>
      </c>
      <c r="H15" s="15">
        <v>6.75</v>
      </c>
      <c r="I15">
        <f t="shared" si="0"/>
        <v>40.5</v>
      </c>
    </row>
    <row r="16" spans="1:31" x14ac:dyDescent="0.25">
      <c r="A16" s="15" t="s">
        <v>1205</v>
      </c>
      <c r="B16" s="15" t="s">
        <v>1695</v>
      </c>
      <c r="C16" s="15" t="s">
        <v>1664</v>
      </c>
      <c r="D16" s="15" t="s">
        <v>1680</v>
      </c>
      <c r="E16" s="15" t="s">
        <v>1681</v>
      </c>
      <c r="F16" s="9">
        <v>3</v>
      </c>
      <c r="G16" s="15" t="s">
        <v>36</v>
      </c>
      <c r="H16" s="15">
        <v>6.75</v>
      </c>
      <c r="I16">
        <f t="shared" si="0"/>
        <v>20.25</v>
      </c>
    </row>
    <row r="17" spans="1:9" x14ac:dyDescent="0.25">
      <c r="A17" s="15" t="s">
        <v>1696</v>
      </c>
      <c r="B17" s="15" t="s">
        <v>1697</v>
      </c>
      <c r="C17" s="15" t="s">
        <v>1664</v>
      </c>
      <c r="D17" s="15" t="s">
        <v>1689</v>
      </c>
      <c r="E17" s="15" t="s">
        <v>1690</v>
      </c>
      <c r="F17" s="9">
        <v>2</v>
      </c>
      <c r="G17" s="15" t="s">
        <v>36</v>
      </c>
      <c r="H17" s="15">
        <v>16.25</v>
      </c>
      <c r="I17">
        <f t="shared" si="0"/>
        <v>32.5</v>
      </c>
    </row>
    <row r="18" spans="1:9" x14ac:dyDescent="0.25">
      <c r="A18" s="15" t="s">
        <v>82</v>
      </c>
      <c r="B18" s="15" t="s">
        <v>1698</v>
      </c>
      <c r="C18" s="15" t="s">
        <v>1664</v>
      </c>
      <c r="D18" s="15" t="s">
        <v>1699</v>
      </c>
      <c r="E18" s="15" t="s">
        <v>1700</v>
      </c>
      <c r="F18" s="9">
        <v>9</v>
      </c>
      <c r="G18" s="15" t="s">
        <v>36</v>
      </c>
      <c r="H18" s="15">
        <v>6.75</v>
      </c>
      <c r="I18">
        <f t="shared" si="0"/>
        <v>60.75</v>
      </c>
    </row>
    <row r="19" spans="1:9" x14ac:dyDescent="0.25">
      <c r="A19" s="15" t="s">
        <v>212</v>
      </c>
      <c r="B19" s="15" t="s">
        <v>1701</v>
      </c>
      <c r="C19" s="15" t="s">
        <v>1664</v>
      </c>
      <c r="D19" s="15" t="s">
        <v>1680</v>
      </c>
      <c r="E19" s="15" t="s">
        <v>1681</v>
      </c>
      <c r="F19" s="9">
        <v>9</v>
      </c>
      <c r="G19" s="15" t="s">
        <v>36</v>
      </c>
      <c r="H19" s="15">
        <v>6.75</v>
      </c>
      <c r="I19">
        <f t="shared" si="0"/>
        <v>60.75</v>
      </c>
    </row>
    <row r="20" spans="1:9" x14ac:dyDescent="0.25">
      <c r="A20" s="15" t="s">
        <v>1702</v>
      </c>
      <c r="B20" s="15" t="s">
        <v>1703</v>
      </c>
      <c r="C20" s="15" t="s">
        <v>1664</v>
      </c>
      <c r="D20" s="15" t="s">
        <v>1675</v>
      </c>
      <c r="E20" s="15" t="s">
        <v>1676</v>
      </c>
      <c r="F20" s="9">
        <v>7</v>
      </c>
      <c r="G20" s="15" t="s">
        <v>36</v>
      </c>
      <c r="H20" s="15">
        <v>6.75</v>
      </c>
      <c r="I20">
        <f t="shared" si="0"/>
        <v>47.25</v>
      </c>
    </row>
    <row r="21" spans="1:9" x14ac:dyDescent="0.25">
      <c r="A21" s="15" t="s">
        <v>798</v>
      </c>
      <c r="B21" s="15" t="s">
        <v>1704</v>
      </c>
      <c r="C21" s="15" t="s">
        <v>1664</v>
      </c>
      <c r="D21" s="15" t="s">
        <v>1668</v>
      </c>
      <c r="E21" s="15" t="s">
        <v>1669</v>
      </c>
      <c r="F21" s="9">
        <v>4</v>
      </c>
      <c r="G21" s="15" t="s">
        <v>36</v>
      </c>
      <c r="H21" s="15">
        <v>6.75</v>
      </c>
      <c r="I21">
        <f t="shared" si="0"/>
        <v>27</v>
      </c>
    </row>
    <row r="22" spans="1:9" x14ac:dyDescent="0.25">
      <c r="A22" s="15" t="s">
        <v>1360</v>
      </c>
      <c r="B22" s="15" t="s">
        <v>1705</v>
      </c>
      <c r="C22" s="15" t="s">
        <v>1664</v>
      </c>
      <c r="D22" s="15" t="s">
        <v>1685</v>
      </c>
      <c r="E22" s="15" t="s">
        <v>1686</v>
      </c>
      <c r="F22" s="9">
        <v>4</v>
      </c>
      <c r="G22" s="15" t="s">
        <v>36</v>
      </c>
      <c r="H22" s="15">
        <v>6.75</v>
      </c>
      <c r="I22">
        <f t="shared" si="0"/>
        <v>27</v>
      </c>
    </row>
    <row r="23" spans="1:9" x14ac:dyDescent="0.25">
      <c r="A23" s="15" t="s">
        <v>1706</v>
      </c>
      <c r="B23" s="15" t="s">
        <v>1707</v>
      </c>
      <c r="C23" s="15" t="s">
        <v>1664</v>
      </c>
      <c r="D23" s="15" t="s">
        <v>1685</v>
      </c>
      <c r="E23" s="15" t="s">
        <v>1686</v>
      </c>
      <c r="F23" s="9">
        <v>7</v>
      </c>
      <c r="G23" s="15" t="s">
        <v>36</v>
      </c>
      <c r="H23" s="15">
        <v>16.25</v>
      </c>
      <c r="I23">
        <f t="shared" si="0"/>
        <v>113.75</v>
      </c>
    </row>
    <row r="24" spans="1:9" x14ac:dyDescent="0.25">
      <c r="A24" s="15" t="s">
        <v>98</v>
      </c>
      <c r="B24" s="15" t="s">
        <v>1708</v>
      </c>
      <c r="C24" s="15" t="s">
        <v>1664</v>
      </c>
      <c r="D24" s="15" t="s">
        <v>1699</v>
      </c>
      <c r="E24" s="15" t="s">
        <v>1700</v>
      </c>
      <c r="F24" s="9">
        <v>8</v>
      </c>
      <c r="G24" s="15" t="s">
        <v>36</v>
      </c>
      <c r="H24" s="15">
        <v>6.75</v>
      </c>
      <c r="I24">
        <f t="shared" si="0"/>
        <v>54</v>
      </c>
    </row>
    <row r="25" spans="1:9" x14ac:dyDescent="0.25">
      <c r="A25" s="15" t="s">
        <v>712</v>
      </c>
      <c r="B25" s="15" t="s">
        <v>1708</v>
      </c>
      <c r="C25" s="15" t="s">
        <v>1664</v>
      </c>
      <c r="D25" s="15" t="s">
        <v>1678</v>
      </c>
      <c r="E25" s="15" t="s">
        <v>1679</v>
      </c>
      <c r="F25" s="9">
        <v>1</v>
      </c>
      <c r="G25" s="15" t="s">
        <v>36</v>
      </c>
      <c r="H25" s="15">
        <v>16.25</v>
      </c>
      <c r="I25">
        <f t="shared" si="0"/>
        <v>16.25</v>
      </c>
    </row>
    <row r="26" spans="1:9" x14ac:dyDescent="0.25">
      <c r="A26" s="15" t="s">
        <v>948</v>
      </c>
      <c r="B26" s="15" t="s">
        <v>1709</v>
      </c>
      <c r="C26" s="15" t="s">
        <v>1664</v>
      </c>
      <c r="D26" s="15" t="s">
        <v>1689</v>
      </c>
      <c r="E26" s="15" t="s">
        <v>1690</v>
      </c>
      <c r="F26" s="9">
        <v>10</v>
      </c>
      <c r="G26" s="15" t="s">
        <v>36</v>
      </c>
      <c r="H26" s="15">
        <v>11.5</v>
      </c>
      <c r="I26">
        <f t="shared" si="0"/>
        <v>115</v>
      </c>
    </row>
    <row r="27" spans="1:9" x14ac:dyDescent="0.25">
      <c r="A27" s="15" t="s">
        <v>1433</v>
      </c>
      <c r="B27" s="15" t="s">
        <v>1710</v>
      </c>
      <c r="C27" s="15" t="s">
        <v>1664</v>
      </c>
      <c r="D27" s="15" t="s">
        <v>1678</v>
      </c>
      <c r="E27" s="15" t="s">
        <v>1679</v>
      </c>
      <c r="F27" s="9">
        <v>2</v>
      </c>
      <c r="G27" s="15" t="s">
        <v>36</v>
      </c>
      <c r="H27" s="15">
        <v>6.75</v>
      </c>
      <c r="I27">
        <f t="shared" si="0"/>
        <v>13.5</v>
      </c>
    </row>
    <row r="28" spans="1:9" x14ac:dyDescent="0.25">
      <c r="A28" s="15" t="s">
        <v>1556</v>
      </c>
      <c r="B28" s="15" t="s">
        <v>1710</v>
      </c>
      <c r="C28" s="15" t="s">
        <v>1664</v>
      </c>
      <c r="D28" s="15" t="s">
        <v>1668</v>
      </c>
      <c r="E28" s="15" t="s">
        <v>1669</v>
      </c>
      <c r="F28" s="9">
        <v>8</v>
      </c>
      <c r="G28" s="15" t="s">
        <v>36</v>
      </c>
      <c r="H28" s="15">
        <v>16.25</v>
      </c>
      <c r="I28">
        <f t="shared" si="0"/>
        <v>130</v>
      </c>
    </row>
    <row r="29" spans="1:9" x14ac:dyDescent="0.25">
      <c r="A29" s="15" t="s">
        <v>346</v>
      </c>
      <c r="B29" s="15" t="s">
        <v>1711</v>
      </c>
      <c r="C29" s="15" t="s">
        <v>1664</v>
      </c>
      <c r="D29" s="15" t="s">
        <v>1668</v>
      </c>
      <c r="E29" s="15" t="s">
        <v>1669</v>
      </c>
      <c r="F29" s="9">
        <v>1</v>
      </c>
      <c r="G29" s="15" t="s">
        <v>36</v>
      </c>
      <c r="H29" s="15">
        <v>6.75</v>
      </c>
      <c r="I29">
        <f t="shared" si="0"/>
        <v>6.75</v>
      </c>
    </row>
    <row r="30" spans="1:9" x14ac:dyDescent="0.25">
      <c r="A30" s="15" t="s">
        <v>762</v>
      </c>
      <c r="B30" s="15" t="s">
        <v>1712</v>
      </c>
      <c r="C30" s="15" t="s">
        <v>1664</v>
      </c>
      <c r="D30" s="15" t="s">
        <v>1665</v>
      </c>
      <c r="E30" s="15" t="s">
        <v>1666</v>
      </c>
      <c r="F30" s="9">
        <v>2</v>
      </c>
      <c r="G30" s="15" t="s">
        <v>36</v>
      </c>
      <c r="H30" s="15">
        <v>11.5</v>
      </c>
      <c r="I30">
        <f t="shared" si="0"/>
        <v>23</v>
      </c>
    </row>
    <row r="31" spans="1:9" x14ac:dyDescent="0.25">
      <c r="A31" s="15" t="s">
        <v>1057</v>
      </c>
      <c r="B31" s="15" t="s">
        <v>1713</v>
      </c>
      <c r="C31" s="15" t="s">
        <v>1714</v>
      </c>
      <c r="D31" s="15" t="s">
        <v>1675</v>
      </c>
      <c r="E31" s="15" t="s">
        <v>1676</v>
      </c>
      <c r="F31" s="9">
        <v>11</v>
      </c>
      <c r="G31" s="15" t="s">
        <v>36</v>
      </c>
      <c r="H31" s="15">
        <v>16</v>
      </c>
      <c r="I31">
        <f t="shared" si="0"/>
        <v>176</v>
      </c>
    </row>
    <row r="32" spans="1:9" x14ac:dyDescent="0.25">
      <c r="A32" s="15" t="s">
        <v>1715</v>
      </c>
      <c r="B32" s="15" t="s">
        <v>1716</v>
      </c>
      <c r="C32" s="15" t="s">
        <v>1714</v>
      </c>
      <c r="D32" s="15" t="s">
        <v>1671</v>
      </c>
      <c r="E32" s="15" t="s">
        <v>1672</v>
      </c>
      <c r="F32" s="9">
        <v>6</v>
      </c>
      <c r="G32" s="15" t="s">
        <v>36</v>
      </c>
      <c r="H32" s="15">
        <v>16</v>
      </c>
      <c r="I32">
        <f t="shared" si="0"/>
        <v>96</v>
      </c>
    </row>
    <row r="33" spans="1:9" x14ac:dyDescent="0.25">
      <c r="A33" s="15" t="s">
        <v>1717</v>
      </c>
      <c r="B33" s="15" t="s">
        <v>1718</v>
      </c>
      <c r="C33" s="15" t="s">
        <v>1714</v>
      </c>
      <c r="D33" s="15" t="s">
        <v>1678</v>
      </c>
      <c r="E33" s="15" t="s">
        <v>1679</v>
      </c>
      <c r="F33" s="9">
        <v>3</v>
      </c>
      <c r="G33" s="15" t="s">
        <v>36</v>
      </c>
      <c r="H33" s="15">
        <v>16</v>
      </c>
      <c r="I33">
        <f t="shared" si="0"/>
        <v>48</v>
      </c>
    </row>
    <row r="34" spans="1:9" x14ac:dyDescent="0.25">
      <c r="A34" s="15" t="s">
        <v>216</v>
      </c>
      <c r="B34" s="15" t="s">
        <v>1719</v>
      </c>
      <c r="C34" s="15" t="s">
        <v>1714</v>
      </c>
      <c r="D34" s="15" t="s">
        <v>1668</v>
      </c>
      <c r="E34" s="15" t="s">
        <v>1669</v>
      </c>
      <c r="F34" s="9">
        <v>6</v>
      </c>
      <c r="G34" s="15" t="s">
        <v>36</v>
      </c>
      <c r="H34" s="15">
        <v>16</v>
      </c>
      <c r="I34">
        <f t="shared" si="0"/>
        <v>96</v>
      </c>
    </row>
    <row r="35" spans="1:9" x14ac:dyDescent="0.25">
      <c r="A35" s="15" t="s">
        <v>838</v>
      </c>
      <c r="B35" s="15" t="s">
        <v>1720</v>
      </c>
      <c r="C35" s="15" t="s">
        <v>1714</v>
      </c>
      <c r="D35" s="15" t="s">
        <v>1699</v>
      </c>
      <c r="E35" s="15" t="s">
        <v>1700</v>
      </c>
      <c r="F35" s="9">
        <v>3</v>
      </c>
      <c r="G35" s="15" t="s">
        <v>36</v>
      </c>
      <c r="H35" s="15">
        <v>16</v>
      </c>
      <c r="I35">
        <f t="shared" si="0"/>
        <v>48</v>
      </c>
    </row>
    <row r="36" spans="1:9" x14ac:dyDescent="0.25">
      <c r="A36" s="15" t="s">
        <v>755</v>
      </c>
      <c r="B36" s="15" t="s">
        <v>1721</v>
      </c>
      <c r="C36" s="15" t="s">
        <v>1714</v>
      </c>
      <c r="D36" s="15" t="s">
        <v>1692</v>
      </c>
      <c r="E36" s="15" t="s">
        <v>1693</v>
      </c>
      <c r="F36" s="9">
        <v>11</v>
      </c>
      <c r="G36" s="15" t="s">
        <v>36</v>
      </c>
      <c r="H36" s="15">
        <v>16</v>
      </c>
      <c r="I36">
        <f t="shared" si="0"/>
        <v>176</v>
      </c>
    </row>
    <row r="37" spans="1:9" x14ac:dyDescent="0.25">
      <c r="A37" s="15" t="s">
        <v>868</v>
      </c>
      <c r="B37" s="15" t="s">
        <v>1722</v>
      </c>
      <c r="C37" s="15" t="s">
        <v>1714</v>
      </c>
      <c r="D37" s="15" t="s">
        <v>1689</v>
      </c>
      <c r="E37" s="15" t="s">
        <v>1690</v>
      </c>
      <c r="F37" s="9">
        <v>5</v>
      </c>
      <c r="G37" s="15" t="s">
        <v>36</v>
      </c>
      <c r="H37" s="15">
        <v>16</v>
      </c>
      <c r="I37">
        <f t="shared" si="0"/>
        <v>80</v>
      </c>
    </row>
    <row r="38" spans="1:9" x14ac:dyDescent="0.25">
      <c r="A38" s="15" t="s">
        <v>357</v>
      </c>
      <c r="B38" s="15" t="s">
        <v>1723</v>
      </c>
      <c r="C38" s="15" t="s">
        <v>1714</v>
      </c>
      <c r="D38" s="15" t="s">
        <v>1675</v>
      </c>
      <c r="E38" s="15" t="s">
        <v>1676</v>
      </c>
      <c r="F38" s="9">
        <v>1</v>
      </c>
      <c r="G38" s="15" t="s">
        <v>36</v>
      </c>
      <c r="H38" s="15">
        <v>16</v>
      </c>
      <c r="I38">
        <f t="shared" si="0"/>
        <v>16</v>
      </c>
    </row>
    <row r="39" spans="1:9" x14ac:dyDescent="0.25">
      <c r="A39" s="15" t="s">
        <v>1063</v>
      </c>
      <c r="B39" s="15" t="s">
        <v>1724</v>
      </c>
      <c r="C39" s="15" t="s">
        <v>1714</v>
      </c>
      <c r="D39" s="15" t="s">
        <v>1699</v>
      </c>
      <c r="E39" s="15" t="s">
        <v>1700</v>
      </c>
      <c r="F39" s="9">
        <v>7</v>
      </c>
      <c r="G39" s="15" t="s">
        <v>68</v>
      </c>
      <c r="H39" s="15">
        <v>23</v>
      </c>
      <c r="I39">
        <f t="shared" si="0"/>
        <v>161</v>
      </c>
    </row>
    <row r="40" spans="1:9" x14ac:dyDescent="0.25">
      <c r="A40" s="15" t="s">
        <v>1567</v>
      </c>
      <c r="B40" s="15" t="s">
        <v>1725</v>
      </c>
      <c r="C40" s="15" t="s">
        <v>1714</v>
      </c>
      <c r="D40" s="15" t="s">
        <v>1671</v>
      </c>
      <c r="E40" s="15" t="s">
        <v>1672</v>
      </c>
      <c r="F40" s="9">
        <v>6</v>
      </c>
      <c r="G40" s="15" t="s">
        <v>68</v>
      </c>
      <c r="H40" s="15">
        <v>26</v>
      </c>
      <c r="I40">
        <f t="shared" si="0"/>
        <v>156</v>
      </c>
    </row>
    <row r="41" spans="1:9" x14ac:dyDescent="0.25">
      <c r="A41" s="15" t="s">
        <v>1726</v>
      </c>
      <c r="B41" s="15" t="s">
        <v>1727</v>
      </c>
      <c r="C41" s="15" t="s">
        <v>1714</v>
      </c>
      <c r="D41" s="15" t="s">
        <v>1699</v>
      </c>
      <c r="E41" s="15" t="s">
        <v>1700</v>
      </c>
      <c r="F41" s="9">
        <v>5</v>
      </c>
      <c r="G41" s="15" t="s">
        <v>68</v>
      </c>
      <c r="H41" s="15">
        <v>22</v>
      </c>
      <c r="I41">
        <f t="shared" si="0"/>
        <v>110</v>
      </c>
    </row>
    <row r="42" spans="1:9" x14ac:dyDescent="0.25">
      <c r="A42" s="15" t="s">
        <v>855</v>
      </c>
      <c r="B42" s="15" t="s">
        <v>1728</v>
      </c>
      <c r="C42" s="15" t="s">
        <v>1714</v>
      </c>
      <c r="D42" s="15" t="s">
        <v>1675</v>
      </c>
      <c r="E42" s="15" t="s">
        <v>1676</v>
      </c>
      <c r="F42" s="9">
        <v>11</v>
      </c>
      <c r="G42" s="15" t="s">
        <v>68</v>
      </c>
      <c r="H42" s="15">
        <v>23</v>
      </c>
      <c r="I42">
        <f t="shared" si="0"/>
        <v>253</v>
      </c>
    </row>
    <row r="43" spans="1:9" x14ac:dyDescent="0.25">
      <c r="A43" s="15" t="s">
        <v>658</v>
      </c>
      <c r="B43" s="15" t="s">
        <v>1729</v>
      </c>
      <c r="C43" s="15" t="s">
        <v>1714</v>
      </c>
      <c r="D43" s="15" t="s">
        <v>1692</v>
      </c>
      <c r="E43" s="15" t="s">
        <v>1693</v>
      </c>
      <c r="F43" s="9">
        <v>5</v>
      </c>
      <c r="G43" s="15" t="s">
        <v>68</v>
      </c>
      <c r="H43" s="15">
        <v>28</v>
      </c>
      <c r="I43">
        <f t="shared" si="0"/>
        <v>140</v>
      </c>
    </row>
    <row r="44" spans="1:9" x14ac:dyDescent="0.25">
      <c r="A44" s="15" t="s">
        <v>664</v>
      </c>
      <c r="B44" s="15" t="s">
        <v>1730</v>
      </c>
      <c r="C44" s="15" t="s">
        <v>1714</v>
      </c>
      <c r="D44" s="15" t="s">
        <v>1689</v>
      </c>
      <c r="E44" s="15" t="s">
        <v>1690</v>
      </c>
      <c r="F44" s="9">
        <v>1</v>
      </c>
      <c r="G44" s="15" t="s">
        <v>68</v>
      </c>
      <c r="H44" s="15">
        <v>24</v>
      </c>
      <c r="I44">
        <f t="shared" si="0"/>
        <v>24</v>
      </c>
    </row>
    <row r="45" spans="1:9" x14ac:dyDescent="0.25">
      <c r="A45" s="15" t="s">
        <v>492</v>
      </c>
      <c r="B45" s="15" t="s">
        <v>1731</v>
      </c>
      <c r="C45" s="15" t="s">
        <v>1714</v>
      </c>
      <c r="D45" s="15" t="s">
        <v>1699</v>
      </c>
      <c r="E45" s="15" t="s">
        <v>1700</v>
      </c>
      <c r="F45" s="9">
        <v>8</v>
      </c>
      <c r="G45" s="15" t="s">
        <v>36</v>
      </c>
      <c r="H45" s="15">
        <v>8</v>
      </c>
      <c r="I45">
        <f t="shared" si="0"/>
        <v>64</v>
      </c>
    </row>
    <row r="46" spans="1:9" x14ac:dyDescent="0.25">
      <c r="A46" s="15" t="s">
        <v>331</v>
      </c>
      <c r="B46" s="15" t="s">
        <v>1732</v>
      </c>
      <c r="C46" s="15" t="s">
        <v>1714</v>
      </c>
      <c r="D46" s="15" t="s">
        <v>1689</v>
      </c>
      <c r="E46" s="15" t="s">
        <v>1690</v>
      </c>
      <c r="F46" s="9">
        <v>4</v>
      </c>
      <c r="G46" s="15" t="s">
        <v>36</v>
      </c>
      <c r="H46" s="15">
        <v>8</v>
      </c>
      <c r="I46">
        <f t="shared" si="0"/>
        <v>32</v>
      </c>
    </row>
    <row r="47" spans="1:9" x14ac:dyDescent="0.25">
      <c r="A47" s="15" t="s">
        <v>1003</v>
      </c>
      <c r="B47" s="15" t="s">
        <v>1733</v>
      </c>
      <c r="C47" s="15" t="s">
        <v>1714</v>
      </c>
      <c r="D47" s="15" t="s">
        <v>1685</v>
      </c>
      <c r="E47" s="15" t="s">
        <v>1686</v>
      </c>
      <c r="F47" s="9">
        <v>10</v>
      </c>
      <c r="G47" s="15" t="s">
        <v>36</v>
      </c>
      <c r="H47" s="15">
        <v>8</v>
      </c>
      <c r="I47">
        <f t="shared" si="0"/>
        <v>80</v>
      </c>
    </row>
    <row r="48" spans="1:9" x14ac:dyDescent="0.25">
      <c r="A48" s="15" t="s">
        <v>141</v>
      </c>
      <c r="B48" s="15" t="s">
        <v>1734</v>
      </c>
      <c r="C48" s="15" t="s">
        <v>1714</v>
      </c>
      <c r="D48" s="15" t="s">
        <v>1680</v>
      </c>
      <c r="E48" s="15" t="s">
        <v>1681</v>
      </c>
      <c r="F48" s="9">
        <v>3</v>
      </c>
      <c r="G48" s="15" t="s">
        <v>36</v>
      </c>
      <c r="H48" s="15">
        <v>8</v>
      </c>
      <c r="I48">
        <f t="shared" si="0"/>
        <v>24</v>
      </c>
    </row>
    <row r="49" spans="1:9" x14ac:dyDescent="0.25">
      <c r="A49" s="15" t="s">
        <v>557</v>
      </c>
      <c r="B49" s="15" t="s">
        <v>1735</v>
      </c>
      <c r="C49" s="15" t="s">
        <v>1714</v>
      </c>
      <c r="D49" s="15" t="s">
        <v>1671</v>
      </c>
      <c r="E49" s="15" t="s">
        <v>1672</v>
      </c>
      <c r="F49" s="9">
        <v>1</v>
      </c>
      <c r="G49" s="15" t="s">
        <v>36</v>
      </c>
      <c r="H49" s="15">
        <v>8</v>
      </c>
      <c r="I49">
        <f t="shared" si="0"/>
        <v>8</v>
      </c>
    </row>
    <row r="50" spans="1:9" x14ac:dyDescent="0.25">
      <c r="A50" s="15" t="s">
        <v>314</v>
      </c>
      <c r="B50" s="15" t="s">
        <v>1736</v>
      </c>
      <c r="C50" s="15" t="s">
        <v>1714</v>
      </c>
      <c r="D50" s="15" t="s">
        <v>1665</v>
      </c>
      <c r="E50" s="15" t="s">
        <v>1666</v>
      </c>
      <c r="F50" s="9">
        <v>10</v>
      </c>
      <c r="G50" s="15" t="s">
        <v>36</v>
      </c>
      <c r="H50" s="15">
        <v>8</v>
      </c>
      <c r="I50">
        <f t="shared" si="0"/>
        <v>80</v>
      </c>
    </row>
    <row r="51" spans="1:9" x14ac:dyDescent="0.25">
      <c r="A51" s="15" t="s">
        <v>34</v>
      </c>
      <c r="B51" s="15" t="s">
        <v>1737</v>
      </c>
      <c r="C51" s="15" t="s">
        <v>1714</v>
      </c>
      <c r="D51" s="15" t="s">
        <v>1668</v>
      </c>
      <c r="E51" s="15" t="s">
        <v>1669</v>
      </c>
      <c r="F51" s="9">
        <v>4</v>
      </c>
      <c r="G51" s="15" t="s">
        <v>36</v>
      </c>
      <c r="H51" s="15">
        <v>8</v>
      </c>
      <c r="I51">
        <f t="shared" si="0"/>
        <v>32</v>
      </c>
    </row>
    <row r="52" spans="1:9" x14ac:dyDescent="0.25">
      <c r="A52" s="15" t="s">
        <v>1550</v>
      </c>
      <c r="B52" s="15" t="s">
        <v>1738</v>
      </c>
      <c r="C52" s="15" t="s">
        <v>1739</v>
      </c>
      <c r="D52" s="15" t="s">
        <v>1685</v>
      </c>
      <c r="E52" s="15" t="s">
        <v>1686</v>
      </c>
      <c r="F52" s="9">
        <v>9</v>
      </c>
      <c r="G52" s="15" t="s">
        <v>36</v>
      </c>
      <c r="H52" s="15">
        <v>23</v>
      </c>
      <c r="I52">
        <f t="shared" si="0"/>
        <v>207</v>
      </c>
    </row>
    <row r="53" spans="1:9" x14ac:dyDescent="0.25">
      <c r="A53" s="15" t="s">
        <v>1251</v>
      </c>
      <c r="B53" s="15" t="s">
        <v>1740</v>
      </c>
      <c r="C53" s="15" t="s">
        <v>1741</v>
      </c>
      <c r="D53" s="15" t="s">
        <v>1668</v>
      </c>
      <c r="E53" s="15" t="s">
        <v>1669</v>
      </c>
      <c r="F53" s="9">
        <v>3</v>
      </c>
      <c r="G53" s="15" t="s">
        <v>36</v>
      </c>
      <c r="H53" s="15">
        <v>40</v>
      </c>
      <c r="I53">
        <f t="shared" si="0"/>
        <v>120</v>
      </c>
    </row>
    <row r="54" spans="1:9" x14ac:dyDescent="0.25">
      <c r="A54" s="15" t="s">
        <v>319</v>
      </c>
      <c r="B54" s="15" t="s">
        <v>1742</v>
      </c>
      <c r="C54" s="15" t="s">
        <v>1741</v>
      </c>
      <c r="D54" s="15" t="s">
        <v>1665</v>
      </c>
      <c r="E54" s="15" t="s">
        <v>1666</v>
      </c>
      <c r="F54" s="9">
        <v>9</v>
      </c>
      <c r="G54" s="15" t="s">
        <v>36</v>
      </c>
      <c r="H54" s="15">
        <v>40</v>
      </c>
      <c r="I54">
        <f t="shared" si="0"/>
        <v>360</v>
      </c>
    </row>
    <row r="55" spans="1:9" x14ac:dyDescent="0.25">
      <c r="A55" s="15" t="s">
        <v>1743</v>
      </c>
      <c r="B55" s="15" t="s">
        <v>1744</v>
      </c>
      <c r="C55" s="15" t="s">
        <v>1741</v>
      </c>
      <c r="D55" s="15" t="s">
        <v>1668</v>
      </c>
      <c r="E55" s="15" t="s">
        <v>1669</v>
      </c>
      <c r="F55" s="9">
        <v>11</v>
      </c>
      <c r="G55" s="15" t="s">
        <v>36</v>
      </c>
      <c r="H55" s="15">
        <v>40</v>
      </c>
      <c r="I55">
        <f t="shared" si="0"/>
        <v>440</v>
      </c>
    </row>
    <row r="56" spans="1:9" x14ac:dyDescent="0.25">
      <c r="A56" s="15" t="s">
        <v>335</v>
      </c>
      <c r="B56" s="15" t="s">
        <v>1745</v>
      </c>
      <c r="C56" s="15" t="s">
        <v>1741</v>
      </c>
      <c r="D56" s="15" t="s">
        <v>1671</v>
      </c>
      <c r="E56" s="15" t="s">
        <v>1672</v>
      </c>
      <c r="F56" s="9">
        <v>7</v>
      </c>
      <c r="G56" s="15" t="s">
        <v>36</v>
      </c>
      <c r="H56" s="15">
        <v>40</v>
      </c>
      <c r="I56">
        <f t="shared" si="0"/>
        <v>280</v>
      </c>
    </row>
    <row r="57" spans="1:9" x14ac:dyDescent="0.25">
      <c r="A57" s="15" t="s">
        <v>419</v>
      </c>
      <c r="B57" s="15" t="s">
        <v>1746</v>
      </c>
      <c r="C57" s="15" t="s">
        <v>1741</v>
      </c>
      <c r="D57" s="15" t="s">
        <v>1665</v>
      </c>
      <c r="E57" s="15" t="s">
        <v>1666</v>
      </c>
      <c r="F57" s="9">
        <v>2</v>
      </c>
      <c r="G57" s="15" t="s">
        <v>68</v>
      </c>
      <c r="H57" s="15">
        <v>24</v>
      </c>
      <c r="I57">
        <f t="shared" si="0"/>
        <v>48</v>
      </c>
    </row>
    <row r="58" spans="1:9" x14ac:dyDescent="0.25">
      <c r="A58" s="15" t="s">
        <v>1747</v>
      </c>
      <c r="B58" s="15" t="s">
        <v>1748</v>
      </c>
      <c r="C58" s="15" t="s">
        <v>1741</v>
      </c>
      <c r="D58" s="15" t="s">
        <v>1685</v>
      </c>
      <c r="E58" s="15" t="s">
        <v>1686</v>
      </c>
      <c r="F58" s="9">
        <v>3</v>
      </c>
      <c r="G58" s="15" t="s">
        <v>68</v>
      </c>
      <c r="H58" s="15">
        <v>24</v>
      </c>
      <c r="I58">
        <f t="shared" si="0"/>
        <v>72</v>
      </c>
    </row>
    <row r="59" spans="1:9" x14ac:dyDescent="0.25">
      <c r="A59" s="15" t="s">
        <v>66</v>
      </c>
      <c r="B59" s="15" t="s">
        <v>1749</v>
      </c>
      <c r="C59" s="15" t="s">
        <v>1741</v>
      </c>
      <c r="D59" s="15" t="s">
        <v>1692</v>
      </c>
      <c r="E59" s="15" t="s">
        <v>1693</v>
      </c>
      <c r="F59" s="9">
        <v>9</v>
      </c>
      <c r="G59" s="15" t="s">
        <v>68</v>
      </c>
      <c r="H59" s="15">
        <v>22</v>
      </c>
      <c r="I59">
        <f t="shared" si="0"/>
        <v>198</v>
      </c>
    </row>
    <row r="60" spans="1:9" x14ac:dyDescent="0.25">
      <c r="A60" s="15" t="s">
        <v>1053</v>
      </c>
      <c r="B60" s="15" t="s">
        <v>1748</v>
      </c>
      <c r="C60" s="15" t="s">
        <v>1741</v>
      </c>
      <c r="D60" s="15" t="s">
        <v>1678</v>
      </c>
      <c r="E60" s="15" t="s">
        <v>1679</v>
      </c>
      <c r="F60" s="9">
        <v>1</v>
      </c>
      <c r="G60" s="15" t="s">
        <v>68</v>
      </c>
      <c r="H60" s="15">
        <v>22</v>
      </c>
      <c r="I60">
        <f t="shared" si="0"/>
        <v>22</v>
      </c>
    </row>
    <row r="61" spans="1:9" x14ac:dyDescent="0.25">
      <c r="A61" s="15" t="s">
        <v>539</v>
      </c>
      <c r="B61" s="15" t="s">
        <v>1750</v>
      </c>
      <c r="C61" s="15" t="s">
        <v>1741</v>
      </c>
      <c r="D61" s="15" t="s">
        <v>1668</v>
      </c>
      <c r="E61" s="15" t="s">
        <v>1669</v>
      </c>
      <c r="F61" s="9">
        <v>3</v>
      </c>
      <c r="G61" s="15" t="s">
        <v>68</v>
      </c>
      <c r="H61" s="15">
        <v>22</v>
      </c>
      <c r="I61">
        <f t="shared" si="0"/>
        <v>66</v>
      </c>
    </row>
    <row r="62" spans="1:9" x14ac:dyDescent="0.25">
      <c r="A62" s="15" t="s">
        <v>310</v>
      </c>
      <c r="B62" s="15" t="s">
        <v>1751</v>
      </c>
      <c r="C62" s="15" t="s">
        <v>1741</v>
      </c>
      <c r="D62" s="15" t="s">
        <v>1692</v>
      </c>
      <c r="E62" s="15" t="s">
        <v>1693</v>
      </c>
      <c r="F62" s="9">
        <v>3</v>
      </c>
      <c r="G62" s="15" t="s">
        <v>36</v>
      </c>
      <c r="H62" s="15">
        <v>55</v>
      </c>
      <c r="I62">
        <f t="shared" si="0"/>
        <v>165</v>
      </c>
    </row>
    <row r="63" spans="1:9" x14ac:dyDescent="0.25">
      <c r="A63" s="15" t="s">
        <v>1225</v>
      </c>
      <c r="B63" s="15" t="s">
        <v>1752</v>
      </c>
      <c r="C63" s="15" t="s">
        <v>1741</v>
      </c>
      <c r="D63" s="15" t="s">
        <v>1671</v>
      </c>
      <c r="E63" s="15" t="s">
        <v>1672</v>
      </c>
      <c r="F63" s="9">
        <v>11</v>
      </c>
      <c r="G63" s="15" t="s">
        <v>36</v>
      </c>
      <c r="H63" s="15">
        <v>37</v>
      </c>
      <c r="I63">
        <f t="shared" si="0"/>
        <v>407</v>
      </c>
    </row>
    <row r="64" spans="1:9" x14ac:dyDescent="0.25">
      <c r="A64" s="15" t="s">
        <v>609</v>
      </c>
      <c r="B64" s="15" t="s">
        <v>1753</v>
      </c>
      <c r="C64" s="15" t="s">
        <v>1741</v>
      </c>
      <c r="D64" s="15" t="s">
        <v>1678</v>
      </c>
      <c r="E64" s="15" t="s">
        <v>1679</v>
      </c>
      <c r="F64" s="9">
        <v>9</v>
      </c>
      <c r="G64" s="15" t="s">
        <v>36</v>
      </c>
      <c r="H64" s="15">
        <v>40</v>
      </c>
      <c r="I64">
        <f t="shared" si="0"/>
        <v>360</v>
      </c>
    </row>
    <row r="65" spans="1:9" x14ac:dyDescent="0.25">
      <c r="A65" s="15" t="s">
        <v>462</v>
      </c>
      <c r="B65" s="15" t="s">
        <v>1754</v>
      </c>
      <c r="C65" s="15" t="s">
        <v>1741</v>
      </c>
      <c r="D65" s="15" t="s">
        <v>1678</v>
      </c>
      <c r="E65" s="15" t="s">
        <v>1679</v>
      </c>
      <c r="F65" s="9">
        <v>3</v>
      </c>
      <c r="G65" s="15" t="s">
        <v>36</v>
      </c>
      <c r="H65" s="15">
        <v>40</v>
      </c>
      <c r="I65">
        <f t="shared" si="0"/>
        <v>120</v>
      </c>
    </row>
    <row r="66" spans="1:9" x14ac:dyDescent="0.25">
      <c r="A66" s="15" t="s">
        <v>94</v>
      </c>
      <c r="B66" s="15" t="s">
        <v>1755</v>
      </c>
      <c r="C66" s="15" t="s">
        <v>1756</v>
      </c>
      <c r="D66" s="15" t="s">
        <v>1678</v>
      </c>
      <c r="E66" s="15" t="s">
        <v>1679</v>
      </c>
      <c r="F66" s="9">
        <v>7</v>
      </c>
      <c r="G66" s="15" t="s">
        <v>68</v>
      </c>
      <c r="H66" s="15">
        <v>20</v>
      </c>
      <c r="I66">
        <f t="shared" si="0"/>
        <v>140</v>
      </c>
    </row>
    <row r="67" spans="1:9" x14ac:dyDescent="0.25">
      <c r="A67" s="15" t="s">
        <v>169</v>
      </c>
      <c r="B67" s="15" t="s">
        <v>1757</v>
      </c>
      <c r="C67" s="15" t="s">
        <v>1756</v>
      </c>
      <c r="D67" s="15" t="s">
        <v>1699</v>
      </c>
      <c r="E67" s="15" t="s">
        <v>1700</v>
      </c>
      <c r="F67" s="9">
        <v>3</v>
      </c>
      <c r="G67" s="15" t="s">
        <v>68</v>
      </c>
      <c r="H67" s="15">
        <v>20</v>
      </c>
      <c r="I67">
        <f t="shared" ref="I67:I130" si="1">H67*F67</f>
        <v>60</v>
      </c>
    </row>
    <row r="68" spans="1:9" x14ac:dyDescent="0.25">
      <c r="A68" s="15" t="s">
        <v>939</v>
      </c>
      <c r="B68" s="15" t="s">
        <v>1758</v>
      </c>
      <c r="C68" s="15" t="s">
        <v>1756</v>
      </c>
      <c r="D68" s="15" t="s">
        <v>1675</v>
      </c>
      <c r="E68" s="15" t="s">
        <v>1676</v>
      </c>
      <c r="F68" s="9">
        <v>8</v>
      </c>
      <c r="G68" s="15" t="s">
        <v>68</v>
      </c>
      <c r="H68" s="15">
        <v>8</v>
      </c>
      <c r="I68">
        <f t="shared" si="1"/>
        <v>64</v>
      </c>
    </row>
    <row r="69" spans="1:9" x14ac:dyDescent="0.25">
      <c r="A69" s="15" t="s">
        <v>207</v>
      </c>
      <c r="B69" s="15" t="s">
        <v>1759</v>
      </c>
      <c r="C69" s="15" t="s">
        <v>1756</v>
      </c>
      <c r="D69" s="15" t="s">
        <v>1680</v>
      </c>
      <c r="E69" s="15" t="s">
        <v>1681</v>
      </c>
      <c r="F69" s="9">
        <v>2</v>
      </c>
      <c r="G69" s="15" t="s">
        <v>68</v>
      </c>
      <c r="H69" s="15">
        <v>20</v>
      </c>
      <c r="I69">
        <f t="shared" si="1"/>
        <v>40</v>
      </c>
    </row>
    <row r="70" spans="1:9" x14ac:dyDescent="0.25">
      <c r="A70" s="15" t="s">
        <v>508</v>
      </c>
      <c r="B70" s="15" t="s">
        <v>1760</v>
      </c>
      <c r="C70" s="15" t="s">
        <v>1756</v>
      </c>
      <c r="D70" s="15" t="s">
        <v>1671</v>
      </c>
      <c r="E70" s="15" t="s">
        <v>1672</v>
      </c>
      <c r="F70" s="9">
        <v>8</v>
      </c>
      <c r="G70" s="15" t="s">
        <v>68</v>
      </c>
      <c r="H70" s="15">
        <v>17.5</v>
      </c>
      <c r="I70">
        <f t="shared" si="1"/>
        <v>140</v>
      </c>
    </row>
    <row r="71" spans="1:9" x14ac:dyDescent="0.25">
      <c r="A71" s="15" t="s">
        <v>1761</v>
      </c>
      <c r="B71" s="15" t="s">
        <v>1762</v>
      </c>
      <c r="C71" s="15" t="s">
        <v>1756</v>
      </c>
      <c r="D71" s="15" t="s">
        <v>1692</v>
      </c>
      <c r="E71" s="15" t="s">
        <v>1693</v>
      </c>
      <c r="F71" s="9">
        <v>11</v>
      </c>
      <c r="G71" s="15" t="s">
        <v>68</v>
      </c>
      <c r="H71" s="15">
        <v>17.5</v>
      </c>
      <c r="I71">
        <f t="shared" si="1"/>
        <v>192.5</v>
      </c>
    </row>
    <row r="72" spans="1:9" x14ac:dyDescent="0.25">
      <c r="A72" s="15" t="s">
        <v>375</v>
      </c>
      <c r="B72" s="15" t="s">
        <v>1763</v>
      </c>
      <c r="C72" s="15" t="s">
        <v>1756</v>
      </c>
      <c r="D72" s="15" t="s">
        <v>1685</v>
      </c>
      <c r="E72" s="15" t="s">
        <v>1686</v>
      </c>
      <c r="F72" s="9">
        <v>4</v>
      </c>
      <c r="G72" s="15" t="s">
        <v>68</v>
      </c>
      <c r="H72" s="15">
        <v>17.5</v>
      </c>
      <c r="I72">
        <f t="shared" si="1"/>
        <v>70</v>
      </c>
    </row>
    <row r="73" spans="1:9" x14ac:dyDescent="0.25">
      <c r="A73" s="15" t="s">
        <v>1764</v>
      </c>
      <c r="B73" s="15" t="s">
        <v>1765</v>
      </c>
      <c r="C73" s="15" t="s">
        <v>1756</v>
      </c>
      <c r="D73" s="15" t="s">
        <v>1671</v>
      </c>
      <c r="E73" s="15" t="s">
        <v>1672</v>
      </c>
      <c r="F73" s="9">
        <v>7</v>
      </c>
      <c r="G73" s="15" t="s">
        <v>68</v>
      </c>
      <c r="H73" s="15">
        <v>20</v>
      </c>
      <c r="I73">
        <f t="shared" si="1"/>
        <v>140</v>
      </c>
    </row>
    <row r="74" spans="1:9" x14ac:dyDescent="0.25">
      <c r="A74" s="15" t="s">
        <v>383</v>
      </c>
      <c r="B74" s="15" t="s">
        <v>1766</v>
      </c>
      <c r="C74" s="15" t="s">
        <v>1756</v>
      </c>
      <c r="D74" s="15" t="s">
        <v>1699</v>
      </c>
      <c r="E74" s="15" t="s">
        <v>1700</v>
      </c>
      <c r="F74" s="9">
        <v>11</v>
      </c>
      <c r="G74" s="15" t="s">
        <v>68</v>
      </c>
      <c r="H74" s="15">
        <v>20</v>
      </c>
      <c r="I74">
        <f t="shared" si="1"/>
        <v>220</v>
      </c>
    </row>
    <row r="75" spans="1:9" x14ac:dyDescent="0.25">
      <c r="A75" s="15" t="s">
        <v>686</v>
      </c>
      <c r="B75" s="15" t="s">
        <v>1767</v>
      </c>
      <c r="C75" s="15" t="s">
        <v>1756</v>
      </c>
      <c r="D75" s="15" t="s">
        <v>1665</v>
      </c>
      <c r="E75" s="15" t="s">
        <v>1666</v>
      </c>
      <c r="F75" s="9">
        <v>10</v>
      </c>
      <c r="G75" s="15" t="s">
        <v>68</v>
      </c>
      <c r="H75" s="15">
        <v>20</v>
      </c>
      <c r="I75">
        <f t="shared" si="1"/>
        <v>200</v>
      </c>
    </row>
    <row r="76" spans="1:9" x14ac:dyDescent="0.25">
      <c r="A76" s="15" t="s">
        <v>72</v>
      </c>
      <c r="B76" s="15" t="s">
        <v>1768</v>
      </c>
      <c r="C76" s="15" t="s">
        <v>1769</v>
      </c>
      <c r="D76" s="15" t="s">
        <v>1692</v>
      </c>
      <c r="E76" s="15" t="s">
        <v>1693</v>
      </c>
      <c r="F76" s="9">
        <v>10</v>
      </c>
      <c r="G76" s="15" t="s">
        <v>36</v>
      </c>
      <c r="H76" s="15">
        <v>15.5</v>
      </c>
      <c r="I76">
        <f t="shared" si="1"/>
        <v>155</v>
      </c>
    </row>
    <row r="77" spans="1:9" x14ac:dyDescent="0.25">
      <c r="A77" s="15" t="s">
        <v>281</v>
      </c>
      <c r="B77" s="15" t="s">
        <v>1770</v>
      </c>
      <c r="C77" s="15" t="s">
        <v>1769</v>
      </c>
      <c r="D77" s="15" t="s">
        <v>1685</v>
      </c>
      <c r="E77" s="15" t="s">
        <v>1686</v>
      </c>
      <c r="F77" s="9">
        <v>4</v>
      </c>
      <c r="G77" s="15" t="s">
        <v>36</v>
      </c>
      <c r="H77" s="15">
        <v>6.75</v>
      </c>
      <c r="I77">
        <f t="shared" si="1"/>
        <v>27</v>
      </c>
    </row>
    <row r="78" spans="1:9" x14ac:dyDescent="0.25">
      <c r="A78" s="15" t="s">
        <v>180</v>
      </c>
      <c r="B78" s="15" t="s">
        <v>1771</v>
      </c>
      <c r="C78" s="15" t="s">
        <v>1769</v>
      </c>
      <c r="D78" s="15" t="s">
        <v>1668</v>
      </c>
      <c r="E78" s="15" t="s">
        <v>1669</v>
      </c>
      <c r="F78" s="9">
        <v>4</v>
      </c>
      <c r="G78" s="15" t="s">
        <v>36</v>
      </c>
      <c r="H78" s="15">
        <v>6.75</v>
      </c>
      <c r="I78">
        <f t="shared" si="1"/>
        <v>27</v>
      </c>
    </row>
    <row r="79" spans="1:9" x14ac:dyDescent="0.25">
      <c r="A79" s="15" t="s">
        <v>149</v>
      </c>
      <c r="B79" s="15" t="s">
        <v>1772</v>
      </c>
      <c r="C79" s="15" t="s">
        <v>1769</v>
      </c>
      <c r="D79" s="15" t="s">
        <v>1665</v>
      </c>
      <c r="E79" s="15" t="s">
        <v>1666</v>
      </c>
      <c r="F79" s="9">
        <v>11</v>
      </c>
      <c r="G79" s="15" t="s">
        <v>68</v>
      </c>
      <c r="H79" s="15">
        <v>17</v>
      </c>
      <c r="I79">
        <f t="shared" si="1"/>
        <v>187</v>
      </c>
    </row>
    <row r="80" spans="1:9" x14ac:dyDescent="0.25">
      <c r="A80" s="15" t="s">
        <v>158</v>
      </c>
      <c r="B80" s="15" t="s">
        <v>1773</v>
      </c>
      <c r="C80" s="15" t="s">
        <v>1769</v>
      </c>
      <c r="D80" s="15" t="s">
        <v>1689</v>
      </c>
      <c r="E80" s="15" t="s">
        <v>1690</v>
      </c>
      <c r="F80" s="9">
        <v>3</v>
      </c>
      <c r="G80" s="15" t="s">
        <v>68</v>
      </c>
      <c r="H80" s="15">
        <v>17</v>
      </c>
      <c r="I80">
        <f t="shared" si="1"/>
        <v>51</v>
      </c>
    </row>
    <row r="81" spans="1:9" x14ac:dyDescent="0.25">
      <c r="A81" s="15" t="s">
        <v>430</v>
      </c>
      <c r="B81" s="15" t="s">
        <v>1774</v>
      </c>
      <c r="C81" s="15" t="s">
        <v>1769</v>
      </c>
      <c r="D81" s="15" t="s">
        <v>1685</v>
      </c>
      <c r="E81" s="15" t="s">
        <v>1686</v>
      </c>
      <c r="F81" s="9">
        <v>8</v>
      </c>
      <c r="G81" s="15" t="s">
        <v>68</v>
      </c>
      <c r="H81" s="15">
        <v>22</v>
      </c>
      <c r="I81">
        <f t="shared" si="1"/>
        <v>176</v>
      </c>
    </row>
    <row r="82" spans="1:9" x14ac:dyDescent="0.25">
      <c r="A82" s="15" t="s">
        <v>1775</v>
      </c>
      <c r="B82" s="15" t="s">
        <v>1776</v>
      </c>
      <c r="C82" s="15" t="s">
        <v>1769</v>
      </c>
      <c r="D82" s="15" t="s">
        <v>1689</v>
      </c>
      <c r="E82" s="15" t="s">
        <v>1690</v>
      </c>
      <c r="F82" s="9">
        <v>7</v>
      </c>
      <c r="G82" s="15" t="s">
        <v>68</v>
      </c>
      <c r="H82" s="15">
        <v>29</v>
      </c>
      <c r="I82">
        <f t="shared" si="1"/>
        <v>203</v>
      </c>
    </row>
    <row r="83" spans="1:9" x14ac:dyDescent="0.25">
      <c r="A83" s="15" t="s">
        <v>108</v>
      </c>
      <c r="B83" s="15" t="s">
        <v>1777</v>
      </c>
      <c r="C83" s="15" t="s">
        <v>1778</v>
      </c>
      <c r="D83" s="15" t="s">
        <v>1678</v>
      </c>
      <c r="E83" s="15" t="s">
        <v>1679</v>
      </c>
      <c r="F83" s="9">
        <v>1</v>
      </c>
      <c r="G83" s="15" t="s">
        <v>14</v>
      </c>
      <c r="H83" s="15">
        <v>15</v>
      </c>
      <c r="I83">
        <f t="shared" si="1"/>
        <v>15</v>
      </c>
    </row>
    <row r="84" spans="1:9" x14ac:dyDescent="0.25">
      <c r="A84" s="15" t="s">
        <v>561</v>
      </c>
      <c r="B84" s="15" t="s">
        <v>1779</v>
      </c>
      <c r="C84" s="15" t="s">
        <v>1778</v>
      </c>
      <c r="D84" s="15" t="s">
        <v>1675</v>
      </c>
      <c r="E84" s="15" t="s">
        <v>1676</v>
      </c>
      <c r="F84" s="9">
        <v>8</v>
      </c>
      <c r="G84" s="15" t="s">
        <v>68</v>
      </c>
      <c r="H84" s="15">
        <v>14</v>
      </c>
      <c r="I84">
        <f t="shared" si="1"/>
        <v>112</v>
      </c>
    </row>
    <row r="85" spans="1:9" x14ac:dyDescent="0.25">
      <c r="A85" s="15" t="s">
        <v>572</v>
      </c>
      <c r="B85" s="15" t="s">
        <v>1780</v>
      </c>
      <c r="C85" s="15" t="s">
        <v>1778</v>
      </c>
      <c r="D85" s="15" t="s">
        <v>1685</v>
      </c>
      <c r="E85" s="15" t="s">
        <v>1686</v>
      </c>
      <c r="F85" s="9">
        <v>4</v>
      </c>
      <c r="G85" s="15" t="s">
        <v>68</v>
      </c>
      <c r="H85" s="15">
        <v>18</v>
      </c>
      <c r="I85">
        <f t="shared" si="1"/>
        <v>72</v>
      </c>
    </row>
    <row r="86" spans="1:9" x14ac:dyDescent="0.25">
      <c r="A86" s="15" t="s">
        <v>1259</v>
      </c>
      <c r="B86" s="15" t="s">
        <v>1781</v>
      </c>
      <c r="C86" s="15" t="s">
        <v>1778</v>
      </c>
      <c r="D86" s="15" t="s">
        <v>1671</v>
      </c>
      <c r="E86" s="15" t="s">
        <v>1672</v>
      </c>
      <c r="F86" s="9">
        <v>6</v>
      </c>
      <c r="G86" s="15" t="s">
        <v>68</v>
      </c>
      <c r="H86" s="15">
        <v>18</v>
      </c>
      <c r="I86">
        <f t="shared" si="1"/>
        <v>108</v>
      </c>
    </row>
    <row r="87" spans="1:9" x14ac:dyDescent="0.25">
      <c r="A87" s="15" t="s">
        <v>1289</v>
      </c>
      <c r="B87" s="15" t="s">
        <v>1782</v>
      </c>
      <c r="C87" s="15" t="s">
        <v>1778</v>
      </c>
      <c r="D87" s="15" t="s">
        <v>1668</v>
      </c>
      <c r="E87" s="15" t="s">
        <v>1669</v>
      </c>
      <c r="F87" s="9">
        <v>8</v>
      </c>
      <c r="G87" s="15" t="s">
        <v>36</v>
      </c>
      <c r="H87" s="15">
        <v>18</v>
      </c>
      <c r="I87">
        <f t="shared" si="1"/>
        <v>144</v>
      </c>
    </row>
    <row r="88" spans="1:9" x14ac:dyDescent="0.25">
      <c r="A88" s="15" t="s">
        <v>1783</v>
      </c>
      <c r="B88" s="15" t="s">
        <v>1784</v>
      </c>
      <c r="C88" s="15" t="s">
        <v>1778</v>
      </c>
      <c r="D88" s="15" t="s">
        <v>1689</v>
      </c>
      <c r="E88" s="15" t="s">
        <v>1690</v>
      </c>
      <c r="F88" s="9">
        <v>2</v>
      </c>
      <c r="G88" s="15" t="s">
        <v>68</v>
      </c>
      <c r="H88" s="15">
        <v>15</v>
      </c>
      <c r="I88">
        <f t="shared" si="1"/>
        <v>30</v>
      </c>
    </row>
    <row r="89" spans="1:9" x14ac:dyDescent="0.25">
      <c r="A89" s="15" t="s">
        <v>327</v>
      </c>
      <c r="B89" s="15" t="s">
        <v>1785</v>
      </c>
      <c r="C89" s="15" t="s">
        <v>1778</v>
      </c>
      <c r="D89" s="15" t="s">
        <v>1699</v>
      </c>
      <c r="E89" s="15" t="s">
        <v>1700</v>
      </c>
      <c r="F89" s="9">
        <v>5</v>
      </c>
      <c r="G89" s="15" t="s">
        <v>68</v>
      </c>
      <c r="H89" s="15">
        <v>17</v>
      </c>
      <c r="I89">
        <f t="shared" si="1"/>
        <v>85</v>
      </c>
    </row>
    <row r="90" spans="1:9" x14ac:dyDescent="0.25">
      <c r="A90" s="15" t="s">
        <v>904</v>
      </c>
      <c r="B90" s="15" t="s">
        <v>1786</v>
      </c>
      <c r="C90" s="15" t="s">
        <v>1787</v>
      </c>
      <c r="D90" s="15" t="s">
        <v>1685</v>
      </c>
      <c r="E90" s="15" t="s">
        <v>1686</v>
      </c>
      <c r="F90" s="9">
        <v>7</v>
      </c>
      <c r="G90" s="15" t="s">
        <v>68</v>
      </c>
      <c r="H90" s="15">
        <v>9</v>
      </c>
      <c r="I90">
        <f t="shared" si="1"/>
        <v>63</v>
      </c>
    </row>
    <row r="91" spans="1:9" x14ac:dyDescent="0.25">
      <c r="A91" s="15" t="s">
        <v>1620</v>
      </c>
      <c r="B91" s="15" t="s">
        <v>1788</v>
      </c>
      <c r="C91" s="15" t="s">
        <v>1787</v>
      </c>
      <c r="D91" s="15" t="s">
        <v>1671</v>
      </c>
      <c r="E91" s="15" t="s">
        <v>1672</v>
      </c>
      <c r="F91" s="9">
        <v>10</v>
      </c>
      <c r="G91" s="15" t="s">
        <v>68</v>
      </c>
      <c r="H91" s="15">
        <v>9</v>
      </c>
      <c r="I91">
        <f t="shared" si="1"/>
        <v>90</v>
      </c>
    </row>
    <row r="92" spans="1:9" x14ac:dyDescent="0.25">
      <c r="A92" s="15" t="s">
        <v>119</v>
      </c>
      <c r="B92" s="15" t="s">
        <v>1789</v>
      </c>
      <c r="C92" s="15" t="s">
        <v>1787</v>
      </c>
      <c r="D92" s="15" t="s">
        <v>1699</v>
      </c>
      <c r="E92" s="15" t="s">
        <v>1700</v>
      </c>
      <c r="F92" s="9">
        <v>1</v>
      </c>
      <c r="G92" s="15" t="s">
        <v>68</v>
      </c>
      <c r="H92" s="15">
        <v>7.5</v>
      </c>
      <c r="I92">
        <f t="shared" si="1"/>
        <v>7.5</v>
      </c>
    </row>
    <row r="93" spans="1:9" x14ac:dyDescent="0.25">
      <c r="A93" s="15" t="s">
        <v>546</v>
      </c>
      <c r="B93" s="15" t="s">
        <v>1790</v>
      </c>
      <c r="C93" s="15" t="s">
        <v>1787</v>
      </c>
      <c r="D93" s="15" t="s">
        <v>1678</v>
      </c>
      <c r="E93" s="15" t="s">
        <v>1679</v>
      </c>
      <c r="F93" s="9">
        <v>6</v>
      </c>
      <c r="G93" s="15" t="s">
        <v>68</v>
      </c>
      <c r="H93" s="15">
        <v>10</v>
      </c>
      <c r="I93">
        <f t="shared" si="1"/>
        <v>60</v>
      </c>
    </row>
    <row r="94" spans="1:9" x14ac:dyDescent="0.25">
      <c r="A94" s="15" t="s">
        <v>1658</v>
      </c>
      <c r="B94" s="15" t="s">
        <v>1791</v>
      </c>
      <c r="C94" s="15" t="s">
        <v>1787</v>
      </c>
      <c r="D94" s="15" t="s">
        <v>1671</v>
      </c>
      <c r="E94" s="15" t="s">
        <v>1672</v>
      </c>
      <c r="F94" s="9">
        <v>5</v>
      </c>
      <c r="G94" s="15" t="s">
        <v>68</v>
      </c>
      <c r="H94" s="15">
        <v>13</v>
      </c>
      <c r="I94">
        <f t="shared" si="1"/>
        <v>65</v>
      </c>
    </row>
    <row r="95" spans="1:9" x14ac:dyDescent="0.25">
      <c r="A95" s="15" t="s">
        <v>832</v>
      </c>
      <c r="B95" s="15" t="s">
        <v>1792</v>
      </c>
      <c r="C95" s="15" t="s">
        <v>1787</v>
      </c>
      <c r="D95" s="15" t="s">
        <v>1665</v>
      </c>
      <c r="E95" s="15" t="s">
        <v>1666</v>
      </c>
      <c r="F95" s="9">
        <v>6</v>
      </c>
      <c r="G95" s="15" t="s">
        <v>68</v>
      </c>
      <c r="H95" s="15">
        <v>11</v>
      </c>
      <c r="I95">
        <f t="shared" si="1"/>
        <v>66</v>
      </c>
    </row>
    <row r="96" spans="1:9" x14ac:dyDescent="0.25">
      <c r="A96" s="15" t="s">
        <v>1793</v>
      </c>
      <c r="B96" s="15" t="s">
        <v>1794</v>
      </c>
      <c r="C96" s="15" t="s">
        <v>1787</v>
      </c>
      <c r="D96" s="15" t="s">
        <v>1675</v>
      </c>
      <c r="E96" s="15" t="s">
        <v>1676</v>
      </c>
      <c r="F96" s="9">
        <v>1</v>
      </c>
      <c r="G96" s="15" t="s">
        <v>1795</v>
      </c>
      <c r="H96" s="15">
        <v>16</v>
      </c>
      <c r="I96">
        <f t="shared" si="1"/>
        <v>16</v>
      </c>
    </row>
    <row r="97" spans="1:9" x14ac:dyDescent="0.25">
      <c r="A97" s="15" t="s">
        <v>576</v>
      </c>
      <c r="B97" s="15" t="s">
        <v>1796</v>
      </c>
      <c r="C97" s="15" t="s">
        <v>1787</v>
      </c>
      <c r="D97" s="15" t="s">
        <v>1699</v>
      </c>
      <c r="E97" s="15" t="s">
        <v>1700</v>
      </c>
      <c r="F97" s="9">
        <v>2</v>
      </c>
      <c r="G97" s="15" t="s">
        <v>68</v>
      </c>
      <c r="H97" s="15">
        <v>20</v>
      </c>
      <c r="I97">
        <f t="shared" si="1"/>
        <v>40</v>
      </c>
    </row>
    <row r="98" spans="1:9" x14ac:dyDescent="0.25">
      <c r="F98" s="9">
        <v>11</v>
      </c>
      <c r="I98">
        <f t="shared" si="1"/>
        <v>0</v>
      </c>
    </row>
    <row r="99" spans="1:9" x14ac:dyDescent="0.25">
      <c r="F99" s="9">
        <v>8</v>
      </c>
      <c r="I99">
        <f t="shared" si="1"/>
        <v>0</v>
      </c>
    </row>
    <row r="100" spans="1:9" x14ac:dyDescent="0.25">
      <c r="F100" s="9">
        <v>10</v>
      </c>
      <c r="I100">
        <f t="shared" si="1"/>
        <v>0</v>
      </c>
    </row>
    <row r="101" spans="1:9" x14ac:dyDescent="0.25">
      <c r="F101" s="9">
        <v>4</v>
      </c>
      <c r="I101">
        <f t="shared" si="1"/>
        <v>0</v>
      </c>
    </row>
    <row r="102" spans="1:9" x14ac:dyDescent="0.25">
      <c r="F102" s="9">
        <v>4</v>
      </c>
      <c r="I102">
        <f t="shared" si="1"/>
        <v>0</v>
      </c>
    </row>
    <row r="103" spans="1:9" x14ac:dyDescent="0.25">
      <c r="F103" s="9">
        <v>1</v>
      </c>
      <c r="I103">
        <f t="shared" si="1"/>
        <v>0</v>
      </c>
    </row>
    <row r="104" spans="1:9" x14ac:dyDescent="0.25">
      <c r="F104" s="9">
        <v>8</v>
      </c>
      <c r="I104">
        <f t="shared" si="1"/>
        <v>0</v>
      </c>
    </row>
    <row r="105" spans="1:9" x14ac:dyDescent="0.25">
      <c r="F105" s="9">
        <v>7</v>
      </c>
      <c r="I105">
        <f t="shared" si="1"/>
        <v>0</v>
      </c>
    </row>
    <row r="106" spans="1:9" x14ac:dyDescent="0.25">
      <c r="F106" s="9">
        <v>9</v>
      </c>
      <c r="I106">
        <f t="shared" si="1"/>
        <v>0</v>
      </c>
    </row>
    <row r="107" spans="1:9" x14ac:dyDescent="0.25">
      <c r="F107" s="9">
        <v>8</v>
      </c>
      <c r="I107">
        <f t="shared" si="1"/>
        <v>0</v>
      </c>
    </row>
    <row r="108" spans="1:9" x14ac:dyDescent="0.25">
      <c r="F108" s="9">
        <v>1</v>
      </c>
      <c r="I108">
        <f t="shared" si="1"/>
        <v>0</v>
      </c>
    </row>
    <row r="109" spans="1:9" x14ac:dyDescent="0.25">
      <c r="F109" s="9">
        <v>3</v>
      </c>
      <c r="I109">
        <f t="shared" si="1"/>
        <v>0</v>
      </c>
    </row>
    <row r="110" spans="1:9" x14ac:dyDescent="0.25">
      <c r="F110" s="9">
        <v>3</v>
      </c>
      <c r="I110">
        <f t="shared" si="1"/>
        <v>0</v>
      </c>
    </row>
    <row r="111" spans="1:9" x14ac:dyDescent="0.25">
      <c r="F111" s="9">
        <v>5</v>
      </c>
      <c r="I111">
        <f t="shared" si="1"/>
        <v>0</v>
      </c>
    </row>
    <row r="112" spans="1:9" x14ac:dyDescent="0.25">
      <c r="F112" s="9">
        <v>10</v>
      </c>
      <c r="I112">
        <f t="shared" si="1"/>
        <v>0</v>
      </c>
    </row>
    <row r="113" spans="6:9" x14ac:dyDescent="0.25">
      <c r="F113" s="9">
        <v>11</v>
      </c>
      <c r="I113">
        <f t="shared" si="1"/>
        <v>0</v>
      </c>
    </row>
    <row r="114" spans="6:9" x14ac:dyDescent="0.25">
      <c r="F114" s="9">
        <v>3</v>
      </c>
      <c r="I114">
        <f t="shared" si="1"/>
        <v>0</v>
      </c>
    </row>
    <row r="115" spans="6:9" x14ac:dyDescent="0.25">
      <c r="F115" s="9">
        <v>11</v>
      </c>
      <c r="I115">
        <f t="shared" si="1"/>
        <v>0</v>
      </c>
    </row>
    <row r="116" spans="6:9" x14ac:dyDescent="0.25">
      <c r="F116" s="9">
        <v>7</v>
      </c>
      <c r="I116">
        <f t="shared" si="1"/>
        <v>0</v>
      </c>
    </row>
    <row r="117" spans="6:9" x14ac:dyDescent="0.25">
      <c r="F117" s="9">
        <v>2</v>
      </c>
      <c r="I117">
        <f t="shared" si="1"/>
        <v>0</v>
      </c>
    </row>
    <row r="118" spans="6:9" x14ac:dyDescent="0.25">
      <c r="F118" s="9">
        <v>8</v>
      </c>
      <c r="I118">
        <f t="shared" si="1"/>
        <v>0</v>
      </c>
    </row>
    <row r="119" spans="6:9" x14ac:dyDescent="0.25">
      <c r="F119" s="9">
        <v>11</v>
      </c>
      <c r="I119">
        <f t="shared" si="1"/>
        <v>0</v>
      </c>
    </row>
    <row r="120" spans="6:9" x14ac:dyDescent="0.25">
      <c r="F120" s="9">
        <v>11</v>
      </c>
      <c r="I120">
        <f t="shared" si="1"/>
        <v>0</v>
      </c>
    </row>
    <row r="121" spans="6:9" x14ac:dyDescent="0.25">
      <c r="F121" s="9">
        <v>10</v>
      </c>
      <c r="I121">
        <f t="shared" si="1"/>
        <v>0</v>
      </c>
    </row>
    <row r="122" spans="6:9" x14ac:dyDescent="0.25">
      <c r="F122" s="9">
        <v>8</v>
      </c>
      <c r="I122">
        <f t="shared" si="1"/>
        <v>0</v>
      </c>
    </row>
    <row r="123" spans="6:9" x14ac:dyDescent="0.25">
      <c r="F123" s="9">
        <v>11</v>
      </c>
      <c r="I123">
        <f t="shared" si="1"/>
        <v>0</v>
      </c>
    </row>
    <row r="124" spans="6:9" x14ac:dyDescent="0.25">
      <c r="F124" s="9">
        <v>11</v>
      </c>
      <c r="I124">
        <f t="shared" si="1"/>
        <v>0</v>
      </c>
    </row>
    <row r="125" spans="6:9" x14ac:dyDescent="0.25">
      <c r="F125" s="9">
        <v>2</v>
      </c>
      <c r="I125">
        <f t="shared" si="1"/>
        <v>0</v>
      </c>
    </row>
    <row r="126" spans="6:9" x14ac:dyDescent="0.25">
      <c r="F126" s="9">
        <v>5</v>
      </c>
      <c r="I126">
        <f t="shared" si="1"/>
        <v>0</v>
      </c>
    </row>
    <row r="127" spans="6:9" x14ac:dyDescent="0.25">
      <c r="F127" s="9">
        <v>1</v>
      </c>
      <c r="I127">
        <f t="shared" si="1"/>
        <v>0</v>
      </c>
    </row>
    <row r="128" spans="6:9" x14ac:dyDescent="0.25">
      <c r="F128" s="9">
        <v>11</v>
      </c>
      <c r="I128">
        <f t="shared" si="1"/>
        <v>0</v>
      </c>
    </row>
    <row r="129" spans="6:9" x14ac:dyDescent="0.25">
      <c r="F129" s="9">
        <v>8</v>
      </c>
      <c r="I129">
        <f t="shared" si="1"/>
        <v>0</v>
      </c>
    </row>
    <row r="130" spans="6:9" x14ac:dyDescent="0.25">
      <c r="F130" s="9">
        <v>1</v>
      </c>
      <c r="I130">
        <f t="shared" si="1"/>
        <v>0</v>
      </c>
    </row>
    <row r="131" spans="6:9" x14ac:dyDescent="0.25">
      <c r="F131" s="9">
        <v>2</v>
      </c>
      <c r="I131">
        <f t="shared" ref="I131:I194" si="2">H131*F131</f>
        <v>0</v>
      </c>
    </row>
    <row r="132" spans="6:9" x14ac:dyDescent="0.25">
      <c r="F132" s="9">
        <v>5</v>
      </c>
      <c r="I132">
        <f t="shared" si="2"/>
        <v>0</v>
      </c>
    </row>
    <row r="133" spans="6:9" x14ac:dyDescent="0.25">
      <c r="F133" s="9">
        <v>4</v>
      </c>
      <c r="I133">
        <f t="shared" si="2"/>
        <v>0</v>
      </c>
    </row>
    <row r="134" spans="6:9" x14ac:dyDescent="0.25">
      <c r="F134" s="9">
        <v>7</v>
      </c>
      <c r="I134">
        <f t="shared" si="2"/>
        <v>0</v>
      </c>
    </row>
    <row r="135" spans="6:9" x14ac:dyDescent="0.25">
      <c r="F135" s="9">
        <v>6</v>
      </c>
      <c r="I135">
        <f t="shared" si="2"/>
        <v>0</v>
      </c>
    </row>
    <row r="136" spans="6:9" x14ac:dyDescent="0.25">
      <c r="F136" s="9">
        <v>8</v>
      </c>
      <c r="I136">
        <f t="shared" si="2"/>
        <v>0</v>
      </c>
    </row>
    <row r="137" spans="6:9" x14ac:dyDescent="0.25">
      <c r="F137" s="9">
        <v>9</v>
      </c>
      <c r="I137">
        <f t="shared" si="2"/>
        <v>0</v>
      </c>
    </row>
    <row r="138" spans="6:9" x14ac:dyDescent="0.25">
      <c r="F138" s="9">
        <v>5</v>
      </c>
      <c r="I138">
        <f t="shared" si="2"/>
        <v>0</v>
      </c>
    </row>
    <row r="139" spans="6:9" x14ac:dyDescent="0.25">
      <c r="F139" s="9">
        <v>7</v>
      </c>
      <c r="I139">
        <f t="shared" si="2"/>
        <v>0</v>
      </c>
    </row>
    <row r="140" spans="6:9" x14ac:dyDescent="0.25">
      <c r="F140" s="9">
        <v>5</v>
      </c>
      <c r="I140">
        <f t="shared" si="2"/>
        <v>0</v>
      </c>
    </row>
    <row r="141" spans="6:9" x14ac:dyDescent="0.25">
      <c r="F141" s="9">
        <v>7</v>
      </c>
      <c r="I141">
        <f t="shared" si="2"/>
        <v>0</v>
      </c>
    </row>
    <row r="142" spans="6:9" x14ac:dyDescent="0.25">
      <c r="F142" s="9">
        <v>2</v>
      </c>
      <c r="I142">
        <f t="shared" si="2"/>
        <v>0</v>
      </c>
    </row>
    <row r="143" spans="6:9" x14ac:dyDescent="0.25">
      <c r="F143" s="9">
        <v>5</v>
      </c>
      <c r="I143">
        <f t="shared" si="2"/>
        <v>0</v>
      </c>
    </row>
    <row r="144" spans="6:9" x14ac:dyDescent="0.25">
      <c r="F144" s="9">
        <v>9</v>
      </c>
      <c r="I144">
        <f t="shared" si="2"/>
        <v>0</v>
      </c>
    </row>
    <row r="145" spans="6:9" x14ac:dyDescent="0.25">
      <c r="F145" s="9">
        <v>6</v>
      </c>
      <c r="I145">
        <f t="shared" si="2"/>
        <v>0</v>
      </c>
    </row>
    <row r="146" spans="6:9" x14ac:dyDescent="0.25">
      <c r="F146" s="9">
        <v>2</v>
      </c>
      <c r="I146">
        <f t="shared" si="2"/>
        <v>0</v>
      </c>
    </row>
    <row r="147" spans="6:9" x14ac:dyDescent="0.25">
      <c r="F147" s="9">
        <v>3</v>
      </c>
      <c r="I147">
        <f t="shared" si="2"/>
        <v>0</v>
      </c>
    </row>
    <row r="148" spans="6:9" x14ac:dyDescent="0.25">
      <c r="F148" s="9">
        <v>6</v>
      </c>
      <c r="I148">
        <f t="shared" si="2"/>
        <v>0</v>
      </c>
    </row>
    <row r="149" spans="6:9" x14ac:dyDescent="0.25">
      <c r="F149" s="9">
        <v>7</v>
      </c>
      <c r="I149">
        <f t="shared" si="2"/>
        <v>0</v>
      </c>
    </row>
    <row r="150" spans="6:9" x14ac:dyDescent="0.25">
      <c r="F150" s="9">
        <v>2</v>
      </c>
      <c r="I150">
        <f t="shared" si="2"/>
        <v>0</v>
      </c>
    </row>
    <row r="151" spans="6:9" x14ac:dyDescent="0.25">
      <c r="F151" s="9">
        <v>4</v>
      </c>
      <c r="I151">
        <f t="shared" si="2"/>
        <v>0</v>
      </c>
    </row>
    <row r="152" spans="6:9" x14ac:dyDescent="0.25">
      <c r="F152" s="9">
        <v>3</v>
      </c>
      <c r="I152">
        <f t="shared" si="2"/>
        <v>0</v>
      </c>
    </row>
    <row r="153" spans="6:9" x14ac:dyDescent="0.25">
      <c r="F153" s="9">
        <v>10</v>
      </c>
      <c r="I153">
        <f t="shared" si="2"/>
        <v>0</v>
      </c>
    </row>
    <row r="154" spans="6:9" x14ac:dyDescent="0.25">
      <c r="F154" s="9">
        <v>2</v>
      </c>
      <c r="I154">
        <f t="shared" si="2"/>
        <v>0</v>
      </c>
    </row>
    <row r="155" spans="6:9" x14ac:dyDescent="0.25">
      <c r="F155" s="9">
        <v>8</v>
      </c>
      <c r="I155">
        <f t="shared" si="2"/>
        <v>0</v>
      </c>
    </row>
    <row r="156" spans="6:9" x14ac:dyDescent="0.25">
      <c r="F156" s="9">
        <v>2</v>
      </c>
      <c r="I156">
        <f t="shared" si="2"/>
        <v>0</v>
      </c>
    </row>
    <row r="157" spans="6:9" x14ac:dyDescent="0.25">
      <c r="F157" s="9">
        <v>5</v>
      </c>
      <c r="I157">
        <f t="shared" si="2"/>
        <v>0</v>
      </c>
    </row>
    <row r="158" spans="6:9" x14ac:dyDescent="0.25">
      <c r="F158" s="9">
        <v>2</v>
      </c>
      <c r="I158">
        <f t="shared" si="2"/>
        <v>0</v>
      </c>
    </row>
    <row r="159" spans="6:9" x14ac:dyDescent="0.25">
      <c r="F159" s="9">
        <v>11</v>
      </c>
      <c r="I159">
        <f t="shared" si="2"/>
        <v>0</v>
      </c>
    </row>
    <row r="160" spans="6:9" x14ac:dyDescent="0.25">
      <c r="F160" s="9">
        <v>2</v>
      </c>
      <c r="I160">
        <f t="shared" si="2"/>
        <v>0</v>
      </c>
    </row>
    <row r="161" spans="6:9" x14ac:dyDescent="0.25">
      <c r="F161" s="9">
        <v>1</v>
      </c>
      <c r="I161">
        <f t="shared" si="2"/>
        <v>0</v>
      </c>
    </row>
    <row r="162" spans="6:9" x14ac:dyDescent="0.25">
      <c r="F162" s="9">
        <v>7</v>
      </c>
      <c r="I162">
        <f t="shared" si="2"/>
        <v>0</v>
      </c>
    </row>
    <row r="163" spans="6:9" x14ac:dyDescent="0.25">
      <c r="F163" s="9">
        <v>2</v>
      </c>
      <c r="I163">
        <f t="shared" si="2"/>
        <v>0</v>
      </c>
    </row>
    <row r="164" spans="6:9" x14ac:dyDescent="0.25">
      <c r="F164" s="9">
        <v>2</v>
      </c>
      <c r="I164">
        <f t="shared" si="2"/>
        <v>0</v>
      </c>
    </row>
    <row r="165" spans="6:9" x14ac:dyDescent="0.25">
      <c r="F165" s="9">
        <v>1</v>
      </c>
      <c r="I165">
        <f t="shared" si="2"/>
        <v>0</v>
      </c>
    </row>
    <row r="166" spans="6:9" x14ac:dyDescent="0.25">
      <c r="F166" s="9">
        <v>4</v>
      </c>
      <c r="I166">
        <f t="shared" si="2"/>
        <v>0</v>
      </c>
    </row>
    <row r="167" spans="6:9" x14ac:dyDescent="0.25">
      <c r="F167" s="9">
        <v>4</v>
      </c>
      <c r="I167">
        <f t="shared" si="2"/>
        <v>0</v>
      </c>
    </row>
    <row r="168" spans="6:9" x14ac:dyDescent="0.25">
      <c r="F168" s="9">
        <v>6</v>
      </c>
      <c r="I168">
        <f t="shared" si="2"/>
        <v>0</v>
      </c>
    </row>
    <row r="169" spans="6:9" x14ac:dyDescent="0.25">
      <c r="F169" s="9">
        <v>3</v>
      </c>
      <c r="I169">
        <f t="shared" si="2"/>
        <v>0</v>
      </c>
    </row>
    <row r="170" spans="6:9" x14ac:dyDescent="0.25">
      <c r="F170" s="9">
        <v>7</v>
      </c>
      <c r="I170">
        <f t="shared" si="2"/>
        <v>0</v>
      </c>
    </row>
    <row r="171" spans="6:9" x14ac:dyDescent="0.25">
      <c r="F171" s="9">
        <v>4</v>
      </c>
      <c r="I171">
        <f t="shared" si="2"/>
        <v>0</v>
      </c>
    </row>
    <row r="172" spans="6:9" x14ac:dyDescent="0.25">
      <c r="F172" s="9">
        <v>8</v>
      </c>
      <c r="I172">
        <f t="shared" si="2"/>
        <v>0</v>
      </c>
    </row>
    <row r="173" spans="6:9" x14ac:dyDescent="0.25">
      <c r="F173" s="9">
        <v>9</v>
      </c>
      <c r="I173">
        <f t="shared" si="2"/>
        <v>0</v>
      </c>
    </row>
    <row r="174" spans="6:9" x14ac:dyDescent="0.25">
      <c r="F174" s="9">
        <v>8</v>
      </c>
      <c r="I174">
        <f t="shared" si="2"/>
        <v>0</v>
      </c>
    </row>
    <row r="175" spans="6:9" x14ac:dyDescent="0.25">
      <c r="F175" s="9">
        <v>8</v>
      </c>
      <c r="I175">
        <f t="shared" si="2"/>
        <v>0</v>
      </c>
    </row>
    <row r="176" spans="6:9" x14ac:dyDescent="0.25">
      <c r="F176" s="9">
        <v>11</v>
      </c>
      <c r="I176">
        <f t="shared" si="2"/>
        <v>0</v>
      </c>
    </row>
    <row r="177" spans="6:9" x14ac:dyDescent="0.25">
      <c r="F177" s="9">
        <v>3</v>
      </c>
      <c r="I177">
        <f t="shared" si="2"/>
        <v>0</v>
      </c>
    </row>
    <row r="178" spans="6:9" x14ac:dyDescent="0.25">
      <c r="F178" s="9">
        <v>5</v>
      </c>
      <c r="I178">
        <f t="shared" si="2"/>
        <v>0</v>
      </c>
    </row>
    <row r="179" spans="6:9" x14ac:dyDescent="0.25">
      <c r="F179" s="9">
        <v>6</v>
      </c>
      <c r="I179">
        <f t="shared" si="2"/>
        <v>0</v>
      </c>
    </row>
    <row r="180" spans="6:9" x14ac:dyDescent="0.25">
      <c r="F180" s="9">
        <v>9</v>
      </c>
      <c r="I180">
        <f t="shared" si="2"/>
        <v>0</v>
      </c>
    </row>
    <row r="181" spans="6:9" x14ac:dyDescent="0.25">
      <c r="F181" s="9">
        <v>10</v>
      </c>
      <c r="I181">
        <f t="shared" si="2"/>
        <v>0</v>
      </c>
    </row>
    <row r="182" spans="6:9" x14ac:dyDescent="0.25">
      <c r="F182" s="9">
        <v>2</v>
      </c>
      <c r="I182">
        <f t="shared" si="2"/>
        <v>0</v>
      </c>
    </row>
    <row r="183" spans="6:9" x14ac:dyDescent="0.25">
      <c r="F183" s="9">
        <v>6</v>
      </c>
      <c r="I183">
        <f t="shared" si="2"/>
        <v>0</v>
      </c>
    </row>
    <row r="184" spans="6:9" x14ac:dyDescent="0.25">
      <c r="F184" s="9">
        <v>8</v>
      </c>
      <c r="I184">
        <f t="shared" si="2"/>
        <v>0</v>
      </c>
    </row>
    <row r="185" spans="6:9" x14ac:dyDescent="0.25">
      <c r="F185" s="9">
        <v>4</v>
      </c>
      <c r="I185">
        <f t="shared" si="2"/>
        <v>0</v>
      </c>
    </row>
    <row r="186" spans="6:9" x14ac:dyDescent="0.25">
      <c r="F186" s="9">
        <v>9</v>
      </c>
      <c r="I186">
        <f t="shared" si="2"/>
        <v>0</v>
      </c>
    </row>
    <row r="187" spans="6:9" x14ac:dyDescent="0.25">
      <c r="F187" s="9">
        <v>6</v>
      </c>
      <c r="I187">
        <f t="shared" si="2"/>
        <v>0</v>
      </c>
    </row>
    <row r="188" spans="6:9" x14ac:dyDescent="0.25">
      <c r="F188" s="9">
        <v>3</v>
      </c>
      <c r="I188">
        <f t="shared" si="2"/>
        <v>0</v>
      </c>
    </row>
    <row r="189" spans="6:9" x14ac:dyDescent="0.25">
      <c r="F189" s="9">
        <v>4</v>
      </c>
      <c r="I189">
        <f t="shared" si="2"/>
        <v>0</v>
      </c>
    </row>
    <row r="190" spans="6:9" x14ac:dyDescent="0.25">
      <c r="F190" s="9">
        <v>6</v>
      </c>
      <c r="I190">
        <f t="shared" si="2"/>
        <v>0</v>
      </c>
    </row>
    <row r="191" spans="6:9" x14ac:dyDescent="0.25">
      <c r="F191" s="9">
        <v>4</v>
      </c>
      <c r="I191">
        <f t="shared" si="2"/>
        <v>0</v>
      </c>
    </row>
    <row r="192" spans="6:9" x14ac:dyDescent="0.25">
      <c r="F192" s="9">
        <v>4</v>
      </c>
      <c r="I192">
        <f t="shared" si="2"/>
        <v>0</v>
      </c>
    </row>
    <row r="193" spans="6:9" x14ac:dyDescent="0.25">
      <c r="F193" s="9">
        <v>3</v>
      </c>
      <c r="I193">
        <f t="shared" si="2"/>
        <v>0</v>
      </c>
    </row>
    <row r="194" spans="6:9" x14ac:dyDescent="0.25">
      <c r="F194" s="9">
        <v>10</v>
      </c>
      <c r="I194">
        <f t="shared" si="2"/>
        <v>0</v>
      </c>
    </row>
    <row r="195" spans="6:9" x14ac:dyDescent="0.25">
      <c r="F195" s="9">
        <v>4</v>
      </c>
      <c r="I195">
        <f t="shared" ref="I195:I258" si="3">H195*F195</f>
        <v>0</v>
      </c>
    </row>
    <row r="196" spans="6:9" x14ac:dyDescent="0.25">
      <c r="F196" s="9">
        <v>11</v>
      </c>
      <c r="I196">
        <f t="shared" si="3"/>
        <v>0</v>
      </c>
    </row>
    <row r="197" spans="6:9" x14ac:dyDescent="0.25">
      <c r="F197" s="9">
        <v>6</v>
      </c>
      <c r="I197">
        <f t="shared" si="3"/>
        <v>0</v>
      </c>
    </row>
    <row r="198" spans="6:9" x14ac:dyDescent="0.25">
      <c r="F198" s="9">
        <v>6</v>
      </c>
      <c r="I198">
        <f t="shared" si="3"/>
        <v>0</v>
      </c>
    </row>
    <row r="199" spans="6:9" x14ac:dyDescent="0.25">
      <c r="F199" s="9">
        <v>9</v>
      </c>
      <c r="I199">
        <f t="shared" si="3"/>
        <v>0</v>
      </c>
    </row>
    <row r="200" spans="6:9" x14ac:dyDescent="0.25">
      <c r="F200" s="9">
        <v>8</v>
      </c>
      <c r="I200">
        <f t="shared" si="3"/>
        <v>0</v>
      </c>
    </row>
    <row r="201" spans="6:9" x14ac:dyDescent="0.25">
      <c r="F201" s="9">
        <v>7</v>
      </c>
      <c r="I201">
        <f t="shared" si="3"/>
        <v>0</v>
      </c>
    </row>
    <row r="202" spans="6:9" x14ac:dyDescent="0.25">
      <c r="F202" s="9">
        <v>9</v>
      </c>
      <c r="I202">
        <f t="shared" si="3"/>
        <v>0</v>
      </c>
    </row>
    <row r="203" spans="6:9" x14ac:dyDescent="0.25">
      <c r="F203" s="9">
        <v>6</v>
      </c>
      <c r="I203">
        <f t="shared" si="3"/>
        <v>0</v>
      </c>
    </row>
    <row r="204" spans="6:9" x14ac:dyDescent="0.25">
      <c r="F204" s="9">
        <v>8</v>
      </c>
      <c r="I204">
        <f t="shared" si="3"/>
        <v>0</v>
      </c>
    </row>
    <row r="205" spans="6:9" x14ac:dyDescent="0.25">
      <c r="F205" s="9">
        <v>6</v>
      </c>
      <c r="I205">
        <f t="shared" si="3"/>
        <v>0</v>
      </c>
    </row>
    <row r="206" spans="6:9" x14ac:dyDescent="0.25">
      <c r="F206" s="9">
        <v>5</v>
      </c>
      <c r="I206">
        <f t="shared" si="3"/>
        <v>0</v>
      </c>
    </row>
    <row r="207" spans="6:9" x14ac:dyDescent="0.25">
      <c r="F207" s="9">
        <v>8</v>
      </c>
      <c r="I207">
        <f t="shared" si="3"/>
        <v>0</v>
      </c>
    </row>
    <row r="208" spans="6:9" x14ac:dyDescent="0.25">
      <c r="F208" s="9">
        <v>10</v>
      </c>
      <c r="I208">
        <f t="shared" si="3"/>
        <v>0</v>
      </c>
    </row>
    <row r="209" spans="6:9" x14ac:dyDescent="0.25">
      <c r="F209" s="9">
        <v>9</v>
      </c>
      <c r="I209">
        <f t="shared" si="3"/>
        <v>0</v>
      </c>
    </row>
    <row r="210" spans="6:9" x14ac:dyDescent="0.25">
      <c r="F210" s="9">
        <v>3</v>
      </c>
      <c r="I210">
        <f t="shared" si="3"/>
        <v>0</v>
      </c>
    </row>
    <row r="211" spans="6:9" x14ac:dyDescent="0.25">
      <c r="F211" s="9">
        <v>2</v>
      </c>
      <c r="I211">
        <f t="shared" si="3"/>
        <v>0</v>
      </c>
    </row>
    <row r="212" spans="6:9" x14ac:dyDescent="0.25">
      <c r="F212" s="9">
        <v>4</v>
      </c>
      <c r="I212">
        <f t="shared" si="3"/>
        <v>0</v>
      </c>
    </row>
    <row r="213" spans="6:9" x14ac:dyDescent="0.25">
      <c r="F213" s="9">
        <v>6</v>
      </c>
      <c r="I213">
        <f t="shared" si="3"/>
        <v>0</v>
      </c>
    </row>
    <row r="214" spans="6:9" x14ac:dyDescent="0.25">
      <c r="F214" s="9">
        <v>1</v>
      </c>
      <c r="I214">
        <f t="shared" si="3"/>
        <v>0</v>
      </c>
    </row>
    <row r="215" spans="6:9" x14ac:dyDescent="0.25">
      <c r="F215" s="9">
        <v>4</v>
      </c>
      <c r="I215">
        <f t="shared" si="3"/>
        <v>0</v>
      </c>
    </row>
    <row r="216" spans="6:9" x14ac:dyDescent="0.25">
      <c r="F216" s="9">
        <v>10</v>
      </c>
      <c r="I216">
        <f t="shared" si="3"/>
        <v>0</v>
      </c>
    </row>
    <row r="217" spans="6:9" x14ac:dyDescent="0.25">
      <c r="F217" s="9">
        <v>7</v>
      </c>
      <c r="I217">
        <f t="shared" si="3"/>
        <v>0</v>
      </c>
    </row>
    <row r="218" spans="6:9" x14ac:dyDescent="0.25">
      <c r="F218" s="9">
        <v>11</v>
      </c>
      <c r="I218">
        <f t="shared" si="3"/>
        <v>0</v>
      </c>
    </row>
    <row r="219" spans="6:9" x14ac:dyDescent="0.25">
      <c r="F219" s="9">
        <v>4</v>
      </c>
      <c r="I219">
        <f t="shared" si="3"/>
        <v>0</v>
      </c>
    </row>
    <row r="220" spans="6:9" x14ac:dyDescent="0.25">
      <c r="F220" s="9">
        <v>10</v>
      </c>
      <c r="I220">
        <f t="shared" si="3"/>
        <v>0</v>
      </c>
    </row>
    <row r="221" spans="6:9" x14ac:dyDescent="0.25">
      <c r="F221" s="9">
        <v>5</v>
      </c>
      <c r="I221">
        <f t="shared" si="3"/>
        <v>0</v>
      </c>
    </row>
    <row r="222" spans="6:9" x14ac:dyDescent="0.25">
      <c r="F222" s="9">
        <v>5</v>
      </c>
      <c r="I222">
        <f t="shared" si="3"/>
        <v>0</v>
      </c>
    </row>
    <row r="223" spans="6:9" x14ac:dyDescent="0.25">
      <c r="F223" s="9">
        <v>11</v>
      </c>
      <c r="I223">
        <f t="shared" si="3"/>
        <v>0</v>
      </c>
    </row>
    <row r="224" spans="6:9" x14ac:dyDescent="0.25">
      <c r="F224" s="9">
        <v>2</v>
      </c>
      <c r="I224">
        <f t="shared" si="3"/>
        <v>0</v>
      </c>
    </row>
    <row r="225" spans="6:9" x14ac:dyDescent="0.25">
      <c r="F225" s="9">
        <v>8</v>
      </c>
      <c r="I225">
        <f t="shared" si="3"/>
        <v>0</v>
      </c>
    </row>
    <row r="226" spans="6:9" x14ac:dyDescent="0.25">
      <c r="F226" s="9">
        <v>2</v>
      </c>
      <c r="I226">
        <f t="shared" si="3"/>
        <v>0</v>
      </c>
    </row>
    <row r="227" spans="6:9" x14ac:dyDescent="0.25">
      <c r="F227" s="9">
        <v>7</v>
      </c>
      <c r="I227">
        <f t="shared" si="3"/>
        <v>0</v>
      </c>
    </row>
    <row r="228" spans="6:9" x14ac:dyDescent="0.25">
      <c r="F228" s="9">
        <v>7</v>
      </c>
      <c r="I228">
        <f t="shared" si="3"/>
        <v>0</v>
      </c>
    </row>
    <row r="229" spans="6:9" x14ac:dyDescent="0.25">
      <c r="F229" s="9">
        <v>4</v>
      </c>
      <c r="I229">
        <f t="shared" si="3"/>
        <v>0</v>
      </c>
    </row>
    <row r="230" spans="6:9" x14ac:dyDescent="0.25">
      <c r="F230" s="9">
        <v>8</v>
      </c>
      <c r="I230">
        <f t="shared" si="3"/>
        <v>0</v>
      </c>
    </row>
    <row r="231" spans="6:9" x14ac:dyDescent="0.25">
      <c r="F231" s="9">
        <v>4</v>
      </c>
      <c r="I231">
        <f t="shared" si="3"/>
        <v>0</v>
      </c>
    </row>
    <row r="232" spans="6:9" x14ac:dyDescent="0.25">
      <c r="F232" s="9">
        <v>3</v>
      </c>
      <c r="I232">
        <f t="shared" si="3"/>
        <v>0</v>
      </c>
    </row>
    <row r="233" spans="6:9" x14ac:dyDescent="0.25">
      <c r="F233" s="9">
        <v>5</v>
      </c>
      <c r="I233">
        <f t="shared" si="3"/>
        <v>0</v>
      </c>
    </row>
    <row r="234" spans="6:9" x14ac:dyDescent="0.25">
      <c r="F234" s="9">
        <v>3</v>
      </c>
      <c r="I234">
        <f t="shared" si="3"/>
        <v>0</v>
      </c>
    </row>
    <row r="235" spans="6:9" x14ac:dyDescent="0.25">
      <c r="F235" s="9">
        <v>10</v>
      </c>
      <c r="I235">
        <f t="shared" si="3"/>
        <v>0</v>
      </c>
    </row>
    <row r="236" spans="6:9" x14ac:dyDescent="0.25">
      <c r="F236" s="9">
        <v>3</v>
      </c>
      <c r="I236">
        <f t="shared" si="3"/>
        <v>0</v>
      </c>
    </row>
    <row r="237" spans="6:9" x14ac:dyDescent="0.25">
      <c r="F237" s="9">
        <v>5</v>
      </c>
      <c r="I237">
        <f t="shared" si="3"/>
        <v>0</v>
      </c>
    </row>
    <row r="238" spans="6:9" x14ac:dyDescent="0.25">
      <c r="F238" s="9">
        <v>10</v>
      </c>
      <c r="I238">
        <f t="shared" si="3"/>
        <v>0</v>
      </c>
    </row>
    <row r="239" spans="6:9" x14ac:dyDescent="0.25">
      <c r="F239" s="9">
        <v>4</v>
      </c>
      <c r="I239">
        <f t="shared" si="3"/>
        <v>0</v>
      </c>
    </row>
    <row r="240" spans="6:9" x14ac:dyDescent="0.25">
      <c r="F240" s="9">
        <v>10</v>
      </c>
      <c r="I240">
        <f t="shared" si="3"/>
        <v>0</v>
      </c>
    </row>
    <row r="241" spans="6:9" x14ac:dyDescent="0.25">
      <c r="F241" s="9">
        <v>2</v>
      </c>
      <c r="I241">
        <f t="shared" si="3"/>
        <v>0</v>
      </c>
    </row>
    <row r="242" spans="6:9" x14ac:dyDescent="0.25">
      <c r="F242" s="9">
        <v>3</v>
      </c>
      <c r="I242">
        <f t="shared" si="3"/>
        <v>0</v>
      </c>
    </row>
    <row r="243" spans="6:9" x14ac:dyDescent="0.25">
      <c r="F243" s="9">
        <v>1</v>
      </c>
      <c r="I243">
        <f t="shared" si="3"/>
        <v>0</v>
      </c>
    </row>
    <row r="244" spans="6:9" x14ac:dyDescent="0.25">
      <c r="F244" s="9">
        <v>9</v>
      </c>
      <c r="I244">
        <f t="shared" si="3"/>
        <v>0</v>
      </c>
    </row>
    <row r="245" spans="6:9" x14ac:dyDescent="0.25">
      <c r="F245" s="9">
        <v>5</v>
      </c>
      <c r="I245">
        <f t="shared" si="3"/>
        <v>0</v>
      </c>
    </row>
    <row r="246" spans="6:9" x14ac:dyDescent="0.25">
      <c r="F246" s="9">
        <v>9</v>
      </c>
      <c r="I246">
        <f t="shared" si="3"/>
        <v>0</v>
      </c>
    </row>
    <row r="247" spans="6:9" x14ac:dyDescent="0.25">
      <c r="F247" s="9">
        <v>5</v>
      </c>
      <c r="I247">
        <f t="shared" si="3"/>
        <v>0</v>
      </c>
    </row>
    <row r="248" spans="6:9" x14ac:dyDescent="0.25">
      <c r="F248" s="9">
        <v>8</v>
      </c>
      <c r="I248">
        <f t="shared" si="3"/>
        <v>0</v>
      </c>
    </row>
    <row r="249" spans="6:9" x14ac:dyDescent="0.25">
      <c r="F249" s="9">
        <v>10</v>
      </c>
      <c r="I249">
        <f t="shared" si="3"/>
        <v>0</v>
      </c>
    </row>
    <row r="250" spans="6:9" x14ac:dyDescent="0.25">
      <c r="F250" s="9">
        <v>7</v>
      </c>
      <c r="I250">
        <f t="shared" si="3"/>
        <v>0</v>
      </c>
    </row>
    <row r="251" spans="6:9" x14ac:dyDescent="0.25">
      <c r="F251" s="9">
        <v>11</v>
      </c>
      <c r="I251">
        <f t="shared" si="3"/>
        <v>0</v>
      </c>
    </row>
    <row r="252" spans="6:9" x14ac:dyDescent="0.25">
      <c r="F252" s="9">
        <v>10</v>
      </c>
      <c r="I252">
        <f t="shared" si="3"/>
        <v>0</v>
      </c>
    </row>
    <row r="253" spans="6:9" x14ac:dyDescent="0.25">
      <c r="F253" s="9">
        <v>8</v>
      </c>
      <c r="I253">
        <f t="shared" si="3"/>
        <v>0</v>
      </c>
    </row>
    <row r="254" spans="6:9" x14ac:dyDescent="0.25">
      <c r="F254" s="9">
        <v>7</v>
      </c>
      <c r="I254">
        <f t="shared" si="3"/>
        <v>0</v>
      </c>
    </row>
    <row r="255" spans="6:9" x14ac:dyDescent="0.25">
      <c r="F255" s="9">
        <v>8</v>
      </c>
      <c r="I255">
        <f t="shared" si="3"/>
        <v>0</v>
      </c>
    </row>
    <row r="256" spans="6:9" x14ac:dyDescent="0.25">
      <c r="F256" s="9">
        <v>6</v>
      </c>
      <c r="I256">
        <f t="shared" si="3"/>
        <v>0</v>
      </c>
    </row>
    <row r="257" spans="6:9" x14ac:dyDescent="0.25">
      <c r="F257" s="9">
        <v>8</v>
      </c>
      <c r="I257">
        <f t="shared" si="3"/>
        <v>0</v>
      </c>
    </row>
    <row r="258" spans="6:9" x14ac:dyDescent="0.25">
      <c r="F258" s="9">
        <v>6</v>
      </c>
      <c r="I258">
        <f t="shared" si="3"/>
        <v>0</v>
      </c>
    </row>
    <row r="259" spans="6:9" x14ac:dyDescent="0.25">
      <c r="F259" s="9">
        <v>10</v>
      </c>
      <c r="I259">
        <f t="shared" ref="I259:I322" si="4">H259*F259</f>
        <v>0</v>
      </c>
    </row>
    <row r="260" spans="6:9" x14ac:dyDescent="0.25">
      <c r="F260" s="9">
        <v>10</v>
      </c>
      <c r="I260">
        <f t="shared" si="4"/>
        <v>0</v>
      </c>
    </row>
    <row r="261" spans="6:9" x14ac:dyDescent="0.25">
      <c r="F261" s="9">
        <v>5</v>
      </c>
      <c r="I261">
        <f t="shared" si="4"/>
        <v>0</v>
      </c>
    </row>
    <row r="262" spans="6:9" x14ac:dyDescent="0.25">
      <c r="F262" s="9">
        <v>10</v>
      </c>
      <c r="I262">
        <f t="shared" si="4"/>
        <v>0</v>
      </c>
    </row>
    <row r="263" spans="6:9" x14ac:dyDescent="0.25">
      <c r="F263" s="9">
        <v>1</v>
      </c>
      <c r="I263">
        <f t="shared" si="4"/>
        <v>0</v>
      </c>
    </row>
    <row r="264" spans="6:9" x14ac:dyDescent="0.25">
      <c r="F264" s="9">
        <v>7</v>
      </c>
      <c r="I264">
        <f t="shared" si="4"/>
        <v>0</v>
      </c>
    </row>
    <row r="265" spans="6:9" x14ac:dyDescent="0.25">
      <c r="F265" s="9">
        <v>5</v>
      </c>
      <c r="I265">
        <f t="shared" si="4"/>
        <v>0</v>
      </c>
    </row>
    <row r="266" spans="6:9" x14ac:dyDescent="0.25">
      <c r="F266" s="9">
        <v>11</v>
      </c>
      <c r="I266">
        <f t="shared" si="4"/>
        <v>0</v>
      </c>
    </row>
    <row r="267" spans="6:9" x14ac:dyDescent="0.25">
      <c r="F267" s="9">
        <v>8</v>
      </c>
      <c r="I267">
        <f t="shared" si="4"/>
        <v>0</v>
      </c>
    </row>
    <row r="268" spans="6:9" x14ac:dyDescent="0.25">
      <c r="F268" s="9">
        <v>6</v>
      </c>
      <c r="I268">
        <f t="shared" si="4"/>
        <v>0</v>
      </c>
    </row>
    <row r="269" spans="6:9" x14ac:dyDescent="0.25">
      <c r="F269" s="9">
        <v>4</v>
      </c>
      <c r="I269">
        <f t="shared" si="4"/>
        <v>0</v>
      </c>
    </row>
    <row r="270" spans="6:9" x14ac:dyDescent="0.25">
      <c r="F270" s="9">
        <v>3</v>
      </c>
      <c r="I270">
        <f t="shared" si="4"/>
        <v>0</v>
      </c>
    </row>
    <row r="271" spans="6:9" x14ac:dyDescent="0.25">
      <c r="F271" s="9">
        <v>7</v>
      </c>
      <c r="I271">
        <f t="shared" si="4"/>
        <v>0</v>
      </c>
    </row>
    <row r="272" spans="6:9" x14ac:dyDescent="0.25">
      <c r="F272" s="9">
        <v>4</v>
      </c>
      <c r="I272">
        <f t="shared" si="4"/>
        <v>0</v>
      </c>
    </row>
    <row r="273" spans="6:9" x14ac:dyDescent="0.25">
      <c r="F273" s="9">
        <v>5</v>
      </c>
      <c r="I273">
        <f t="shared" si="4"/>
        <v>0</v>
      </c>
    </row>
    <row r="274" spans="6:9" x14ac:dyDescent="0.25">
      <c r="F274" s="9">
        <v>6</v>
      </c>
      <c r="I274">
        <f t="shared" si="4"/>
        <v>0</v>
      </c>
    </row>
    <row r="275" spans="6:9" x14ac:dyDescent="0.25">
      <c r="F275" s="9">
        <v>3</v>
      </c>
      <c r="I275">
        <f t="shared" si="4"/>
        <v>0</v>
      </c>
    </row>
    <row r="276" spans="6:9" x14ac:dyDescent="0.25">
      <c r="F276" s="9">
        <v>4</v>
      </c>
      <c r="I276">
        <f t="shared" si="4"/>
        <v>0</v>
      </c>
    </row>
    <row r="277" spans="6:9" x14ac:dyDescent="0.25">
      <c r="F277" s="9">
        <v>6</v>
      </c>
      <c r="I277">
        <f t="shared" si="4"/>
        <v>0</v>
      </c>
    </row>
    <row r="278" spans="6:9" x14ac:dyDescent="0.25">
      <c r="F278" s="9">
        <v>3</v>
      </c>
      <c r="I278">
        <f t="shared" si="4"/>
        <v>0</v>
      </c>
    </row>
    <row r="279" spans="6:9" x14ac:dyDescent="0.25">
      <c r="F279" s="9">
        <v>1</v>
      </c>
      <c r="I279">
        <f t="shared" si="4"/>
        <v>0</v>
      </c>
    </row>
    <row r="280" spans="6:9" x14ac:dyDescent="0.25">
      <c r="F280" s="9">
        <v>8</v>
      </c>
      <c r="I280">
        <f t="shared" si="4"/>
        <v>0</v>
      </c>
    </row>
    <row r="281" spans="6:9" x14ac:dyDescent="0.25">
      <c r="F281" s="9">
        <v>4</v>
      </c>
      <c r="I281">
        <f t="shared" si="4"/>
        <v>0</v>
      </c>
    </row>
    <row r="282" spans="6:9" x14ac:dyDescent="0.25">
      <c r="F282" s="9">
        <v>11</v>
      </c>
      <c r="I282">
        <f t="shared" si="4"/>
        <v>0</v>
      </c>
    </row>
    <row r="283" spans="6:9" x14ac:dyDescent="0.25">
      <c r="F283" s="9">
        <v>6</v>
      </c>
      <c r="I283">
        <f t="shared" si="4"/>
        <v>0</v>
      </c>
    </row>
    <row r="284" spans="6:9" x14ac:dyDescent="0.25">
      <c r="F284" s="9">
        <v>5</v>
      </c>
      <c r="I284">
        <f t="shared" si="4"/>
        <v>0</v>
      </c>
    </row>
    <row r="285" spans="6:9" x14ac:dyDescent="0.25">
      <c r="F285" s="9">
        <v>6</v>
      </c>
      <c r="I285">
        <f t="shared" si="4"/>
        <v>0</v>
      </c>
    </row>
    <row r="286" spans="6:9" x14ac:dyDescent="0.25">
      <c r="F286" s="9">
        <v>11</v>
      </c>
      <c r="I286">
        <f t="shared" si="4"/>
        <v>0</v>
      </c>
    </row>
    <row r="287" spans="6:9" x14ac:dyDescent="0.25">
      <c r="F287" s="9">
        <v>9</v>
      </c>
      <c r="I287">
        <f t="shared" si="4"/>
        <v>0</v>
      </c>
    </row>
    <row r="288" spans="6:9" x14ac:dyDescent="0.25">
      <c r="F288" s="9">
        <v>1</v>
      </c>
      <c r="I288">
        <f t="shared" si="4"/>
        <v>0</v>
      </c>
    </row>
    <row r="289" spans="6:9" x14ac:dyDescent="0.25">
      <c r="F289" s="9">
        <v>1</v>
      </c>
      <c r="I289">
        <f t="shared" si="4"/>
        <v>0</v>
      </c>
    </row>
    <row r="290" spans="6:9" x14ac:dyDescent="0.25">
      <c r="F290" s="9">
        <v>9</v>
      </c>
      <c r="I290">
        <f t="shared" si="4"/>
        <v>0</v>
      </c>
    </row>
    <row r="291" spans="6:9" x14ac:dyDescent="0.25">
      <c r="F291" s="9">
        <v>3</v>
      </c>
      <c r="I291">
        <f t="shared" si="4"/>
        <v>0</v>
      </c>
    </row>
    <row r="292" spans="6:9" x14ac:dyDescent="0.25">
      <c r="F292" s="9">
        <v>6</v>
      </c>
      <c r="I292">
        <f t="shared" si="4"/>
        <v>0</v>
      </c>
    </row>
    <row r="293" spans="6:9" x14ac:dyDescent="0.25">
      <c r="F293" s="9">
        <v>5</v>
      </c>
      <c r="I293">
        <f t="shared" si="4"/>
        <v>0</v>
      </c>
    </row>
    <row r="294" spans="6:9" x14ac:dyDescent="0.25">
      <c r="F294" s="9">
        <v>1</v>
      </c>
      <c r="I294">
        <f t="shared" si="4"/>
        <v>0</v>
      </c>
    </row>
    <row r="295" spans="6:9" x14ac:dyDescent="0.25">
      <c r="F295" s="9">
        <v>10</v>
      </c>
      <c r="I295">
        <f t="shared" si="4"/>
        <v>0</v>
      </c>
    </row>
    <row r="296" spans="6:9" x14ac:dyDescent="0.25">
      <c r="F296" s="9">
        <v>1</v>
      </c>
      <c r="I296">
        <f t="shared" si="4"/>
        <v>0</v>
      </c>
    </row>
    <row r="297" spans="6:9" x14ac:dyDescent="0.25">
      <c r="F297" s="9">
        <v>1</v>
      </c>
      <c r="I297">
        <f t="shared" si="4"/>
        <v>0</v>
      </c>
    </row>
    <row r="298" spans="6:9" x14ac:dyDescent="0.25">
      <c r="F298" s="9">
        <v>2</v>
      </c>
      <c r="I298">
        <f t="shared" si="4"/>
        <v>0</v>
      </c>
    </row>
    <row r="299" spans="6:9" x14ac:dyDescent="0.25">
      <c r="F299" s="9">
        <v>3</v>
      </c>
      <c r="I299">
        <f t="shared" si="4"/>
        <v>0</v>
      </c>
    </row>
    <row r="300" spans="6:9" x14ac:dyDescent="0.25">
      <c r="F300" s="9">
        <v>7</v>
      </c>
      <c r="I300">
        <f t="shared" si="4"/>
        <v>0</v>
      </c>
    </row>
    <row r="301" spans="6:9" x14ac:dyDescent="0.25">
      <c r="F301" s="9">
        <v>6</v>
      </c>
      <c r="I301">
        <f t="shared" si="4"/>
        <v>0</v>
      </c>
    </row>
    <row r="302" spans="6:9" x14ac:dyDescent="0.25">
      <c r="F302" s="9">
        <v>9</v>
      </c>
      <c r="I302">
        <f t="shared" si="4"/>
        <v>0</v>
      </c>
    </row>
    <row r="303" spans="6:9" x14ac:dyDescent="0.25">
      <c r="F303" s="9">
        <v>5</v>
      </c>
      <c r="I303">
        <f t="shared" si="4"/>
        <v>0</v>
      </c>
    </row>
    <row r="304" spans="6:9" x14ac:dyDescent="0.25">
      <c r="F304" s="9">
        <v>5</v>
      </c>
      <c r="I304">
        <f t="shared" si="4"/>
        <v>0</v>
      </c>
    </row>
    <row r="305" spans="6:9" x14ac:dyDescent="0.25">
      <c r="F305" s="9">
        <v>5</v>
      </c>
      <c r="I305">
        <f t="shared" si="4"/>
        <v>0</v>
      </c>
    </row>
    <row r="306" spans="6:9" x14ac:dyDescent="0.25">
      <c r="F306" s="9">
        <v>6</v>
      </c>
      <c r="I306">
        <f t="shared" si="4"/>
        <v>0</v>
      </c>
    </row>
    <row r="307" spans="6:9" x14ac:dyDescent="0.25">
      <c r="F307" s="9">
        <v>7</v>
      </c>
      <c r="I307">
        <f t="shared" si="4"/>
        <v>0</v>
      </c>
    </row>
    <row r="308" spans="6:9" x14ac:dyDescent="0.25">
      <c r="F308" s="9">
        <v>6</v>
      </c>
      <c r="I308">
        <f t="shared" si="4"/>
        <v>0</v>
      </c>
    </row>
    <row r="309" spans="6:9" x14ac:dyDescent="0.25">
      <c r="F309" s="9">
        <v>5</v>
      </c>
      <c r="I309">
        <f t="shared" si="4"/>
        <v>0</v>
      </c>
    </row>
    <row r="310" spans="6:9" x14ac:dyDescent="0.25">
      <c r="F310" s="9">
        <v>2</v>
      </c>
      <c r="I310">
        <f t="shared" si="4"/>
        <v>0</v>
      </c>
    </row>
    <row r="311" spans="6:9" x14ac:dyDescent="0.25">
      <c r="F311" s="9">
        <v>3</v>
      </c>
      <c r="I311">
        <f t="shared" si="4"/>
        <v>0</v>
      </c>
    </row>
    <row r="312" spans="6:9" x14ac:dyDescent="0.25">
      <c r="F312" s="9">
        <v>8</v>
      </c>
      <c r="I312">
        <f t="shared" si="4"/>
        <v>0</v>
      </c>
    </row>
    <row r="313" spans="6:9" x14ac:dyDescent="0.25">
      <c r="F313" s="9">
        <v>1</v>
      </c>
      <c r="I313">
        <f t="shared" si="4"/>
        <v>0</v>
      </c>
    </row>
    <row r="314" spans="6:9" x14ac:dyDescent="0.25">
      <c r="F314" s="9">
        <v>4</v>
      </c>
      <c r="I314">
        <f t="shared" si="4"/>
        <v>0</v>
      </c>
    </row>
    <row r="315" spans="6:9" x14ac:dyDescent="0.25">
      <c r="F315" s="9">
        <v>4</v>
      </c>
      <c r="I315">
        <f t="shared" si="4"/>
        <v>0</v>
      </c>
    </row>
    <row r="316" spans="6:9" x14ac:dyDescent="0.25">
      <c r="F316" s="9">
        <v>9</v>
      </c>
      <c r="I316">
        <f t="shared" si="4"/>
        <v>0</v>
      </c>
    </row>
    <row r="317" spans="6:9" x14ac:dyDescent="0.25">
      <c r="F317" s="9">
        <v>9</v>
      </c>
      <c r="I317">
        <f t="shared" si="4"/>
        <v>0</v>
      </c>
    </row>
    <row r="318" spans="6:9" x14ac:dyDescent="0.25">
      <c r="F318" s="9">
        <v>3</v>
      </c>
      <c r="I318">
        <f t="shared" si="4"/>
        <v>0</v>
      </c>
    </row>
    <row r="319" spans="6:9" x14ac:dyDescent="0.25">
      <c r="F319" s="9">
        <v>7</v>
      </c>
      <c r="I319">
        <f t="shared" si="4"/>
        <v>0</v>
      </c>
    </row>
    <row r="320" spans="6:9" x14ac:dyDescent="0.25">
      <c r="F320" s="9">
        <v>5</v>
      </c>
      <c r="I320">
        <f t="shared" si="4"/>
        <v>0</v>
      </c>
    </row>
    <row r="321" spans="6:9" x14ac:dyDescent="0.25">
      <c r="F321" s="9">
        <v>10</v>
      </c>
      <c r="I321">
        <f t="shared" si="4"/>
        <v>0</v>
      </c>
    </row>
    <row r="322" spans="6:9" x14ac:dyDescent="0.25">
      <c r="F322" s="9">
        <v>5</v>
      </c>
      <c r="I322">
        <f t="shared" si="4"/>
        <v>0</v>
      </c>
    </row>
    <row r="323" spans="6:9" x14ac:dyDescent="0.25">
      <c r="F323" s="9">
        <v>4</v>
      </c>
      <c r="I323">
        <f t="shared" ref="I323:I386" si="5">H323*F323</f>
        <v>0</v>
      </c>
    </row>
    <row r="324" spans="6:9" x14ac:dyDescent="0.25">
      <c r="F324" s="9">
        <v>10</v>
      </c>
      <c r="I324">
        <f t="shared" si="5"/>
        <v>0</v>
      </c>
    </row>
    <row r="325" spans="6:9" x14ac:dyDescent="0.25">
      <c r="F325" s="9">
        <v>1</v>
      </c>
      <c r="I325">
        <f t="shared" si="5"/>
        <v>0</v>
      </c>
    </row>
    <row r="326" spans="6:9" x14ac:dyDescent="0.25">
      <c r="F326" s="9">
        <v>7</v>
      </c>
      <c r="I326">
        <f t="shared" si="5"/>
        <v>0</v>
      </c>
    </row>
    <row r="327" spans="6:9" x14ac:dyDescent="0.25">
      <c r="F327" s="9">
        <v>11</v>
      </c>
      <c r="I327">
        <f t="shared" si="5"/>
        <v>0</v>
      </c>
    </row>
    <row r="328" spans="6:9" x14ac:dyDescent="0.25">
      <c r="F328" s="9">
        <v>3</v>
      </c>
      <c r="I328">
        <f t="shared" si="5"/>
        <v>0</v>
      </c>
    </row>
    <row r="329" spans="6:9" x14ac:dyDescent="0.25">
      <c r="F329" s="9">
        <v>11</v>
      </c>
      <c r="I329">
        <f t="shared" si="5"/>
        <v>0</v>
      </c>
    </row>
    <row r="330" spans="6:9" x14ac:dyDescent="0.25">
      <c r="F330" s="9">
        <v>9</v>
      </c>
      <c r="I330">
        <f t="shared" si="5"/>
        <v>0</v>
      </c>
    </row>
    <row r="331" spans="6:9" x14ac:dyDescent="0.25">
      <c r="F331" s="9">
        <v>5</v>
      </c>
      <c r="I331">
        <f t="shared" si="5"/>
        <v>0</v>
      </c>
    </row>
    <row r="332" spans="6:9" x14ac:dyDescent="0.25">
      <c r="F332" s="9">
        <v>10</v>
      </c>
      <c r="I332">
        <f t="shared" si="5"/>
        <v>0</v>
      </c>
    </row>
    <row r="333" spans="6:9" x14ac:dyDescent="0.25">
      <c r="F333" s="9">
        <v>4</v>
      </c>
      <c r="I333">
        <f t="shared" si="5"/>
        <v>0</v>
      </c>
    </row>
    <row r="334" spans="6:9" x14ac:dyDescent="0.25">
      <c r="F334" s="9">
        <v>4</v>
      </c>
      <c r="I334">
        <f t="shared" si="5"/>
        <v>0</v>
      </c>
    </row>
    <row r="335" spans="6:9" x14ac:dyDescent="0.25">
      <c r="F335" s="9">
        <v>7</v>
      </c>
      <c r="I335">
        <f t="shared" si="5"/>
        <v>0</v>
      </c>
    </row>
    <row r="336" spans="6:9" x14ac:dyDescent="0.25">
      <c r="F336" s="9">
        <v>11</v>
      </c>
      <c r="I336">
        <f t="shared" si="5"/>
        <v>0</v>
      </c>
    </row>
    <row r="337" spans="6:9" x14ac:dyDescent="0.25">
      <c r="F337" s="9">
        <v>2</v>
      </c>
      <c r="I337">
        <f t="shared" si="5"/>
        <v>0</v>
      </c>
    </row>
    <row r="338" spans="6:9" x14ac:dyDescent="0.25">
      <c r="F338" s="9">
        <v>6</v>
      </c>
      <c r="I338">
        <f t="shared" si="5"/>
        <v>0</v>
      </c>
    </row>
    <row r="339" spans="6:9" x14ac:dyDescent="0.25">
      <c r="F339" s="9">
        <v>2</v>
      </c>
      <c r="I339">
        <f t="shared" si="5"/>
        <v>0</v>
      </c>
    </row>
    <row r="340" spans="6:9" x14ac:dyDescent="0.25">
      <c r="F340" s="9">
        <v>5</v>
      </c>
      <c r="I340">
        <f t="shared" si="5"/>
        <v>0</v>
      </c>
    </row>
    <row r="341" spans="6:9" x14ac:dyDescent="0.25">
      <c r="F341" s="9">
        <v>3</v>
      </c>
      <c r="I341">
        <f t="shared" si="5"/>
        <v>0</v>
      </c>
    </row>
    <row r="342" spans="6:9" x14ac:dyDescent="0.25">
      <c r="F342" s="9">
        <v>7</v>
      </c>
      <c r="I342">
        <f t="shared" si="5"/>
        <v>0</v>
      </c>
    </row>
    <row r="343" spans="6:9" x14ac:dyDescent="0.25">
      <c r="F343" s="9">
        <v>4</v>
      </c>
      <c r="I343">
        <f t="shared" si="5"/>
        <v>0</v>
      </c>
    </row>
    <row r="344" spans="6:9" x14ac:dyDescent="0.25">
      <c r="F344" s="9">
        <v>8</v>
      </c>
      <c r="I344">
        <f t="shared" si="5"/>
        <v>0</v>
      </c>
    </row>
    <row r="345" spans="6:9" x14ac:dyDescent="0.25">
      <c r="F345" s="9">
        <v>11</v>
      </c>
      <c r="I345">
        <f t="shared" si="5"/>
        <v>0</v>
      </c>
    </row>
    <row r="346" spans="6:9" x14ac:dyDescent="0.25">
      <c r="F346" s="9">
        <v>11</v>
      </c>
      <c r="I346">
        <f t="shared" si="5"/>
        <v>0</v>
      </c>
    </row>
    <row r="347" spans="6:9" x14ac:dyDescent="0.25">
      <c r="F347" s="9">
        <v>4</v>
      </c>
      <c r="I347">
        <f t="shared" si="5"/>
        <v>0</v>
      </c>
    </row>
    <row r="348" spans="6:9" x14ac:dyDescent="0.25">
      <c r="F348" s="9">
        <v>5</v>
      </c>
      <c r="I348">
        <f t="shared" si="5"/>
        <v>0</v>
      </c>
    </row>
    <row r="349" spans="6:9" x14ac:dyDescent="0.25">
      <c r="F349" s="9">
        <v>10</v>
      </c>
      <c r="I349">
        <f t="shared" si="5"/>
        <v>0</v>
      </c>
    </row>
    <row r="350" spans="6:9" x14ac:dyDescent="0.25">
      <c r="F350" s="9">
        <v>4</v>
      </c>
      <c r="I350">
        <f t="shared" si="5"/>
        <v>0</v>
      </c>
    </row>
    <row r="351" spans="6:9" x14ac:dyDescent="0.25">
      <c r="F351" s="9">
        <v>7</v>
      </c>
      <c r="I351">
        <f t="shared" si="5"/>
        <v>0</v>
      </c>
    </row>
    <row r="352" spans="6:9" x14ac:dyDescent="0.25">
      <c r="F352" s="9">
        <v>11</v>
      </c>
      <c r="I352">
        <f t="shared" si="5"/>
        <v>0</v>
      </c>
    </row>
    <row r="353" spans="6:9" x14ac:dyDescent="0.25">
      <c r="F353" s="9">
        <v>10</v>
      </c>
      <c r="I353">
        <f t="shared" si="5"/>
        <v>0</v>
      </c>
    </row>
    <row r="354" spans="6:9" x14ac:dyDescent="0.25">
      <c r="F354" s="9">
        <v>1</v>
      </c>
      <c r="I354">
        <f t="shared" si="5"/>
        <v>0</v>
      </c>
    </row>
    <row r="355" spans="6:9" x14ac:dyDescent="0.25">
      <c r="F355" s="9">
        <v>7</v>
      </c>
      <c r="I355">
        <f t="shared" si="5"/>
        <v>0</v>
      </c>
    </row>
    <row r="356" spans="6:9" x14ac:dyDescent="0.25">
      <c r="F356" s="9">
        <v>11</v>
      </c>
      <c r="I356">
        <f t="shared" si="5"/>
        <v>0</v>
      </c>
    </row>
    <row r="357" spans="6:9" x14ac:dyDescent="0.25">
      <c r="F357" s="9">
        <v>6</v>
      </c>
      <c r="I357">
        <f t="shared" si="5"/>
        <v>0</v>
      </c>
    </row>
    <row r="358" spans="6:9" x14ac:dyDescent="0.25">
      <c r="F358" s="9">
        <v>11</v>
      </c>
      <c r="I358">
        <f t="shared" si="5"/>
        <v>0</v>
      </c>
    </row>
    <row r="359" spans="6:9" x14ac:dyDescent="0.25">
      <c r="F359" s="9">
        <v>8</v>
      </c>
      <c r="I359">
        <f t="shared" si="5"/>
        <v>0</v>
      </c>
    </row>
    <row r="360" spans="6:9" x14ac:dyDescent="0.25">
      <c r="F360" s="9">
        <v>1</v>
      </c>
      <c r="I360">
        <f t="shared" si="5"/>
        <v>0</v>
      </c>
    </row>
    <row r="361" spans="6:9" x14ac:dyDescent="0.25">
      <c r="F361" s="9">
        <v>1</v>
      </c>
      <c r="I361">
        <f t="shared" si="5"/>
        <v>0</v>
      </c>
    </row>
    <row r="362" spans="6:9" x14ac:dyDescent="0.25">
      <c r="F362" s="9">
        <v>6</v>
      </c>
      <c r="I362">
        <f t="shared" si="5"/>
        <v>0</v>
      </c>
    </row>
    <row r="363" spans="6:9" x14ac:dyDescent="0.25">
      <c r="F363" s="9">
        <v>8</v>
      </c>
      <c r="I363">
        <f t="shared" si="5"/>
        <v>0</v>
      </c>
    </row>
    <row r="364" spans="6:9" x14ac:dyDescent="0.25">
      <c r="F364" s="9">
        <v>11</v>
      </c>
      <c r="I364">
        <f t="shared" si="5"/>
        <v>0</v>
      </c>
    </row>
    <row r="365" spans="6:9" x14ac:dyDescent="0.25">
      <c r="F365" s="9">
        <v>2</v>
      </c>
      <c r="I365">
        <f t="shared" si="5"/>
        <v>0</v>
      </c>
    </row>
    <row r="366" spans="6:9" x14ac:dyDescent="0.25">
      <c r="F366" s="9">
        <v>8</v>
      </c>
      <c r="I366">
        <f t="shared" si="5"/>
        <v>0</v>
      </c>
    </row>
    <row r="367" spans="6:9" x14ac:dyDescent="0.25">
      <c r="F367" s="9">
        <v>5</v>
      </c>
      <c r="I367">
        <f t="shared" si="5"/>
        <v>0</v>
      </c>
    </row>
    <row r="368" spans="6:9" x14ac:dyDescent="0.25">
      <c r="F368" s="9">
        <v>8</v>
      </c>
      <c r="I368">
        <f t="shared" si="5"/>
        <v>0</v>
      </c>
    </row>
    <row r="369" spans="6:9" x14ac:dyDescent="0.25">
      <c r="F369" s="9">
        <v>11</v>
      </c>
      <c r="I369">
        <f t="shared" si="5"/>
        <v>0</v>
      </c>
    </row>
    <row r="370" spans="6:9" x14ac:dyDescent="0.25">
      <c r="F370" s="9">
        <v>11</v>
      </c>
      <c r="I370">
        <f t="shared" si="5"/>
        <v>0</v>
      </c>
    </row>
    <row r="371" spans="6:9" x14ac:dyDescent="0.25">
      <c r="F371" s="9">
        <v>8</v>
      </c>
      <c r="I371">
        <f t="shared" si="5"/>
        <v>0</v>
      </c>
    </row>
    <row r="372" spans="6:9" x14ac:dyDescent="0.25">
      <c r="F372" s="9">
        <v>7</v>
      </c>
      <c r="I372">
        <f t="shared" si="5"/>
        <v>0</v>
      </c>
    </row>
    <row r="373" spans="6:9" x14ac:dyDescent="0.25">
      <c r="F373" s="9">
        <v>7</v>
      </c>
      <c r="I373">
        <f t="shared" si="5"/>
        <v>0</v>
      </c>
    </row>
    <row r="374" spans="6:9" x14ac:dyDescent="0.25">
      <c r="F374" s="9">
        <v>9</v>
      </c>
      <c r="I374">
        <f t="shared" si="5"/>
        <v>0</v>
      </c>
    </row>
    <row r="375" spans="6:9" x14ac:dyDescent="0.25">
      <c r="F375" s="9">
        <v>9</v>
      </c>
      <c r="I375">
        <f t="shared" si="5"/>
        <v>0</v>
      </c>
    </row>
    <row r="376" spans="6:9" x14ac:dyDescent="0.25">
      <c r="F376" s="9">
        <v>2</v>
      </c>
      <c r="I376">
        <f t="shared" si="5"/>
        <v>0</v>
      </c>
    </row>
    <row r="377" spans="6:9" x14ac:dyDescent="0.25">
      <c r="F377" s="9">
        <v>9</v>
      </c>
      <c r="I377">
        <f t="shared" si="5"/>
        <v>0</v>
      </c>
    </row>
    <row r="378" spans="6:9" x14ac:dyDescent="0.25">
      <c r="F378" s="9">
        <v>6</v>
      </c>
      <c r="I378">
        <f t="shared" si="5"/>
        <v>0</v>
      </c>
    </row>
    <row r="379" spans="6:9" x14ac:dyDescent="0.25">
      <c r="F379" s="9">
        <v>3</v>
      </c>
      <c r="I379">
        <f t="shared" si="5"/>
        <v>0</v>
      </c>
    </row>
    <row r="380" spans="6:9" x14ac:dyDescent="0.25">
      <c r="F380" s="9">
        <v>5</v>
      </c>
      <c r="I380">
        <f t="shared" si="5"/>
        <v>0</v>
      </c>
    </row>
    <row r="381" spans="6:9" x14ac:dyDescent="0.25">
      <c r="F381" s="9">
        <v>6</v>
      </c>
      <c r="I381">
        <f t="shared" si="5"/>
        <v>0</v>
      </c>
    </row>
    <row r="382" spans="6:9" x14ac:dyDescent="0.25">
      <c r="F382" s="9">
        <v>6</v>
      </c>
      <c r="I382">
        <f t="shared" si="5"/>
        <v>0</v>
      </c>
    </row>
    <row r="383" spans="6:9" x14ac:dyDescent="0.25">
      <c r="F383" s="9">
        <v>11</v>
      </c>
      <c r="I383">
        <f t="shared" si="5"/>
        <v>0</v>
      </c>
    </row>
    <row r="384" spans="6:9" x14ac:dyDescent="0.25">
      <c r="F384" s="9">
        <v>1</v>
      </c>
      <c r="I384">
        <f t="shared" si="5"/>
        <v>0</v>
      </c>
    </row>
    <row r="385" spans="6:9" x14ac:dyDescent="0.25">
      <c r="F385" s="9">
        <v>11</v>
      </c>
      <c r="I385">
        <f t="shared" si="5"/>
        <v>0</v>
      </c>
    </row>
    <row r="386" spans="6:9" x14ac:dyDescent="0.25">
      <c r="F386" s="9">
        <v>11</v>
      </c>
      <c r="I386">
        <f t="shared" si="5"/>
        <v>0</v>
      </c>
    </row>
    <row r="387" spans="6:9" x14ac:dyDescent="0.25">
      <c r="F387" s="9">
        <v>8</v>
      </c>
      <c r="I387">
        <f t="shared" ref="I387:I450" si="6">H387*F387</f>
        <v>0</v>
      </c>
    </row>
    <row r="388" spans="6:9" x14ac:dyDescent="0.25">
      <c r="F388" s="9">
        <v>5</v>
      </c>
      <c r="I388">
        <f t="shared" si="6"/>
        <v>0</v>
      </c>
    </row>
    <row r="389" spans="6:9" x14ac:dyDescent="0.25">
      <c r="F389" s="9">
        <v>1</v>
      </c>
      <c r="I389">
        <f t="shared" si="6"/>
        <v>0</v>
      </c>
    </row>
    <row r="390" spans="6:9" x14ac:dyDescent="0.25">
      <c r="F390" s="9">
        <v>7</v>
      </c>
      <c r="I390">
        <f t="shared" si="6"/>
        <v>0</v>
      </c>
    </row>
    <row r="391" spans="6:9" x14ac:dyDescent="0.25">
      <c r="F391" s="9">
        <v>5</v>
      </c>
      <c r="I391">
        <f t="shared" si="6"/>
        <v>0</v>
      </c>
    </row>
    <row r="392" spans="6:9" x14ac:dyDescent="0.25">
      <c r="F392" s="9">
        <v>8</v>
      </c>
      <c r="I392">
        <f t="shared" si="6"/>
        <v>0</v>
      </c>
    </row>
    <row r="393" spans="6:9" x14ac:dyDescent="0.25">
      <c r="F393" s="9">
        <v>11</v>
      </c>
      <c r="I393">
        <f t="shared" si="6"/>
        <v>0</v>
      </c>
    </row>
    <row r="394" spans="6:9" x14ac:dyDescent="0.25">
      <c r="F394" s="9">
        <v>7</v>
      </c>
      <c r="I394">
        <f t="shared" si="6"/>
        <v>0</v>
      </c>
    </row>
    <row r="395" spans="6:9" x14ac:dyDescent="0.25">
      <c r="F395" s="9">
        <v>8</v>
      </c>
      <c r="I395">
        <f t="shared" si="6"/>
        <v>0</v>
      </c>
    </row>
    <row r="396" spans="6:9" x14ac:dyDescent="0.25">
      <c r="F396" s="9">
        <v>8</v>
      </c>
      <c r="I396">
        <f t="shared" si="6"/>
        <v>0</v>
      </c>
    </row>
    <row r="397" spans="6:9" x14ac:dyDescent="0.25">
      <c r="F397" s="9">
        <v>2</v>
      </c>
      <c r="I397">
        <f t="shared" si="6"/>
        <v>0</v>
      </c>
    </row>
    <row r="398" spans="6:9" x14ac:dyDescent="0.25">
      <c r="F398" s="9">
        <v>5</v>
      </c>
      <c r="I398">
        <f t="shared" si="6"/>
        <v>0</v>
      </c>
    </row>
    <row r="399" spans="6:9" x14ac:dyDescent="0.25">
      <c r="F399" s="9">
        <v>9</v>
      </c>
      <c r="I399">
        <f t="shared" si="6"/>
        <v>0</v>
      </c>
    </row>
    <row r="400" spans="6:9" x14ac:dyDescent="0.25">
      <c r="F400" s="9">
        <v>5</v>
      </c>
      <c r="I400">
        <f t="shared" si="6"/>
        <v>0</v>
      </c>
    </row>
    <row r="401" spans="6:9" x14ac:dyDescent="0.25">
      <c r="F401" s="9">
        <v>2</v>
      </c>
      <c r="I401">
        <f t="shared" si="6"/>
        <v>0</v>
      </c>
    </row>
    <row r="402" spans="6:9" x14ac:dyDescent="0.25">
      <c r="F402" s="9">
        <v>4</v>
      </c>
      <c r="I402">
        <f t="shared" si="6"/>
        <v>0</v>
      </c>
    </row>
    <row r="403" spans="6:9" x14ac:dyDescent="0.25">
      <c r="F403" s="9">
        <v>4</v>
      </c>
      <c r="I403">
        <f t="shared" si="6"/>
        <v>0</v>
      </c>
    </row>
    <row r="404" spans="6:9" x14ac:dyDescent="0.25">
      <c r="F404" s="9">
        <v>8</v>
      </c>
      <c r="I404">
        <f t="shared" si="6"/>
        <v>0</v>
      </c>
    </row>
    <row r="405" spans="6:9" x14ac:dyDescent="0.25">
      <c r="F405" s="9">
        <v>3</v>
      </c>
      <c r="I405">
        <f t="shared" si="6"/>
        <v>0</v>
      </c>
    </row>
    <row r="406" spans="6:9" x14ac:dyDescent="0.25">
      <c r="F406" s="9">
        <v>3</v>
      </c>
      <c r="I406">
        <f t="shared" si="6"/>
        <v>0</v>
      </c>
    </row>
    <row r="407" spans="6:9" x14ac:dyDescent="0.25">
      <c r="F407" s="9">
        <v>10</v>
      </c>
      <c r="I407">
        <f t="shared" si="6"/>
        <v>0</v>
      </c>
    </row>
    <row r="408" spans="6:9" x14ac:dyDescent="0.25">
      <c r="F408" s="9">
        <v>10</v>
      </c>
      <c r="I408">
        <f t="shared" si="6"/>
        <v>0</v>
      </c>
    </row>
    <row r="409" spans="6:9" x14ac:dyDescent="0.25">
      <c r="F409" s="9">
        <v>4</v>
      </c>
      <c r="I409">
        <f t="shared" si="6"/>
        <v>0</v>
      </c>
    </row>
    <row r="410" spans="6:9" x14ac:dyDescent="0.25">
      <c r="F410" s="9">
        <v>6</v>
      </c>
      <c r="I410">
        <f t="shared" si="6"/>
        <v>0</v>
      </c>
    </row>
    <row r="411" spans="6:9" x14ac:dyDescent="0.25">
      <c r="F411" s="9">
        <v>1</v>
      </c>
      <c r="I411">
        <f t="shared" si="6"/>
        <v>0</v>
      </c>
    </row>
    <row r="412" spans="6:9" x14ac:dyDescent="0.25">
      <c r="F412" s="9">
        <v>4</v>
      </c>
      <c r="I412">
        <f t="shared" si="6"/>
        <v>0</v>
      </c>
    </row>
    <row r="413" spans="6:9" x14ac:dyDescent="0.25">
      <c r="F413" s="9">
        <v>8</v>
      </c>
      <c r="I413">
        <f t="shared" si="6"/>
        <v>0</v>
      </c>
    </row>
    <row r="414" spans="6:9" x14ac:dyDescent="0.25">
      <c r="F414" s="9">
        <v>3</v>
      </c>
      <c r="I414">
        <f t="shared" si="6"/>
        <v>0</v>
      </c>
    </row>
    <row r="415" spans="6:9" x14ac:dyDescent="0.25">
      <c r="F415" s="9">
        <v>1</v>
      </c>
      <c r="I415">
        <f t="shared" si="6"/>
        <v>0</v>
      </c>
    </row>
    <row r="416" spans="6:9" x14ac:dyDescent="0.25">
      <c r="F416" s="9">
        <v>7</v>
      </c>
      <c r="I416">
        <f t="shared" si="6"/>
        <v>0</v>
      </c>
    </row>
    <row r="417" spans="6:9" x14ac:dyDescent="0.25">
      <c r="F417" s="9">
        <v>7</v>
      </c>
      <c r="I417">
        <f t="shared" si="6"/>
        <v>0</v>
      </c>
    </row>
    <row r="418" spans="6:9" x14ac:dyDescent="0.25">
      <c r="F418" s="9">
        <v>11</v>
      </c>
      <c r="I418">
        <f t="shared" si="6"/>
        <v>0</v>
      </c>
    </row>
    <row r="419" spans="6:9" x14ac:dyDescent="0.25">
      <c r="F419" s="9">
        <v>11</v>
      </c>
      <c r="I419">
        <f t="shared" si="6"/>
        <v>0</v>
      </c>
    </row>
    <row r="420" spans="6:9" x14ac:dyDescent="0.25">
      <c r="F420" s="9">
        <v>10</v>
      </c>
      <c r="I420">
        <f t="shared" si="6"/>
        <v>0</v>
      </c>
    </row>
    <row r="421" spans="6:9" x14ac:dyDescent="0.25">
      <c r="F421" s="9">
        <v>10</v>
      </c>
      <c r="I421">
        <f t="shared" si="6"/>
        <v>0</v>
      </c>
    </row>
    <row r="422" spans="6:9" x14ac:dyDescent="0.25">
      <c r="F422" s="9">
        <v>4</v>
      </c>
      <c r="I422">
        <f t="shared" si="6"/>
        <v>0</v>
      </c>
    </row>
    <row r="423" spans="6:9" x14ac:dyDescent="0.25">
      <c r="F423" s="9">
        <v>4</v>
      </c>
      <c r="I423">
        <f t="shared" si="6"/>
        <v>0</v>
      </c>
    </row>
    <row r="424" spans="6:9" x14ac:dyDescent="0.25">
      <c r="F424" s="9">
        <v>3</v>
      </c>
      <c r="I424">
        <f t="shared" si="6"/>
        <v>0</v>
      </c>
    </row>
    <row r="425" spans="6:9" x14ac:dyDescent="0.25">
      <c r="F425" s="9">
        <v>3</v>
      </c>
      <c r="I425">
        <f t="shared" si="6"/>
        <v>0</v>
      </c>
    </row>
    <row r="426" spans="6:9" x14ac:dyDescent="0.25">
      <c r="F426" s="9">
        <v>11</v>
      </c>
      <c r="I426">
        <f t="shared" si="6"/>
        <v>0</v>
      </c>
    </row>
    <row r="427" spans="6:9" x14ac:dyDescent="0.25">
      <c r="F427" s="9">
        <v>2</v>
      </c>
      <c r="I427">
        <f t="shared" si="6"/>
        <v>0</v>
      </c>
    </row>
    <row r="428" spans="6:9" x14ac:dyDescent="0.25">
      <c r="F428" s="9">
        <v>5</v>
      </c>
      <c r="I428">
        <f t="shared" si="6"/>
        <v>0</v>
      </c>
    </row>
    <row r="429" spans="6:9" x14ac:dyDescent="0.25">
      <c r="F429" s="9">
        <v>11</v>
      </c>
      <c r="I429">
        <f t="shared" si="6"/>
        <v>0</v>
      </c>
    </row>
    <row r="430" spans="6:9" x14ac:dyDescent="0.25">
      <c r="F430" s="9">
        <v>6</v>
      </c>
      <c r="I430">
        <f t="shared" si="6"/>
        <v>0</v>
      </c>
    </row>
    <row r="431" spans="6:9" x14ac:dyDescent="0.25">
      <c r="F431" s="9">
        <v>3</v>
      </c>
      <c r="I431">
        <f t="shared" si="6"/>
        <v>0</v>
      </c>
    </row>
    <row r="432" spans="6:9" x14ac:dyDescent="0.25">
      <c r="F432" s="9">
        <v>5</v>
      </c>
      <c r="I432">
        <f t="shared" si="6"/>
        <v>0</v>
      </c>
    </row>
    <row r="433" spans="6:9" x14ac:dyDescent="0.25">
      <c r="F433" s="9">
        <v>5</v>
      </c>
      <c r="I433">
        <f t="shared" si="6"/>
        <v>0</v>
      </c>
    </row>
    <row r="434" spans="6:9" x14ac:dyDescent="0.25">
      <c r="F434" s="9">
        <v>4</v>
      </c>
      <c r="I434">
        <f t="shared" si="6"/>
        <v>0</v>
      </c>
    </row>
    <row r="435" spans="6:9" x14ac:dyDescent="0.25">
      <c r="F435" s="9">
        <v>8</v>
      </c>
      <c r="I435">
        <f t="shared" si="6"/>
        <v>0</v>
      </c>
    </row>
    <row r="436" spans="6:9" x14ac:dyDescent="0.25">
      <c r="F436" s="9">
        <v>6</v>
      </c>
      <c r="I436">
        <f t="shared" si="6"/>
        <v>0</v>
      </c>
    </row>
    <row r="437" spans="6:9" x14ac:dyDescent="0.25">
      <c r="F437" s="9">
        <v>9</v>
      </c>
      <c r="I437">
        <f t="shared" si="6"/>
        <v>0</v>
      </c>
    </row>
    <row r="438" spans="6:9" x14ac:dyDescent="0.25">
      <c r="F438" s="9">
        <v>7</v>
      </c>
      <c r="I438">
        <f t="shared" si="6"/>
        <v>0</v>
      </c>
    </row>
    <row r="439" spans="6:9" x14ac:dyDescent="0.25">
      <c r="F439" s="9">
        <v>9</v>
      </c>
      <c r="I439">
        <f t="shared" si="6"/>
        <v>0</v>
      </c>
    </row>
    <row r="440" spans="6:9" x14ac:dyDescent="0.25">
      <c r="F440" s="9">
        <v>8</v>
      </c>
      <c r="I440">
        <f t="shared" si="6"/>
        <v>0</v>
      </c>
    </row>
    <row r="441" spans="6:9" x14ac:dyDescent="0.25">
      <c r="F441" s="9">
        <v>7</v>
      </c>
      <c r="I441">
        <f t="shared" si="6"/>
        <v>0</v>
      </c>
    </row>
    <row r="442" spans="6:9" x14ac:dyDescent="0.25">
      <c r="F442" s="9">
        <v>4</v>
      </c>
      <c r="I442">
        <f t="shared" si="6"/>
        <v>0</v>
      </c>
    </row>
    <row r="443" spans="6:9" x14ac:dyDescent="0.25">
      <c r="F443" s="9">
        <v>2</v>
      </c>
      <c r="I443">
        <f t="shared" si="6"/>
        <v>0</v>
      </c>
    </row>
    <row r="444" spans="6:9" x14ac:dyDescent="0.25">
      <c r="F444" s="9">
        <v>3</v>
      </c>
      <c r="I444">
        <f t="shared" si="6"/>
        <v>0</v>
      </c>
    </row>
    <row r="445" spans="6:9" x14ac:dyDescent="0.25">
      <c r="F445" s="9">
        <v>10</v>
      </c>
      <c r="I445">
        <f t="shared" si="6"/>
        <v>0</v>
      </c>
    </row>
    <row r="446" spans="6:9" x14ac:dyDescent="0.25">
      <c r="F446" s="9">
        <v>11</v>
      </c>
      <c r="I446">
        <f t="shared" si="6"/>
        <v>0</v>
      </c>
    </row>
    <row r="447" spans="6:9" x14ac:dyDescent="0.25">
      <c r="F447" s="9">
        <v>7</v>
      </c>
      <c r="I447">
        <f t="shared" si="6"/>
        <v>0</v>
      </c>
    </row>
    <row r="448" spans="6:9" x14ac:dyDescent="0.25">
      <c r="F448" s="9">
        <v>8</v>
      </c>
      <c r="I448">
        <f t="shared" si="6"/>
        <v>0</v>
      </c>
    </row>
    <row r="449" spans="6:9" x14ac:dyDescent="0.25">
      <c r="F449" s="9">
        <v>9</v>
      </c>
      <c r="I449">
        <f t="shared" si="6"/>
        <v>0</v>
      </c>
    </row>
    <row r="450" spans="6:9" x14ac:dyDescent="0.25">
      <c r="F450" s="9">
        <v>3</v>
      </c>
      <c r="I450">
        <f t="shared" si="6"/>
        <v>0</v>
      </c>
    </row>
    <row r="451" spans="6:9" x14ac:dyDescent="0.25">
      <c r="F451" s="9">
        <v>4</v>
      </c>
      <c r="I451">
        <f t="shared" ref="I451:I497" si="7">H451*F451</f>
        <v>0</v>
      </c>
    </row>
    <row r="452" spans="6:9" x14ac:dyDescent="0.25">
      <c r="F452" s="9">
        <v>1</v>
      </c>
      <c r="I452">
        <f t="shared" si="7"/>
        <v>0</v>
      </c>
    </row>
    <row r="453" spans="6:9" x14ac:dyDescent="0.25">
      <c r="F453" s="9">
        <v>6</v>
      </c>
      <c r="I453">
        <f t="shared" si="7"/>
        <v>0</v>
      </c>
    </row>
    <row r="454" spans="6:9" x14ac:dyDescent="0.25">
      <c r="F454" s="9">
        <v>9</v>
      </c>
      <c r="I454">
        <f t="shared" si="7"/>
        <v>0</v>
      </c>
    </row>
    <row r="455" spans="6:9" x14ac:dyDescent="0.25">
      <c r="F455" s="9">
        <v>11</v>
      </c>
      <c r="I455">
        <f t="shared" si="7"/>
        <v>0</v>
      </c>
    </row>
    <row r="456" spans="6:9" x14ac:dyDescent="0.25">
      <c r="F456" s="9">
        <v>3</v>
      </c>
      <c r="I456">
        <f t="shared" si="7"/>
        <v>0</v>
      </c>
    </row>
    <row r="457" spans="6:9" x14ac:dyDescent="0.25">
      <c r="F457" s="9">
        <v>7</v>
      </c>
      <c r="I457">
        <f t="shared" si="7"/>
        <v>0</v>
      </c>
    </row>
    <row r="458" spans="6:9" x14ac:dyDescent="0.25">
      <c r="F458" s="9">
        <v>10</v>
      </c>
      <c r="I458">
        <f t="shared" si="7"/>
        <v>0</v>
      </c>
    </row>
    <row r="459" spans="6:9" x14ac:dyDescent="0.25">
      <c r="F459" s="9">
        <v>8</v>
      </c>
      <c r="I459">
        <f t="shared" si="7"/>
        <v>0</v>
      </c>
    </row>
    <row r="460" spans="6:9" x14ac:dyDescent="0.25">
      <c r="F460" s="9">
        <v>5</v>
      </c>
      <c r="I460">
        <f t="shared" si="7"/>
        <v>0</v>
      </c>
    </row>
    <row r="461" spans="6:9" x14ac:dyDescent="0.25">
      <c r="F461" s="9">
        <v>7</v>
      </c>
      <c r="I461">
        <f t="shared" si="7"/>
        <v>0</v>
      </c>
    </row>
    <row r="462" spans="6:9" x14ac:dyDescent="0.25">
      <c r="F462" s="9">
        <v>9</v>
      </c>
      <c r="I462">
        <f t="shared" si="7"/>
        <v>0</v>
      </c>
    </row>
    <row r="463" spans="6:9" x14ac:dyDescent="0.25">
      <c r="F463" s="9">
        <v>10</v>
      </c>
      <c r="I463">
        <f t="shared" si="7"/>
        <v>0</v>
      </c>
    </row>
    <row r="464" spans="6:9" x14ac:dyDescent="0.25">
      <c r="F464" s="9">
        <v>5</v>
      </c>
      <c r="I464">
        <f t="shared" si="7"/>
        <v>0</v>
      </c>
    </row>
    <row r="465" spans="6:9" x14ac:dyDescent="0.25">
      <c r="F465" s="9">
        <v>8</v>
      </c>
      <c r="I465">
        <f t="shared" si="7"/>
        <v>0</v>
      </c>
    </row>
    <row r="466" spans="6:9" x14ac:dyDescent="0.25">
      <c r="F466" s="9">
        <v>4</v>
      </c>
      <c r="I466">
        <f t="shared" si="7"/>
        <v>0</v>
      </c>
    </row>
    <row r="467" spans="6:9" x14ac:dyDescent="0.25">
      <c r="F467" s="9">
        <v>3</v>
      </c>
      <c r="I467">
        <f t="shared" si="7"/>
        <v>0</v>
      </c>
    </row>
    <row r="468" spans="6:9" x14ac:dyDescent="0.25">
      <c r="F468" s="9">
        <v>6</v>
      </c>
      <c r="I468">
        <f t="shared" si="7"/>
        <v>0</v>
      </c>
    </row>
    <row r="469" spans="6:9" x14ac:dyDescent="0.25">
      <c r="F469" s="9">
        <v>5</v>
      </c>
      <c r="I469">
        <f t="shared" si="7"/>
        <v>0</v>
      </c>
    </row>
    <row r="470" spans="6:9" x14ac:dyDescent="0.25">
      <c r="F470" s="9">
        <v>7</v>
      </c>
      <c r="I470">
        <f t="shared" si="7"/>
        <v>0</v>
      </c>
    </row>
    <row r="471" spans="6:9" x14ac:dyDescent="0.25">
      <c r="F471" s="9">
        <v>10</v>
      </c>
      <c r="I471">
        <f t="shared" si="7"/>
        <v>0</v>
      </c>
    </row>
    <row r="472" spans="6:9" x14ac:dyDescent="0.25">
      <c r="F472" s="9">
        <v>10</v>
      </c>
      <c r="I472">
        <f t="shared" si="7"/>
        <v>0</v>
      </c>
    </row>
    <row r="473" spans="6:9" x14ac:dyDescent="0.25">
      <c r="F473" s="9">
        <v>6</v>
      </c>
      <c r="I473">
        <f t="shared" si="7"/>
        <v>0</v>
      </c>
    </row>
    <row r="474" spans="6:9" x14ac:dyDescent="0.25">
      <c r="F474" s="9">
        <v>1</v>
      </c>
      <c r="I474">
        <f t="shared" si="7"/>
        <v>0</v>
      </c>
    </row>
    <row r="475" spans="6:9" x14ac:dyDescent="0.25">
      <c r="F475" s="9">
        <v>4</v>
      </c>
      <c r="I475">
        <f t="shared" si="7"/>
        <v>0</v>
      </c>
    </row>
    <row r="476" spans="6:9" x14ac:dyDescent="0.25">
      <c r="F476" s="9">
        <v>11</v>
      </c>
      <c r="I476">
        <f t="shared" si="7"/>
        <v>0</v>
      </c>
    </row>
    <row r="477" spans="6:9" x14ac:dyDescent="0.25">
      <c r="F477" s="9">
        <v>9</v>
      </c>
      <c r="I477">
        <f t="shared" si="7"/>
        <v>0</v>
      </c>
    </row>
    <row r="478" spans="6:9" x14ac:dyDescent="0.25">
      <c r="F478" s="9">
        <v>7</v>
      </c>
      <c r="I478">
        <f t="shared" si="7"/>
        <v>0</v>
      </c>
    </row>
    <row r="479" spans="6:9" x14ac:dyDescent="0.25">
      <c r="F479" s="9">
        <v>8</v>
      </c>
      <c r="I479">
        <f t="shared" si="7"/>
        <v>0</v>
      </c>
    </row>
    <row r="480" spans="6:9" x14ac:dyDescent="0.25">
      <c r="F480" s="9">
        <v>9</v>
      </c>
      <c r="I480">
        <f t="shared" si="7"/>
        <v>0</v>
      </c>
    </row>
    <row r="481" spans="6:9" x14ac:dyDescent="0.25">
      <c r="F481" s="9">
        <v>4</v>
      </c>
      <c r="I481">
        <f t="shared" si="7"/>
        <v>0</v>
      </c>
    </row>
    <row r="482" spans="6:9" x14ac:dyDescent="0.25">
      <c r="F482" s="9">
        <v>8</v>
      </c>
      <c r="I482">
        <f t="shared" si="7"/>
        <v>0</v>
      </c>
    </row>
    <row r="483" spans="6:9" x14ac:dyDescent="0.25">
      <c r="F483" s="9">
        <v>5</v>
      </c>
      <c r="I483">
        <f t="shared" si="7"/>
        <v>0</v>
      </c>
    </row>
    <row r="484" spans="6:9" x14ac:dyDescent="0.25">
      <c r="F484" s="9">
        <v>2</v>
      </c>
      <c r="I484">
        <f t="shared" si="7"/>
        <v>0</v>
      </c>
    </row>
    <row r="485" spans="6:9" x14ac:dyDescent="0.25">
      <c r="F485" s="9">
        <v>6</v>
      </c>
      <c r="I485">
        <f t="shared" si="7"/>
        <v>0</v>
      </c>
    </row>
    <row r="486" spans="6:9" x14ac:dyDescent="0.25">
      <c r="F486" s="9">
        <v>6</v>
      </c>
      <c r="I486">
        <f t="shared" si="7"/>
        <v>0</v>
      </c>
    </row>
    <row r="487" spans="6:9" x14ac:dyDescent="0.25">
      <c r="F487" s="9">
        <v>5</v>
      </c>
      <c r="I487">
        <f t="shared" si="7"/>
        <v>0</v>
      </c>
    </row>
    <row r="488" spans="6:9" x14ac:dyDescent="0.25">
      <c r="F488" s="9">
        <v>2</v>
      </c>
      <c r="I488">
        <f t="shared" si="7"/>
        <v>0</v>
      </c>
    </row>
    <row r="489" spans="6:9" x14ac:dyDescent="0.25">
      <c r="F489" s="9">
        <v>5</v>
      </c>
      <c r="I489">
        <f t="shared" si="7"/>
        <v>0</v>
      </c>
    </row>
    <row r="490" spans="6:9" x14ac:dyDescent="0.25">
      <c r="F490" s="9">
        <v>11</v>
      </c>
      <c r="I490">
        <f t="shared" si="7"/>
        <v>0</v>
      </c>
    </row>
    <row r="491" spans="6:9" x14ac:dyDescent="0.25">
      <c r="F491" s="9">
        <v>7</v>
      </c>
      <c r="I491">
        <f t="shared" si="7"/>
        <v>0</v>
      </c>
    </row>
    <row r="492" spans="6:9" x14ac:dyDescent="0.25">
      <c r="F492" s="9">
        <v>1</v>
      </c>
      <c r="I492">
        <f t="shared" si="7"/>
        <v>0</v>
      </c>
    </row>
    <row r="493" spans="6:9" x14ac:dyDescent="0.25">
      <c r="F493" s="9">
        <v>5</v>
      </c>
      <c r="I493">
        <f t="shared" si="7"/>
        <v>0</v>
      </c>
    </row>
    <row r="494" spans="6:9" x14ac:dyDescent="0.25">
      <c r="F494" s="9">
        <v>9</v>
      </c>
      <c r="I494">
        <f t="shared" si="7"/>
        <v>0</v>
      </c>
    </row>
    <row r="495" spans="6:9" x14ac:dyDescent="0.25">
      <c r="F495" s="9">
        <v>10</v>
      </c>
      <c r="I495">
        <f t="shared" si="7"/>
        <v>0</v>
      </c>
    </row>
    <row r="496" spans="6:9" x14ac:dyDescent="0.25">
      <c r="F496" s="9">
        <v>3</v>
      </c>
      <c r="I496">
        <f t="shared" si="7"/>
        <v>0</v>
      </c>
    </row>
    <row r="497" spans="6:9" x14ac:dyDescent="0.25">
      <c r="F497" s="9">
        <v>4</v>
      </c>
      <c r="I497">
        <f t="shared" si="7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Pravin-PC</dc:creator>
  <cp:lastModifiedBy>Shivani Pardhi</cp:lastModifiedBy>
  <dcterms:created xsi:type="dcterms:W3CDTF">2015-06-05T18:17:20Z</dcterms:created>
  <dcterms:modified xsi:type="dcterms:W3CDTF">2026-04-05T16:35:46Z</dcterms:modified>
</cp:coreProperties>
</file>