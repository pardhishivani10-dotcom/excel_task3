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ata Analytics\Excel\practice\task3\"/>
    </mc:Choice>
  </mc:AlternateContent>
  <xr:revisionPtr revIDLastSave="0" documentId="13_ncr:1_{9D7339A0-9D10-40A5-9118-7D79D5C8BD8D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heet1" sheetId="9" r:id="rId1"/>
    <sheet name="Sheet2" sheetId="13" r:id="rId2"/>
    <sheet name="Sheet3" sheetId="10" r:id="rId3"/>
    <sheet name="Sheet4" sheetId="11" r:id="rId4"/>
    <sheet name="Sheet5" sheetId="12" r:id="rId5"/>
  </sheets>
  <definedNames>
    <definedName name="_xlnm._FilterDatabase" localSheetId="0" hidden="1">Sheet1!$AG$4:$AN$11</definedName>
    <definedName name="_xlnm._FilterDatabase" localSheetId="1" hidden="1">Sheet2!$AC$3:$AE$9</definedName>
    <definedName name="_xlnm._FilterDatabase" localSheetId="2" hidden="1">Sheet3!$AF$2:$AM$22</definedName>
    <definedName name="_xlnm._FilterDatabase" localSheetId="3" hidden="1">Sheet4!$AE$5:$AM$20</definedName>
    <definedName name="_xlnm._FilterDatabase" localSheetId="4" hidden="1">Sheet5!$AE$3:$AM$21</definedName>
    <definedName name="_xlnm.Criteria" localSheetId="0">Sheet1!$AO$4:$AO$5</definedName>
    <definedName name="_xlnm.Criteria" localSheetId="1">Sheet2!$AC$11:$AC$12</definedName>
    <definedName name="_xlnm.Criteria" localSheetId="2">Sheet3!$AO$2:$AO$3</definedName>
    <definedName name="_xlnm.Criteria" localSheetId="3">Sheet4!$AO$5:$AO$6</definedName>
    <definedName name="_xlnm.Criteria" localSheetId="4">Sheet5!$AO$3:$AO$4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74" i="10" l="1"/>
  <c r="N174" i="10"/>
  <c r="O174" i="10"/>
  <c r="P174" i="10"/>
  <c r="Q174" i="10"/>
  <c r="R174" i="10"/>
  <c r="S174" i="10"/>
  <c r="L174" i="10"/>
  <c r="N171" i="10"/>
  <c r="O171" i="10" s="1"/>
  <c r="P171" i="10" s="1"/>
  <c r="Q171" i="10" s="1"/>
  <c r="R171" i="10" s="1"/>
  <c r="S171" i="10" s="1"/>
  <c r="M171" i="10"/>
  <c r="AB162" i="10"/>
  <c r="AB161" i="10"/>
  <c r="AB160" i="10"/>
  <c r="AB159" i="10"/>
  <c r="AB158" i="10"/>
  <c r="AB157" i="10"/>
  <c r="AB155" i="10"/>
  <c r="AB152" i="10"/>
  <c r="AB151" i="10"/>
  <c r="AB150" i="10"/>
  <c r="AB149" i="10"/>
  <c r="AB148" i="10"/>
  <c r="AB147" i="10"/>
  <c r="AB146" i="10"/>
  <c r="AB145" i="10"/>
  <c r="AB144" i="10"/>
  <c r="AB143" i="10"/>
  <c r="AB142" i="10"/>
  <c r="AB141" i="10"/>
  <c r="AB140" i="10"/>
  <c r="AB139" i="10"/>
  <c r="AB138" i="10"/>
  <c r="AB137" i="10"/>
  <c r="AB136" i="10"/>
  <c r="AB135" i="10"/>
  <c r="AB134" i="10"/>
  <c r="AB133" i="10"/>
  <c r="AB132" i="10"/>
  <c r="AB131" i="10"/>
  <c r="AB130" i="10"/>
  <c r="AB129" i="10"/>
  <c r="AB128" i="10"/>
  <c r="AB127" i="10"/>
  <c r="AB126" i="10"/>
  <c r="AB125" i="10"/>
  <c r="AB124" i="10"/>
  <c r="AB123" i="10"/>
  <c r="AB122" i="10"/>
  <c r="AB121" i="10"/>
  <c r="AB120" i="10"/>
  <c r="AB119" i="10"/>
  <c r="AB118" i="10"/>
  <c r="AB117" i="10"/>
  <c r="AB116" i="10"/>
  <c r="AB115" i="10"/>
  <c r="AB114" i="10"/>
  <c r="AB113" i="10"/>
  <c r="AB112" i="10"/>
  <c r="AB111" i="10"/>
  <c r="AB110" i="10"/>
  <c r="AB109" i="10"/>
  <c r="AB108" i="10"/>
  <c r="AB107" i="10"/>
  <c r="AB106" i="10"/>
  <c r="AB105" i="10"/>
  <c r="AB104" i="10"/>
  <c r="AB103" i="10"/>
  <c r="AB102" i="10"/>
  <c r="AB101" i="10"/>
  <c r="AB100" i="10"/>
  <c r="AB99" i="10"/>
  <c r="AB98" i="10"/>
  <c r="AB97" i="10"/>
  <c r="AB96" i="10"/>
  <c r="AB95" i="10"/>
  <c r="AB94" i="10"/>
  <c r="AB93" i="10"/>
  <c r="AB92" i="10"/>
  <c r="AB91" i="10"/>
  <c r="AB90" i="10"/>
  <c r="AB89" i="10"/>
  <c r="AB88" i="10"/>
  <c r="AB87" i="10"/>
  <c r="AB86" i="10"/>
  <c r="AB85" i="10"/>
  <c r="AB84" i="10"/>
  <c r="AB83" i="10"/>
  <c r="AB82" i="10"/>
  <c r="AB81" i="10"/>
  <c r="AB80" i="10"/>
  <c r="AB79" i="10"/>
  <c r="AB78" i="10"/>
  <c r="AB77" i="10"/>
  <c r="AB76" i="10"/>
  <c r="AB75" i="10"/>
  <c r="AB74" i="10"/>
  <c r="AB73" i="10"/>
  <c r="AB72" i="10"/>
  <c r="AB71" i="10"/>
  <c r="AB70" i="10"/>
  <c r="AB69" i="10"/>
  <c r="AB68" i="10"/>
  <c r="AB67" i="10"/>
  <c r="AB66" i="10"/>
  <c r="AB65" i="10"/>
  <c r="AB64" i="10"/>
  <c r="AB63" i="10"/>
  <c r="AB62" i="10"/>
  <c r="AB61" i="10"/>
  <c r="AB60" i="10"/>
  <c r="AB59" i="10"/>
  <c r="AB58" i="10"/>
  <c r="AB57" i="10"/>
  <c r="AB56" i="10"/>
  <c r="AB55" i="10"/>
  <c r="AB54" i="10"/>
  <c r="AB53" i="10"/>
  <c r="AB52" i="10"/>
  <c r="AB51" i="10"/>
  <c r="AB50" i="10"/>
  <c r="AB49" i="10"/>
  <c r="AB48" i="10"/>
  <c r="AB47" i="10"/>
  <c r="AB46" i="10"/>
  <c r="AB45" i="10"/>
  <c r="AB44" i="10"/>
  <c r="AB43" i="10"/>
  <c r="AB42" i="10"/>
  <c r="AB41" i="10"/>
  <c r="AB40" i="10"/>
  <c r="AB39" i="10"/>
  <c r="AB38" i="10"/>
  <c r="AB37" i="10"/>
  <c r="AB36" i="10"/>
  <c r="AB35" i="10"/>
  <c r="AB34" i="10"/>
  <c r="AB33" i="10"/>
  <c r="AB32" i="10"/>
  <c r="AB31" i="10"/>
  <c r="AB30" i="10"/>
  <c r="AB29" i="10"/>
  <c r="AB28" i="10"/>
  <c r="AB27" i="10"/>
  <c r="AB26" i="10"/>
  <c r="AB25" i="10"/>
  <c r="AB24" i="10"/>
  <c r="AB23" i="10"/>
  <c r="AB21" i="10"/>
  <c r="AB18" i="10"/>
  <c r="AB10" i="10"/>
  <c r="AB9" i="10"/>
  <c r="AA160" i="10"/>
  <c r="AA159" i="10"/>
  <c r="AA158" i="10"/>
  <c r="AA157" i="10"/>
  <c r="AA156" i="10"/>
  <c r="AA155" i="10"/>
  <c r="AA154" i="10"/>
  <c r="AA153" i="10"/>
  <c r="AA152" i="10"/>
  <c r="AA151" i="10"/>
  <c r="AA150" i="10"/>
  <c r="AA149" i="10"/>
  <c r="AA148" i="10"/>
  <c r="AA147" i="10"/>
  <c r="AA146" i="10"/>
  <c r="AA145" i="10"/>
  <c r="AA144" i="10"/>
  <c r="AA143" i="10"/>
  <c r="AA142" i="10"/>
  <c r="AA141" i="10"/>
  <c r="AA140" i="10"/>
  <c r="AA139" i="10"/>
  <c r="AA138" i="10"/>
  <c r="AA137" i="10"/>
  <c r="AA136" i="10"/>
  <c r="AA135" i="10"/>
  <c r="AA134" i="10"/>
  <c r="AA133" i="10"/>
  <c r="AA132" i="10"/>
  <c r="AA131" i="10"/>
  <c r="AA130" i="10"/>
  <c r="AA129" i="10"/>
  <c r="AA128" i="10"/>
  <c r="AA127" i="10"/>
  <c r="AA126" i="10"/>
  <c r="AA125" i="10"/>
  <c r="AA124" i="10"/>
  <c r="AA123" i="10"/>
  <c r="AA122" i="10"/>
  <c r="AA121" i="10"/>
  <c r="AA120" i="10"/>
  <c r="AA119" i="10"/>
  <c r="AA118" i="10"/>
  <c r="AA117" i="10"/>
  <c r="AA116" i="10"/>
  <c r="AA115" i="10"/>
  <c r="AA114" i="10"/>
  <c r="AA113" i="10"/>
  <c r="AA112" i="10"/>
  <c r="AA111" i="10"/>
  <c r="AA110" i="10"/>
  <c r="AA109" i="10"/>
  <c r="AA108" i="10"/>
  <c r="AA107" i="10"/>
  <c r="AA106" i="10"/>
  <c r="AA105" i="10"/>
  <c r="AA104" i="10"/>
  <c r="AA103" i="10"/>
  <c r="AA102" i="10"/>
  <c r="AA101" i="10"/>
  <c r="AA100" i="10"/>
  <c r="AA99" i="10"/>
  <c r="AA98" i="10"/>
  <c r="AA97" i="10"/>
  <c r="AA96" i="10"/>
  <c r="AA95" i="10"/>
  <c r="AA94" i="10"/>
  <c r="AA93" i="10"/>
  <c r="AA92" i="10"/>
  <c r="AA91" i="10"/>
  <c r="AA90" i="10"/>
  <c r="AA89" i="10"/>
  <c r="AA88" i="10"/>
  <c r="AA87" i="10"/>
  <c r="AA86" i="10"/>
  <c r="AA85" i="10"/>
  <c r="AA84" i="10"/>
  <c r="AA83" i="10"/>
  <c r="AA82" i="10"/>
  <c r="AA81" i="10"/>
  <c r="AA80" i="10"/>
  <c r="AA79" i="10"/>
  <c r="AA78" i="10"/>
  <c r="AA77" i="10"/>
  <c r="AA76" i="10"/>
  <c r="AA75" i="10"/>
  <c r="AA74" i="10"/>
  <c r="AA73" i="10"/>
  <c r="AA72" i="10"/>
  <c r="AA71" i="10"/>
  <c r="AA70" i="10"/>
  <c r="AA69" i="10"/>
  <c r="AA68" i="10"/>
  <c r="AA67" i="10"/>
  <c r="AA66" i="10"/>
  <c r="AA65" i="10"/>
  <c r="AA64" i="10"/>
  <c r="AA63" i="10"/>
  <c r="AA62" i="10"/>
  <c r="AA61" i="10"/>
  <c r="AA60" i="10"/>
  <c r="AA59" i="10"/>
  <c r="AA58" i="10"/>
  <c r="AA57" i="10"/>
  <c r="AA56" i="10"/>
  <c r="AA55" i="10"/>
  <c r="AA54" i="10"/>
  <c r="AA53" i="10"/>
  <c r="AA52" i="10"/>
  <c r="AA51" i="10"/>
  <c r="AA50" i="10"/>
  <c r="AA49" i="10"/>
  <c r="AA48" i="10"/>
  <c r="AA47" i="10"/>
  <c r="AA46" i="10"/>
  <c r="AA45" i="10"/>
  <c r="AA44" i="10"/>
  <c r="AA43" i="10"/>
  <c r="AA42" i="10"/>
  <c r="AA41" i="10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25" i="10"/>
  <c r="AA24" i="10"/>
  <c r="AA23" i="10"/>
  <c r="AA21" i="10"/>
  <c r="AA18" i="10"/>
  <c r="AA10" i="10"/>
  <c r="AA9" i="10"/>
  <c r="AA5" i="11"/>
  <c r="Y10" i="10"/>
  <c r="Z160" i="10"/>
  <c r="Z159" i="10"/>
  <c r="Z158" i="10"/>
  <c r="Z157" i="10"/>
  <c r="Z156" i="10"/>
  <c r="Z155" i="10"/>
  <c r="Z154" i="10"/>
  <c r="Z153" i="10"/>
  <c r="Z152" i="10"/>
  <c r="Z151" i="10"/>
  <c r="Z150" i="10"/>
  <c r="Z149" i="10"/>
  <c r="Z148" i="10"/>
  <c r="Z147" i="10"/>
  <c r="Z146" i="10"/>
  <c r="Z145" i="10"/>
  <c r="Z144" i="10"/>
  <c r="Z143" i="10"/>
  <c r="Z142" i="10"/>
  <c r="Z141" i="10"/>
  <c r="Z140" i="10"/>
  <c r="Z139" i="10"/>
  <c r="Z138" i="10"/>
  <c r="Z137" i="10"/>
  <c r="Z136" i="10"/>
  <c r="Z135" i="10"/>
  <c r="Z134" i="10"/>
  <c r="Z133" i="10"/>
  <c r="Z132" i="10"/>
  <c r="Z131" i="10"/>
  <c r="Z130" i="10"/>
  <c r="Z129" i="10"/>
  <c r="Z128" i="10"/>
  <c r="Z127" i="10"/>
  <c r="Z126" i="10"/>
  <c r="Z125" i="10"/>
  <c r="Z124" i="10"/>
  <c r="Z123" i="10"/>
  <c r="Z122" i="10"/>
  <c r="Z121" i="10"/>
  <c r="Z120" i="10"/>
  <c r="Z119" i="10"/>
  <c r="Z118" i="10"/>
  <c r="Z117" i="10"/>
  <c r="Z116" i="10"/>
  <c r="Z115" i="10"/>
  <c r="Z114" i="10"/>
  <c r="Z113" i="10"/>
  <c r="Z112" i="10"/>
  <c r="Z111" i="10"/>
  <c r="Z110" i="10"/>
  <c r="Z109" i="10"/>
  <c r="Z108" i="10"/>
  <c r="Z107" i="10"/>
  <c r="Z106" i="10"/>
  <c r="Z105" i="10"/>
  <c r="Z104" i="10"/>
  <c r="Z103" i="10"/>
  <c r="Z102" i="10"/>
  <c r="Z101" i="10"/>
  <c r="Z100" i="10"/>
  <c r="Z99" i="10"/>
  <c r="Z98" i="10"/>
  <c r="Z97" i="10"/>
  <c r="Z96" i="10"/>
  <c r="Z95" i="10"/>
  <c r="Z94" i="10"/>
  <c r="Z93" i="10"/>
  <c r="Z92" i="10"/>
  <c r="Z91" i="10"/>
  <c r="Z90" i="10"/>
  <c r="Z89" i="10"/>
  <c r="Z88" i="10"/>
  <c r="Z87" i="10"/>
  <c r="Z86" i="10"/>
  <c r="Z85" i="10"/>
  <c r="Z84" i="10"/>
  <c r="Z83" i="10"/>
  <c r="Z82" i="10"/>
  <c r="Z81" i="10"/>
  <c r="Z80" i="10"/>
  <c r="Z79" i="10"/>
  <c r="Z78" i="10"/>
  <c r="Z77" i="10"/>
  <c r="Z76" i="10"/>
  <c r="Z75" i="10"/>
  <c r="Z74" i="10"/>
  <c r="Z73" i="10"/>
  <c r="Z72" i="10"/>
  <c r="Z71" i="10"/>
  <c r="Z70" i="10"/>
  <c r="Z69" i="10"/>
  <c r="Z68" i="10"/>
  <c r="Z67" i="10"/>
  <c r="Z66" i="10"/>
  <c r="Z65" i="10"/>
  <c r="Z64" i="10"/>
  <c r="Z63" i="10"/>
  <c r="Z62" i="10"/>
  <c r="Z61" i="10"/>
  <c r="Z60" i="10"/>
  <c r="Z59" i="10"/>
  <c r="Z58" i="10"/>
  <c r="Z57" i="10"/>
  <c r="Z56" i="10"/>
  <c r="Z55" i="10"/>
  <c r="Z54" i="10"/>
  <c r="Z53" i="10"/>
  <c r="Z52" i="10"/>
  <c r="Z51" i="10"/>
  <c r="Z50" i="10"/>
  <c r="Z49" i="10"/>
  <c r="Z48" i="10"/>
  <c r="Z47" i="10"/>
  <c r="Z46" i="10"/>
  <c r="Z45" i="10"/>
  <c r="Z44" i="10"/>
  <c r="Z43" i="10"/>
  <c r="Z42" i="10"/>
  <c r="Z41" i="10"/>
  <c r="Z40" i="10"/>
  <c r="Z39" i="10"/>
  <c r="Z38" i="10"/>
  <c r="Z37" i="10"/>
  <c r="Z36" i="10"/>
  <c r="Z35" i="10"/>
  <c r="Z34" i="10"/>
  <c r="Z33" i="10"/>
  <c r="Z32" i="10"/>
  <c r="Z31" i="10"/>
  <c r="Z30" i="10"/>
  <c r="Z29" i="10"/>
  <c r="Z28" i="10"/>
  <c r="Z27" i="10"/>
  <c r="Z26" i="10"/>
  <c r="Z25" i="10"/>
  <c r="Z24" i="10"/>
  <c r="Z23" i="10"/>
  <c r="Z21" i="10"/>
  <c r="Z18" i="10"/>
  <c r="Z10" i="10"/>
  <c r="Z9" i="10"/>
  <c r="Y160" i="10"/>
  <c r="Y159" i="10"/>
  <c r="Y158" i="10"/>
  <c r="Y157" i="10"/>
  <c r="Y156" i="10"/>
  <c r="Y155" i="10"/>
  <c r="Y154" i="10"/>
  <c r="Y153" i="10"/>
  <c r="Y152" i="10"/>
  <c r="Y151" i="10"/>
  <c r="Y150" i="10"/>
  <c r="Y149" i="10"/>
  <c r="Y148" i="10"/>
  <c r="Y147" i="10"/>
  <c r="Y146" i="10"/>
  <c r="Y145" i="10"/>
  <c r="Y144" i="10"/>
  <c r="Y143" i="10"/>
  <c r="Y142" i="10"/>
  <c r="Y141" i="10"/>
  <c r="Y140" i="10"/>
  <c r="Y139" i="10"/>
  <c r="Y138" i="10"/>
  <c r="Y137" i="10"/>
  <c r="Y136" i="10"/>
  <c r="Y135" i="10"/>
  <c r="Y134" i="10"/>
  <c r="Y133" i="10"/>
  <c r="Y132" i="10"/>
  <c r="Y131" i="10"/>
  <c r="Y130" i="10"/>
  <c r="Y129" i="10"/>
  <c r="Y128" i="10"/>
  <c r="Y127" i="10"/>
  <c r="Y126" i="10"/>
  <c r="Y125" i="10"/>
  <c r="Y124" i="10"/>
  <c r="Y123" i="10"/>
  <c r="Y122" i="10"/>
  <c r="Y121" i="10"/>
  <c r="Y120" i="10"/>
  <c r="Y119" i="10"/>
  <c r="Y118" i="10"/>
  <c r="Y117" i="10"/>
  <c r="Y116" i="10"/>
  <c r="Y115" i="10"/>
  <c r="Y114" i="10"/>
  <c r="Y113" i="10"/>
  <c r="Y112" i="10"/>
  <c r="Y111" i="10"/>
  <c r="Y110" i="10"/>
  <c r="Y109" i="10"/>
  <c r="Y108" i="10"/>
  <c r="Y107" i="10"/>
  <c r="Y106" i="10"/>
  <c r="Y105" i="10"/>
  <c r="Y104" i="10"/>
  <c r="Y103" i="10"/>
  <c r="Y102" i="10"/>
  <c r="Y101" i="10"/>
  <c r="Y100" i="10"/>
  <c r="Y99" i="10"/>
  <c r="Y98" i="10"/>
  <c r="Y97" i="10"/>
  <c r="Y96" i="10"/>
  <c r="Y95" i="10"/>
  <c r="Y94" i="10"/>
  <c r="Y93" i="10"/>
  <c r="Y92" i="10"/>
  <c r="Y91" i="10"/>
  <c r="Y90" i="10"/>
  <c r="Y89" i="10"/>
  <c r="Y88" i="10"/>
  <c r="Y87" i="10"/>
  <c r="Y86" i="10"/>
  <c r="Y85" i="10"/>
  <c r="Y84" i="10"/>
  <c r="Y83" i="10"/>
  <c r="Y82" i="10"/>
  <c r="Y81" i="10"/>
  <c r="Y80" i="10"/>
  <c r="Y79" i="10"/>
  <c r="Y78" i="10"/>
  <c r="Y77" i="10"/>
  <c r="Y76" i="10"/>
  <c r="Y75" i="10"/>
  <c r="Y74" i="10"/>
  <c r="Y73" i="10"/>
  <c r="Y72" i="10"/>
  <c r="Y71" i="10"/>
  <c r="Y70" i="10"/>
  <c r="Y69" i="10"/>
  <c r="Y68" i="10"/>
  <c r="Y67" i="10"/>
  <c r="Y66" i="10"/>
  <c r="Y65" i="10"/>
  <c r="Y64" i="10"/>
  <c r="Y63" i="10"/>
  <c r="Y62" i="10"/>
  <c r="Y61" i="10"/>
  <c r="Y60" i="10"/>
  <c r="Y59" i="10"/>
  <c r="Y58" i="10"/>
  <c r="Y57" i="10"/>
  <c r="Y56" i="10"/>
  <c r="Y55" i="10"/>
  <c r="Y54" i="10"/>
  <c r="Y53" i="10"/>
  <c r="Y52" i="10"/>
  <c r="Y51" i="10"/>
  <c r="Y50" i="10"/>
  <c r="Y49" i="10"/>
  <c r="Y48" i="10"/>
  <c r="Y47" i="10"/>
  <c r="Y46" i="10"/>
  <c r="Y45" i="10"/>
  <c r="Y44" i="10"/>
  <c r="Y43" i="10"/>
  <c r="Y42" i="10"/>
  <c r="Y41" i="10"/>
  <c r="Y40" i="10"/>
  <c r="Y39" i="10"/>
  <c r="Y38" i="10"/>
  <c r="Y37" i="10"/>
  <c r="Y36" i="10"/>
  <c r="Y35" i="10"/>
  <c r="Y34" i="10"/>
  <c r="Y33" i="10"/>
  <c r="Y32" i="10"/>
  <c r="Y31" i="10"/>
  <c r="Y30" i="10"/>
  <c r="Y29" i="10"/>
  <c r="Y28" i="10"/>
  <c r="Y27" i="10"/>
  <c r="Y26" i="10"/>
  <c r="Y25" i="10"/>
  <c r="Y24" i="10"/>
  <c r="Y23" i="10"/>
  <c r="Y21" i="10"/>
  <c r="Y18" i="10"/>
  <c r="Y9" i="10"/>
  <c r="X160" i="10"/>
  <c r="X159" i="10"/>
  <c r="X158" i="10"/>
  <c r="X157" i="10"/>
  <c r="X156" i="10"/>
  <c r="X155" i="10"/>
  <c r="X154" i="10"/>
  <c r="X153" i="10"/>
  <c r="X152" i="10"/>
  <c r="X151" i="10"/>
  <c r="X150" i="10"/>
  <c r="X149" i="10"/>
  <c r="X148" i="10"/>
  <c r="X147" i="10"/>
  <c r="X146" i="10"/>
  <c r="X145" i="10"/>
  <c r="X144" i="10"/>
  <c r="X143" i="10"/>
  <c r="X142" i="10"/>
  <c r="X141" i="10"/>
  <c r="X140" i="10"/>
  <c r="X139" i="10"/>
  <c r="X138" i="10"/>
  <c r="X137" i="10"/>
  <c r="X136" i="10"/>
  <c r="X135" i="10"/>
  <c r="X134" i="10"/>
  <c r="X133" i="10"/>
  <c r="X132" i="10"/>
  <c r="X131" i="10"/>
  <c r="X130" i="10"/>
  <c r="X129" i="10"/>
  <c r="X128" i="10"/>
  <c r="X127" i="10"/>
  <c r="X126" i="10"/>
  <c r="X125" i="10"/>
  <c r="X124" i="10"/>
  <c r="X123" i="10"/>
  <c r="X122" i="10"/>
  <c r="X121" i="10"/>
  <c r="X120" i="10"/>
  <c r="X119" i="10"/>
  <c r="X118" i="10"/>
  <c r="X117" i="10"/>
  <c r="X116" i="10"/>
  <c r="X115" i="10"/>
  <c r="X114" i="10"/>
  <c r="X113" i="10"/>
  <c r="X112" i="10"/>
  <c r="X111" i="10"/>
  <c r="X110" i="10"/>
  <c r="X109" i="10"/>
  <c r="X108" i="10"/>
  <c r="X107" i="10"/>
  <c r="X106" i="10"/>
  <c r="X105" i="10"/>
  <c r="X104" i="10"/>
  <c r="X103" i="10"/>
  <c r="X102" i="10"/>
  <c r="X101" i="10"/>
  <c r="X100" i="10"/>
  <c r="X99" i="10"/>
  <c r="X98" i="10"/>
  <c r="X97" i="10"/>
  <c r="X96" i="10"/>
  <c r="X95" i="10"/>
  <c r="X94" i="10"/>
  <c r="X93" i="10"/>
  <c r="X92" i="10"/>
  <c r="X91" i="10"/>
  <c r="X90" i="10"/>
  <c r="X89" i="10"/>
  <c r="X88" i="10"/>
  <c r="X87" i="10"/>
  <c r="X86" i="10"/>
  <c r="X85" i="10"/>
  <c r="X84" i="10"/>
  <c r="X83" i="10"/>
  <c r="X82" i="10"/>
  <c r="X81" i="10"/>
  <c r="X80" i="10"/>
  <c r="X79" i="10"/>
  <c r="X78" i="10"/>
  <c r="X77" i="10"/>
  <c r="X76" i="10"/>
  <c r="X75" i="10"/>
  <c r="X74" i="10"/>
  <c r="X73" i="10"/>
  <c r="X72" i="10"/>
  <c r="X71" i="10"/>
  <c r="X70" i="10"/>
  <c r="X69" i="10"/>
  <c r="X68" i="10"/>
  <c r="X67" i="10"/>
  <c r="X66" i="10"/>
  <c r="X65" i="10"/>
  <c r="X64" i="10"/>
  <c r="X63" i="10"/>
  <c r="X62" i="10"/>
  <c r="X61" i="10"/>
  <c r="X60" i="10"/>
  <c r="X59" i="10"/>
  <c r="X58" i="10"/>
  <c r="X57" i="10"/>
  <c r="X56" i="10"/>
  <c r="X55" i="10"/>
  <c r="X54" i="10"/>
  <c r="X53" i="10"/>
  <c r="X52" i="10"/>
  <c r="X51" i="10"/>
  <c r="X50" i="10"/>
  <c r="X49" i="10"/>
  <c r="X48" i="10"/>
  <c r="X47" i="10"/>
  <c r="X46" i="10"/>
  <c r="X45" i="10"/>
  <c r="X44" i="10"/>
  <c r="X43" i="10"/>
  <c r="X42" i="10"/>
  <c r="X41" i="10"/>
  <c r="X40" i="10"/>
  <c r="X39" i="10"/>
  <c r="X38" i="10"/>
  <c r="X37" i="10"/>
  <c r="X36" i="10"/>
  <c r="X35" i="10"/>
  <c r="X34" i="10"/>
  <c r="X33" i="10"/>
  <c r="X32" i="10"/>
  <c r="X31" i="10"/>
  <c r="X30" i="10"/>
  <c r="X29" i="10"/>
  <c r="X28" i="10"/>
  <c r="X27" i="10"/>
  <c r="X26" i="10"/>
  <c r="X25" i="10"/>
  <c r="X24" i="10"/>
  <c r="X23" i="10"/>
  <c r="X21" i="10"/>
  <c r="X18" i="10"/>
  <c r="X10" i="10"/>
  <c r="X9" i="10"/>
  <c r="W160" i="10"/>
  <c r="W159" i="10"/>
  <c r="W158" i="10"/>
  <c r="W157" i="10"/>
  <c r="W156" i="10"/>
  <c r="AB156" i="10" s="1"/>
  <c r="W155" i="10"/>
  <c r="W154" i="10"/>
  <c r="AB154" i="10" s="1"/>
  <c r="W153" i="10"/>
  <c r="AB153" i="10" s="1"/>
  <c r="W152" i="10"/>
  <c r="W151" i="10"/>
  <c r="W150" i="10"/>
  <c r="W149" i="10"/>
  <c r="W148" i="10"/>
  <c r="W147" i="10"/>
  <c r="W146" i="10"/>
  <c r="W145" i="10"/>
  <c r="W144" i="10"/>
  <c r="W143" i="10"/>
  <c r="W142" i="10"/>
  <c r="W141" i="10"/>
  <c r="W140" i="10"/>
  <c r="W139" i="10"/>
  <c r="W138" i="10"/>
  <c r="W137" i="10"/>
  <c r="W136" i="10"/>
  <c r="W135" i="10"/>
  <c r="W134" i="10"/>
  <c r="W133" i="10"/>
  <c r="W132" i="10"/>
  <c r="W131" i="10"/>
  <c r="W130" i="10"/>
  <c r="W129" i="10"/>
  <c r="W128" i="10"/>
  <c r="W127" i="10"/>
  <c r="W126" i="10"/>
  <c r="W125" i="10"/>
  <c r="W124" i="10"/>
  <c r="W123" i="10"/>
  <c r="W122" i="10"/>
  <c r="W121" i="10"/>
  <c r="W120" i="10"/>
  <c r="W119" i="10"/>
  <c r="W118" i="10"/>
  <c r="W117" i="10"/>
  <c r="W116" i="10"/>
  <c r="W115" i="10"/>
  <c r="W114" i="10"/>
  <c r="W113" i="10"/>
  <c r="W112" i="10"/>
  <c r="W111" i="10"/>
  <c r="W110" i="10"/>
  <c r="W109" i="10"/>
  <c r="W108" i="10"/>
  <c r="W107" i="10"/>
  <c r="W106" i="10"/>
  <c r="W105" i="10"/>
  <c r="W104" i="10"/>
  <c r="W103" i="10"/>
  <c r="W102" i="10"/>
  <c r="W101" i="10"/>
  <c r="W100" i="10"/>
  <c r="W99" i="10"/>
  <c r="W98" i="10"/>
  <c r="W97" i="10"/>
  <c r="W96" i="10"/>
  <c r="W95" i="10"/>
  <c r="W94" i="10"/>
  <c r="W93" i="10"/>
  <c r="W92" i="10"/>
  <c r="W91" i="10"/>
  <c r="W90" i="10"/>
  <c r="W89" i="10"/>
  <c r="W88" i="10"/>
  <c r="W87" i="10"/>
  <c r="W86" i="10"/>
  <c r="W85" i="10"/>
  <c r="W84" i="10"/>
  <c r="W83" i="10"/>
  <c r="W82" i="10"/>
  <c r="W81" i="10"/>
  <c r="W80" i="10"/>
  <c r="W79" i="10"/>
  <c r="W78" i="10"/>
  <c r="W77" i="10"/>
  <c r="W76" i="10"/>
  <c r="W75" i="10"/>
  <c r="W74" i="10"/>
  <c r="W73" i="10"/>
  <c r="W72" i="10"/>
  <c r="W71" i="10"/>
  <c r="W70" i="10"/>
  <c r="W69" i="10"/>
  <c r="W68" i="10"/>
  <c r="W67" i="10"/>
  <c r="W66" i="10"/>
  <c r="W65" i="10"/>
  <c r="W64" i="10"/>
  <c r="W63" i="10"/>
  <c r="W62" i="10"/>
  <c r="W61" i="10"/>
  <c r="W60" i="10"/>
  <c r="W59" i="10"/>
  <c r="W58" i="10"/>
  <c r="W57" i="10"/>
  <c r="W56" i="10"/>
  <c r="W55" i="10"/>
  <c r="W54" i="10"/>
  <c r="W53" i="10"/>
  <c r="W52" i="10"/>
  <c r="W51" i="10"/>
  <c r="W50" i="10"/>
  <c r="W49" i="10"/>
  <c r="W48" i="10"/>
  <c r="W47" i="10"/>
  <c r="W46" i="10"/>
  <c r="W45" i="10"/>
  <c r="W44" i="10"/>
  <c r="W43" i="10"/>
  <c r="W42" i="10"/>
  <c r="W41" i="10"/>
  <c r="W40" i="10"/>
  <c r="W39" i="10"/>
  <c r="W38" i="10"/>
  <c r="W37" i="10"/>
  <c r="W36" i="10"/>
  <c r="W35" i="10"/>
  <c r="W34" i="10"/>
  <c r="W33" i="10"/>
  <c r="W32" i="10"/>
  <c r="W31" i="10"/>
  <c r="W30" i="10"/>
  <c r="W29" i="10"/>
  <c r="W28" i="10"/>
  <c r="W27" i="10"/>
  <c r="W26" i="10"/>
  <c r="W25" i="10"/>
  <c r="W24" i="10"/>
  <c r="W23" i="10"/>
  <c r="W21" i="10"/>
  <c r="W18" i="10"/>
  <c r="W10" i="10"/>
  <c r="W9" i="10"/>
  <c r="V160" i="10"/>
  <c r="V159" i="10"/>
  <c r="V158" i="10"/>
  <c r="V157" i="10"/>
  <c r="V156" i="10"/>
  <c r="V155" i="10"/>
  <c r="V154" i="10"/>
  <c r="V153" i="10"/>
  <c r="V152" i="10"/>
  <c r="V151" i="10"/>
  <c r="V150" i="10"/>
  <c r="V149" i="10"/>
  <c r="V148" i="10"/>
  <c r="V147" i="10"/>
  <c r="V146" i="10"/>
  <c r="V145" i="10"/>
  <c r="V144" i="10"/>
  <c r="V143" i="10"/>
  <c r="V142" i="10"/>
  <c r="V141" i="10"/>
  <c r="V140" i="10"/>
  <c r="V139" i="10"/>
  <c r="V138" i="10"/>
  <c r="V137" i="10"/>
  <c r="V136" i="10"/>
  <c r="V135" i="10"/>
  <c r="V134" i="10"/>
  <c r="V133" i="10"/>
  <c r="V132" i="10"/>
  <c r="V131" i="10"/>
  <c r="V130" i="10"/>
  <c r="V129" i="10"/>
  <c r="V128" i="10"/>
  <c r="V127" i="10"/>
  <c r="V126" i="10"/>
  <c r="V125" i="10"/>
  <c r="V124" i="10"/>
  <c r="V123" i="10"/>
  <c r="V122" i="10"/>
  <c r="V121" i="10"/>
  <c r="V120" i="10"/>
  <c r="V119" i="10"/>
  <c r="V118" i="10"/>
  <c r="V117" i="10"/>
  <c r="V116" i="10"/>
  <c r="V115" i="10"/>
  <c r="V114" i="10"/>
  <c r="V113" i="10"/>
  <c r="V112" i="10"/>
  <c r="V111" i="10"/>
  <c r="V110" i="10"/>
  <c r="V109" i="10"/>
  <c r="V108" i="10"/>
  <c r="V107" i="10"/>
  <c r="V106" i="10"/>
  <c r="V105" i="10"/>
  <c r="V104" i="10"/>
  <c r="V103" i="10"/>
  <c r="V102" i="10"/>
  <c r="V101" i="10"/>
  <c r="V100" i="10"/>
  <c r="V99" i="10"/>
  <c r="V98" i="10"/>
  <c r="V97" i="10"/>
  <c r="V96" i="10"/>
  <c r="V95" i="10"/>
  <c r="V94" i="10"/>
  <c r="V93" i="10"/>
  <c r="V92" i="10"/>
  <c r="V91" i="10"/>
  <c r="V90" i="10"/>
  <c r="V89" i="10"/>
  <c r="V88" i="10"/>
  <c r="V87" i="10"/>
  <c r="V86" i="10"/>
  <c r="V85" i="10"/>
  <c r="V84" i="10"/>
  <c r="V83" i="10"/>
  <c r="V82" i="10"/>
  <c r="V81" i="10"/>
  <c r="V80" i="10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21" i="10"/>
  <c r="V18" i="10"/>
  <c r="V10" i="10"/>
  <c r="V9" i="10"/>
  <c r="AA304" i="12"/>
  <c r="AA303" i="12"/>
  <c r="AA302" i="12"/>
  <c r="AA301" i="12"/>
  <c r="AA300" i="12"/>
  <c r="AA299" i="12"/>
  <c r="AA298" i="12"/>
  <c r="AA297" i="12"/>
  <c r="AA296" i="12"/>
  <c r="AA295" i="12"/>
  <c r="AA294" i="12"/>
  <c r="AA293" i="12"/>
  <c r="AA292" i="12"/>
  <c r="AA291" i="12"/>
  <c r="AA290" i="12"/>
  <c r="AA289" i="12"/>
  <c r="AA288" i="12"/>
  <c r="AA287" i="12"/>
  <c r="AA286" i="12"/>
  <c r="AA285" i="12"/>
  <c r="AA284" i="12"/>
  <c r="AA283" i="12"/>
  <c r="AA282" i="12"/>
  <c r="AA281" i="12"/>
  <c r="AA280" i="12"/>
  <c r="AA279" i="12"/>
  <c r="AA278" i="12"/>
  <c r="AA277" i="12"/>
  <c r="AA276" i="12"/>
  <c r="AA275" i="12"/>
  <c r="AA274" i="12"/>
  <c r="AA273" i="12"/>
  <c r="AA272" i="12"/>
  <c r="AA271" i="12"/>
  <c r="AA270" i="12"/>
  <c r="AA269" i="12"/>
  <c r="AA268" i="12"/>
  <c r="AA267" i="12"/>
  <c r="AA266" i="12"/>
  <c r="AA265" i="12"/>
  <c r="AA264" i="12"/>
  <c r="AA263" i="12"/>
  <c r="AA262" i="12"/>
  <c r="AA261" i="12"/>
  <c r="AA260" i="12"/>
  <c r="AA259" i="12"/>
  <c r="AA258" i="12"/>
  <c r="AA257" i="12"/>
  <c r="AA256" i="12"/>
  <c r="AA255" i="12"/>
  <c r="AA254" i="12"/>
  <c r="AA253" i="12"/>
  <c r="AA252" i="12"/>
  <c r="AA251" i="12"/>
  <c r="AA250" i="12"/>
  <c r="AA249" i="12"/>
  <c r="AA248" i="12"/>
  <c r="AA247" i="12"/>
  <c r="AA246" i="12"/>
  <c r="AA245" i="12"/>
  <c r="AA244" i="12"/>
  <c r="AA243" i="12"/>
  <c r="AA242" i="12"/>
  <c r="AA241" i="12"/>
  <c r="AA240" i="12"/>
  <c r="AA239" i="12"/>
  <c r="AA238" i="12"/>
  <c r="AA237" i="12"/>
  <c r="AA236" i="12"/>
  <c r="AA235" i="12"/>
  <c r="AA234" i="12"/>
  <c r="AA233" i="12"/>
  <c r="AA232" i="12"/>
  <c r="AA231" i="12"/>
  <c r="AA230" i="12"/>
  <c r="AA229" i="12"/>
  <c r="AA228" i="12"/>
  <c r="AA227" i="12"/>
  <c r="AA226" i="12"/>
  <c r="AA225" i="12"/>
  <c r="AA224" i="12"/>
  <c r="AA223" i="12"/>
  <c r="AA222" i="12"/>
  <c r="AA221" i="12"/>
  <c r="AA220" i="12"/>
  <c r="AA219" i="12"/>
  <c r="AA218" i="12"/>
  <c r="AA217" i="12"/>
  <c r="AA216" i="12"/>
  <c r="AA215" i="12"/>
  <c r="AA214" i="12"/>
  <c r="AA213" i="12"/>
  <c r="AA212" i="12"/>
  <c r="AA211" i="12"/>
  <c r="AA210" i="12"/>
  <c r="AA209" i="12"/>
  <c r="AA208" i="12"/>
  <c r="AA207" i="12"/>
  <c r="AA206" i="12"/>
  <c r="AA205" i="12"/>
  <c r="AA204" i="12"/>
  <c r="AA203" i="12"/>
  <c r="AA202" i="12"/>
  <c r="AA201" i="12"/>
  <c r="AA200" i="12"/>
  <c r="AA199" i="12"/>
  <c r="AA198" i="12"/>
  <c r="AA197" i="12"/>
  <c r="AA196" i="12"/>
  <c r="AA195" i="12"/>
  <c r="AA194" i="12"/>
  <c r="AA193" i="12"/>
  <c r="AA192" i="12"/>
  <c r="AA191" i="12"/>
  <c r="AA190" i="12"/>
  <c r="AA189" i="12"/>
  <c r="AA188" i="12"/>
  <c r="AA187" i="12"/>
  <c r="AA186" i="12"/>
  <c r="AA185" i="12"/>
  <c r="AA184" i="12"/>
  <c r="AA183" i="12"/>
  <c r="AA182" i="12"/>
  <c r="AA181" i="12"/>
  <c r="AA180" i="12"/>
  <c r="AA179" i="12"/>
  <c r="AA178" i="12"/>
  <c r="AA177" i="12"/>
  <c r="AA176" i="12"/>
  <c r="AA175" i="12"/>
  <c r="AA174" i="12"/>
  <c r="AA173" i="12"/>
  <c r="AA172" i="12"/>
  <c r="AA171" i="12"/>
  <c r="AA170" i="12"/>
  <c r="AA169" i="12"/>
  <c r="AA168" i="12"/>
  <c r="AA167" i="12"/>
  <c r="AA166" i="12"/>
  <c r="AA165" i="12"/>
  <c r="AA164" i="12"/>
  <c r="AA163" i="12"/>
  <c r="AA162" i="12"/>
  <c r="AA161" i="12"/>
  <c r="AA160" i="12"/>
  <c r="AA159" i="12"/>
  <c r="AA158" i="12"/>
  <c r="AA157" i="12"/>
  <c r="AA156" i="12"/>
  <c r="AA155" i="12"/>
  <c r="AA154" i="12"/>
  <c r="AA153" i="12"/>
  <c r="AA152" i="12"/>
  <c r="AA151" i="12"/>
  <c r="AA150" i="12"/>
  <c r="AA149" i="12"/>
  <c r="AA148" i="12"/>
  <c r="AA147" i="12"/>
  <c r="AA146" i="12"/>
  <c r="AA145" i="12"/>
  <c r="AA144" i="12"/>
  <c r="AA143" i="12"/>
  <c r="AA142" i="12"/>
  <c r="AA141" i="12"/>
  <c r="AA140" i="12"/>
  <c r="AA139" i="12"/>
  <c r="AA138" i="12"/>
  <c r="AA137" i="12"/>
  <c r="AA136" i="12"/>
  <c r="AA135" i="12"/>
  <c r="AA134" i="12"/>
  <c r="AA133" i="12"/>
  <c r="AA132" i="12"/>
  <c r="AA131" i="12"/>
  <c r="AA130" i="12"/>
  <c r="AA129" i="12"/>
  <c r="AA128" i="12"/>
  <c r="AA127" i="12"/>
  <c r="AA126" i="12"/>
  <c r="AA125" i="12"/>
  <c r="AA124" i="12"/>
  <c r="AA123" i="12"/>
  <c r="AA122" i="12"/>
  <c r="AA121" i="12"/>
  <c r="AA120" i="12"/>
  <c r="AA119" i="12"/>
  <c r="AA118" i="12"/>
  <c r="AA117" i="12"/>
  <c r="AA116" i="12"/>
  <c r="AA115" i="12"/>
  <c r="AA114" i="12"/>
  <c r="AA113" i="12"/>
  <c r="AA112" i="12"/>
  <c r="AA111" i="12"/>
  <c r="AA110" i="12"/>
  <c r="AA109" i="12"/>
  <c r="AA108" i="12"/>
  <c r="AA107" i="12"/>
  <c r="AA106" i="12"/>
  <c r="AA105" i="12"/>
  <c r="AA104" i="12"/>
  <c r="AA103" i="12"/>
  <c r="AA102" i="12"/>
  <c r="AA101" i="12"/>
  <c r="AA100" i="12"/>
  <c r="AA99" i="12"/>
  <c r="AA98" i="12"/>
  <c r="AA97" i="12"/>
  <c r="AA96" i="12"/>
  <c r="AA95" i="12"/>
  <c r="AA94" i="12"/>
  <c r="AA93" i="12"/>
  <c r="AA92" i="12"/>
  <c r="AA91" i="12"/>
  <c r="AA90" i="12"/>
  <c r="AA89" i="12"/>
  <c r="AA88" i="12"/>
  <c r="AA87" i="12"/>
  <c r="AA86" i="12"/>
  <c r="AA85" i="12"/>
  <c r="AA84" i="12"/>
  <c r="AA83" i="12"/>
  <c r="AA82" i="12"/>
  <c r="AA81" i="12"/>
  <c r="AA80" i="12"/>
  <c r="AA79" i="12"/>
  <c r="AA78" i="12"/>
  <c r="AA77" i="12"/>
  <c r="AA76" i="12"/>
  <c r="AA75" i="12"/>
  <c r="AA74" i="12"/>
  <c r="AA73" i="12"/>
  <c r="AA72" i="12"/>
  <c r="AA71" i="12"/>
  <c r="AA70" i="12"/>
  <c r="AA69" i="12"/>
  <c r="AA68" i="12"/>
  <c r="AA67" i="12"/>
  <c r="AA66" i="12"/>
  <c r="AA65" i="12"/>
  <c r="AA64" i="12"/>
  <c r="AA63" i="12"/>
  <c r="AA62" i="12"/>
  <c r="AA61" i="12"/>
  <c r="AA60" i="12"/>
  <c r="AA59" i="12"/>
  <c r="AA58" i="12"/>
  <c r="AA57" i="12"/>
  <c r="AA56" i="12"/>
  <c r="AA55" i="12"/>
  <c r="AA54" i="12"/>
  <c r="AA53" i="12"/>
  <c r="AA52" i="12"/>
  <c r="AA51" i="12"/>
  <c r="AA50" i="12"/>
  <c r="AA49" i="12"/>
  <c r="AA48" i="12"/>
  <c r="AA47" i="12"/>
  <c r="AA46" i="12"/>
  <c r="AA45" i="12"/>
  <c r="AA44" i="12"/>
  <c r="AA43" i="12"/>
  <c r="AA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25" i="12"/>
  <c r="AA24" i="12"/>
  <c r="AA23" i="12"/>
  <c r="AA22" i="12"/>
  <c r="AA17" i="12"/>
  <c r="AA16" i="12"/>
  <c r="AA3" i="12"/>
  <c r="V304" i="12"/>
  <c r="V303" i="12"/>
  <c r="V302" i="12"/>
  <c r="V301" i="12"/>
  <c r="V300" i="12"/>
  <c r="V299" i="12"/>
  <c r="V298" i="12"/>
  <c r="V297" i="12"/>
  <c r="V296" i="12"/>
  <c r="V295" i="12"/>
  <c r="V294" i="12"/>
  <c r="V293" i="12"/>
  <c r="V292" i="12"/>
  <c r="V291" i="12"/>
  <c r="V290" i="12"/>
  <c r="V289" i="12"/>
  <c r="V288" i="12"/>
  <c r="V287" i="12"/>
  <c r="V286" i="12"/>
  <c r="V285" i="12"/>
  <c r="V284" i="12"/>
  <c r="V283" i="12"/>
  <c r="V282" i="12"/>
  <c r="V281" i="12"/>
  <c r="V280" i="12"/>
  <c r="V279" i="12"/>
  <c r="V278" i="12"/>
  <c r="V277" i="12"/>
  <c r="V276" i="12"/>
  <c r="V275" i="12"/>
  <c r="V274" i="12"/>
  <c r="V273" i="12"/>
  <c r="V272" i="12"/>
  <c r="V271" i="12"/>
  <c r="V270" i="12"/>
  <c r="V269" i="12"/>
  <c r="V268" i="12"/>
  <c r="V267" i="12"/>
  <c r="V266" i="12"/>
  <c r="V265" i="12"/>
  <c r="V264" i="12"/>
  <c r="V263" i="12"/>
  <c r="V262" i="12"/>
  <c r="V261" i="12"/>
  <c r="V260" i="12"/>
  <c r="V259" i="12"/>
  <c r="V258" i="12"/>
  <c r="V257" i="12"/>
  <c r="V256" i="12"/>
  <c r="V255" i="12"/>
  <c r="V254" i="12"/>
  <c r="V253" i="12"/>
  <c r="V252" i="12"/>
  <c r="V251" i="12"/>
  <c r="V250" i="12"/>
  <c r="V249" i="12"/>
  <c r="V248" i="12"/>
  <c r="V247" i="12"/>
  <c r="V246" i="12"/>
  <c r="V245" i="12"/>
  <c r="V244" i="12"/>
  <c r="V243" i="12"/>
  <c r="V242" i="12"/>
  <c r="V241" i="12"/>
  <c r="V240" i="12"/>
  <c r="V239" i="12"/>
  <c r="V238" i="12"/>
  <c r="V237" i="12"/>
  <c r="V236" i="12"/>
  <c r="V235" i="12"/>
  <c r="V234" i="12"/>
  <c r="V233" i="12"/>
  <c r="V232" i="12"/>
  <c r="V231" i="12"/>
  <c r="V230" i="12"/>
  <c r="V229" i="12"/>
  <c r="V228" i="12"/>
  <c r="V227" i="12"/>
  <c r="V226" i="12"/>
  <c r="V225" i="12"/>
  <c r="V224" i="12"/>
  <c r="V223" i="12"/>
  <c r="V222" i="12"/>
  <c r="V221" i="12"/>
  <c r="V220" i="12"/>
  <c r="V219" i="12"/>
  <c r="V218" i="12"/>
  <c r="V217" i="12"/>
  <c r="V216" i="12"/>
  <c r="V215" i="12"/>
  <c r="V214" i="12"/>
  <c r="V213" i="12"/>
  <c r="V212" i="12"/>
  <c r="V211" i="12"/>
  <c r="V210" i="12"/>
  <c r="V209" i="12"/>
  <c r="V208" i="12"/>
  <c r="V207" i="12"/>
  <c r="V206" i="12"/>
  <c r="V205" i="12"/>
  <c r="V204" i="12"/>
  <c r="V203" i="12"/>
  <c r="V202" i="12"/>
  <c r="V201" i="12"/>
  <c r="V200" i="12"/>
  <c r="V199" i="12"/>
  <c r="V198" i="12"/>
  <c r="V197" i="12"/>
  <c r="V196" i="12"/>
  <c r="V195" i="12"/>
  <c r="V194" i="12"/>
  <c r="V193" i="12"/>
  <c r="V192" i="12"/>
  <c r="V191" i="12"/>
  <c r="V190" i="12"/>
  <c r="V189" i="12"/>
  <c r="V188" i="12"/>
  <c r="V187" i="12"/>
  <c r="V186" i="12"/>
  <c r="V185" i="12"/>
  <c r="V184" i="12"/>
  <c r="V183" i="12"/>
  <c r="V182" i="12"/>
  <c r="V181" i="12"/>
  <c r="V180" i="12"/>
  <c r="V179" i="12"/>
  <c r="V178" i="12"/>
  <c r="V177" i="12"/>
  <c r="V176" i="12"/>
  <c r="V175" i="12"/>
  <c r="V174" i="12"/>
  <c r="V173" i="12"/>
  <c r="V172" i="12"/>
  <c r="V171" i="12"/>
  <c r="V170" i="12"/>
  <c r="V169" i="12"/>
  <c r="V168" i="12"/>
  <c r="V167" i="12"/>
  <c r="V166" i="12"/>
  <c r="V165" i="12"/>
  <c r="V164" i="12"/>
  <c r="V163" i="12"/>
  <c r="V162" i="12"/>
  <c r="V161" i="12"/>
  <c r="V160" i="12"/>
  <c r="V159" i="12"/>
  <c r="V158" i="12"/>
  <c r="V157" i="12"/>
  <c r="V156" i="12"/>
  <c r="V155" i="12"/>
  <c r="V154" i="12"/>
  <c r="V153" i="12"/>
  <c r="V152" i="12"/>
  <c r="V151" i="12"/>
  <c r="V150" i="12"/>
  <c r="V149" i="12"/>
  <c r="V148" i="12"/>
  <c r="V147" i="12"/>
  <c r="V146" i="12"/>
  <c r="V145" i="12"/>
  <c r="V144" i="12"/>
  <c r="V143" i="12"/>
  <c r="V142" i="12"/>
  <c r="V141" i="12"/>
  <c r="V140" i="12"/>
  <c r="V139" i="12"/>
  <c r="V138" i="12"/>
  <c r="V137" i="12"/>
  <c r="V136" i="12"/>
  <c r="V135" i="12"/>
  <c r="V134" i="12"/>
  <c r="V133" i="12"/>
  <c r="V132" i="12"/>
  <c r="V131" i="12"/>
  <c r="V130" i="12"/>
  <c r="V129" i="12"/>
  <c r="V128" i="12"/>
  <c r="V127" i="12"/>
  <c r="V126" i="12"/>
  <c r="V125" i="12"/>
  <c r="V124" i="12"/>
  <c r="V123" i="12"/>
  <c r="V122" i="12"/>
  <c r="V121" i="12"/>
  <c r="V120" i="12"/>
  <c r="V119" i="12"/>
  <c r="V118" i="12"/>
  <c r="V117" i="12"/>
  <c r="V116" i="12"/>
  <c r="V115" i="12"/>
  <c r="V114" i="12"/>
  <c r="V113" i="12"/>
  <c r="V112" i="12"/>
  <c r="V111" i="12"/>
  <c r="V110" i="12"/>
  <c r="V109" i="12"/>
  <c r="V108" i="12"/>
  <c r="V107" i="12"/>
  <c r="V106" i="12"/>
  <c r="V105" i="12"/>
  <c r="V104" i="12"/>
  <c r="V103" i="12"/>
  <c r="V102" i="12"/>
  <c r="V101" i="12"/>
  <c r="V100" i="12"/>
  <c r="V99" i="12"/>
  <c r="V98" i="12"/>
  <c r="V97" i="12"/>
  <c r="V96" i="12"/>
  <c r="V95" i="12"/>
  <c r="V94" i="12"/>
  <c r="V93" i="12"/>
  <c r="V92" i="12"/>
  <c r="V91" i="12"/>
  <c r="V90" i="12"/>
  <c r="V89" i="12"/>
  <c r="V88" i="12"/>
  <c r="V87" i="12"/>
  <c r="V86" i="12"/>
  <c r="V85" i="12"/>
  <c r="V84" i="12"/>
  <c r="V83" i="12"/>
  <c r="V82" i="12"/>
  <c r="V81" i="12"/>
  <c r="V80" i="12"/>
  <c r="V79" i="12"/>
  <c r="V78" i="12"/>
  <c r="V77" i="12"/>
  <c r="V76" i="12"/>
  <c r="V75" i="12"/>
  <c r="V74" i="12"/>
  <c r="V73" i="12"/>
  <c r="V72" i="12"/>
  <c r="V71" i="12"/>
  <c r="V70" i="12"/>
  <c r="V69" i="12"/>
  <c r="V68" i="12"/>
  <c r="V67" i="12"/>
  <c r="V66" i="12"/>
  <c r="V65" i="12"/>
  <c r="V64" i="12"/>
  <c r="V63" i="12"/>
  <c r="V62" i="12"/>
  <c r="V61" i="12"/>
  <c r="V60" i="12"/>
  <c r="V59" i="12"/>
  <c r="V58" i="12"/>
  <c r="V57" i="12"/>
  <c r="V56" i="12"/>
  <c r="V55" i="12"/>
  <c r="V54" i="12"/>
  <c r="V53" i="12"/>
  <c r="V52" i="12"/>
  <c r="V51" i="12"/>
  <c r="V50" i="12"/>
  <c r="V49" i="12"/>
  <c r="V48" i="12"/>
  <c r="V47" i="12"/>
  <c r="V46" i="12"/>
  <c r="V45" i="12"/>
  <c r="V44" i="12"/>
  <c r="V43" i="12"/>
  <c r="V42" i="12"/>
  <c r="V41" i="12"/>
  <c r="V40" i="12"/>
  <c r="V39" i="12"/>
  <c r="V38" i="12"/>
  <c r="V37" i="12"/>
  <c r="V36" i="12"/>
  <c r="V35" i="12"/>
  <c r="V34" i="12"/>
  <c r="V33" i="12"/>
  <c r="V32" i="12"/>
  <c r="V31" i="12"/>
  <c r="V30" i="12"/>
  <c r="V29" i="12"/>
  <c r="V28" i="12"/>
  <c r="V27" i="12"/>
  <c r="V26" i="12"/>
  <c r="V25" i="12"/>
  <c r="V24" i="12"/>
  <c r="V23" i="12"/>
  <c r="V22" i="12"/>
  <c r="V17" i="12"/>
  <c r="V16" i="12"/>
  <c r="V3" i="12"/>
  <c r="V5" i="11"/>
  <c r="W306" i="12"/>
  <c r="W305" i="12"/>
  <c r="W304" i="12"/>
  <c r="W303" i="12"/>
  <c r="W302" i="12"/>
  <c r="W301" i="12"/>
  <c r="W300" i="12"/>
  <c r="W299" i="12"/>
  <c r="W298" i="12"/>
  <c r="W297" i="12"/>
  <c r="W296" i="12"/>
  <c r="W295" i="12"/>
  <c r="W294" i="12"/>
  <c r="W293" i="12"/>
  <c r="W292" i="12"/>
  <c r="W291" i="12"/>
  <c r="W290" i="12"/>
  <c r="W289" i="12"/>
  <c r="W288" i="12"/>
  <c r="W287" i="12"/>
  <c r="W286" i="12"/>
  <c r="W285" i="12"/>
  <c r="W284" i="12"/>
  <c r="W283" i="12"/>
  <c r="W282" i="12"/>
  <c r="W281" i="12"/>
  <c r="W280" i="12"/>
  <c r="W279" i="12"/>
  <c r="W278" i="12"/>
  <c r="W277" i="12"/>
  <c r="W276" i="12"/>
  <c r="W275" i="12"/>
  <c r="W274" i="12"/>
  <c r="W273" i="12"/>
  <c r="W272" i="12"/>
  <c r="W271" i="12"/>
  <c r="W270" i="12"/>
  <c r="W269" i="12"/>
  <c r="W268" i="12"/>
  <c r="W267" i="12"/>
  <c r="W266" i="12"/>
  <c r="W265" i="12"/>
  <c r="W264" i="12"/>
  <c r="W263" i="12"/>
  <c r="W262" i="12"/>
  <c r="W261" i="12"/>
  <c r="W260" i="12"/>
  <c r="W259" i="12"/>
  <c r="W258" i="12"/>
  <c r="W257" i="12"/>
  <c r="W256" i="12"/>
  <c r="W255" i="12"/>
  <c r="W254" i="12"/>
  <c r="W253" i="12"/>
  <c r="W252" i="12"/>
  <c r="W251" i="12"/>
  <c r="W250" i="12"/>
  <c r="W249" i="12"/>
  <c r="W248" i="12"/>
  <c r="W247" i="12"/>
  <c r="W246" i="12"/>
  <c r="W245" i="12"/>
  <c r="W244" i="12"/>
  <c r="W243" i="12"/>
  <c r="W242" i="12"/>
  <c r="W241" i="12"/>
  <c r="W240" i="12"/>
  <c r="W239" i="12"/>
  <c r="W238" i="12"/>
  <c r="W237" i="12"/>
  <c r="W236" i="12"/>
  <c r="W235" i="12"/>
  <c r="W234" i="12"/>
  <c r="W233" i="12"/>
  <c r="W232" i="12"/>
  <c r="W231" i="12"/>
  <c r="W230" i="12"/>
  <c r="W229" i="12"/>
  <c r="W228" i="12"/>
  <c r="W227" i="12"/>
  <c r="W226" i="12"/>
  <c r="W225" i="12"/>
  <c r="W224" i="12"/>
  <c r="W223" i="12"/>
  <c r="W222" i="12"/>
  <c r="W221" i="12"/>
  <c r="W220" i="12"/>
  <c r="W219" i="12"/>
  <c r="W218" i="12"/>
  <c r="W217" i="12"/>
  <c r="W216" i="12"/>
  <c r="W215" i="12"/>
  <c r="W214" i="12"/>
  <c r="W213" i="12"/>
  <c r="W212" i="12"/>
  <c r="W211" i="12"/>
  <c r="W210" i="12"/>
  <c r="W209" i="12"/>
  <c r="W208" i="12"/>
  <c r="W207" i="12"/>
  <c r="W206" i="12"/>
  <c r="W205" i="12"/>
  <c r="W204" i="12"/>
  <c r="W203" i="12"/>
  <c r="W202" i="12"/>
  <c r="W201" i="12"/>
  <c r="W200" i="12"/>
  <c r="W199" i="12"/>
  <c r="W198" i="12"/>
  <c r="W197" i="12"/>
  <c r="W196" i="12"/>
  <c r="W195" i="12"/>
  <c r="W194" i="12"/>
  <c r="W193" i="12"/>
  <c r="W192" i="12"/>
  <c r="W191" i="12"/>
  <c r="W190" i="12"/>
  <c r="W189" i="12"/>
  <c r="W188" i="12"/>
  <c r="W187" i="12"/>
  <c r="W186" i="12"/>
  <c r="W185" i="12"/>
  <c r="W184" i="12"/>
  <c r="W183" i="12"/>
  <c r="W182" i="12"/>
  <c r="W181" i="12"/>
  <c r="W180" i="12"/>
  <c r="W179" i="12"/>
  <c r="W178" i="12"/>
  <c r="W177" i="12"/>
  <c r="W176" i="12"/>
  <c r="W175" i="12"/>
  <c r="W174" i="12"/>
  <c r="W173" i="12"/>
  <c r="W172" i="12"/>
  <c r="W171" i="12"/>
  <c r="W170" i="12"/>
  <c r="W169" i="12"/>
  <c r="W168" i="12"/>
  <c r="W167" i="12"/>
  <c r="W166" i="12"/>
  <c r="W165" i="12"/>
  <c r="W164" i="12"/>
  <c r="W163" i="12"/>
  <c r="W162" i="12"/>
  <c r="W161" i="12"/>
  <c r="W160" i="12"/>
  <c r="W159" i="12"/>
  <c r="W158" i="12"/>
  <c r="W157" i="12"/>
  <c r="W156" i="12"/>
  <c r="W155" i="12"/>
  <c r="W154" i="12"/>
  <c r="W153" i="12"/>
  <c r="W152" i="12"/>
  <c r="W151" i="12"/>
  <c r="W150" i="12"/>
  <c r="W149" i="12"/>
  <c r="W148" i="12"/>
  <c r="W147" i="12"/>
  <c r="W146" i="12"/>
  <c r="W145" i="12"/>
  <c r="W144" i="12"/>
  <c r="W143" i="12"/>
  <c r="W142" i="12"/>
  <c r="W141" i="12"/>
  <c r="W140" i="12"/>
  <c r="W139" i="12"/>
  <c r="W138" i="12"/>
  <c r="W137" i="12"/>
  <c r="W136" i="12"/>
  <c r="W135" i="12"/>
  <c r="W134" i="12"/>
  <c r="W133" i="12"/>
  <c r="W132" i="12"/>
  <c r="W131" i="12"/>
  <c r="W130" i="12"/>
  <c r="W129" i="12"/>
  <c r="W128" i="12"/>
  <c r="W127" i="12"/>
  <c r="W126" i="12"/>
  <c r="W125" i="12"/>
  <c r="W124" i="12"/>
  <c r="W123" i="12"/>
  <c r="W122" i="12"/>
  <c r="W121" i="12"/>
  <c r="W120" i="12"/>
  <c r="W119" i="12"/>
  <c r="W118" i="12"/>
  <c r="W117" i="12"/>
  <c r="W116" i="12"/>
  <c r="W115" i="12"/>
  <c r="W114" i="12"/>
  <c r="W113" i="12"/>
  <c r="W112" i="12"/>
  <c r="W111" i="12"/>
  <c r="W110" i="12"/>
  <c r="W109" i="12"/>
  <c r="W108" i="12"/>
  <c r="W107" i="12"/>
  <c r="W106" i="12"/>
  <c r="W105" i="12"/>
  <c r="W104" i="12"/>
  <c r="W103" i="12"/>
  <c r="W102" i="12"/>
  <c r="W101" i="12"/>
  <c r="W100" i="12"/>
  <c r="W99" i="12"/>
  <c r="W98" i="12"/>
  <c r="W97" i="12"/>
  <c r="W96" i="12"/>
  <c r="W95" i="12"/>
  <c r="W94" i="12"/>
  <c r="W93" i="12"/>
  <c r="W92" i="12"/>
  <c r="W91" i="12"/>
  <c r="W90" i="12"/>
  <c r="W89" i="12"/>
  <c r="W88" i="12"/>
  <c r="W87" i="12"/>
  <c r="W86" i="12"/>
  <c r="W85" i="12"/>
  <c r="W84" i="12"/>
  <c r="W83" i="12"/>
  <c r="W82" i="12"/>
  <c r="W81" i="12"/>
  <c r="W80" i="12"/>
  <c r="W79" i="12"/>
  <c r="W78" i="12"/>
  <c r="W77" i="12"/>
  <c r="W76" i="12"/>
  <c r="W75" i="12"/>
  <c r="W74" i="12"/>
  <c r="W73" i="12"/>
  <c r="W72" i="12"/>
  <c r="W71" i="12"/>
  <c r="W70" i="12"/>
  <c r="W69" i="12"/>
  <c r="W68" i="12"/>
  <c r="W67" i="12"/>
  <c r="W66" i="12"/>
  <c r="W65" i="12"/>
  <c r="W64" i="12"/>
  <c r="W63" i="12"/>
  <c r="W62" i="12"/>
  <c r="W61" i="12"/>
  <c r="W60" i="12"/>
  <c r="W59" i="12"/>
  <c r="W58" i="12"/>
  <c r="W57" i="12"/>
  <c r="W56" i="12"/>
  <c r="W55" i="12"/>
  <c r="W54" i="12"/>
  <c r="W53" i="12"/>
  <c r="W52" i="12"/>
  <c r="W51" i="12"/>
  <c r="W50" i="12"/>
  <c r="W49" i="12"/>
  <c r="W48" i="12"/>
  <c r="W47" i="12"/>
  <c r="W46" i="12"/>
  <c r="W45" i="12"/>
  <c r="W44" i="12"/>
  <c r="W43" i="12"/>
  <c r="W42" i="12"/>
  <c r="W41" i="12"/>
  <c r="W40" i="12"/>
  <c r="W39" i="12"/>
  <c r="W38" i="12"/>
  <c r="W37" i="12"/>
  <c r="W36" i="12"/>
  <c r="W35" i="12"/>
  <c r="W34" i="12"/>
  <c r="W33" i="12"/>
  <c r="W32" i="12"/>
  <c r="W31" i="12"/>
  <c r="W30" i="12"/>
  <c r="W29" i="12"/>
  <c r="W28" i="12"/>
  <c r="W27" i="12"/>
  <c r="W26" i="12"/>
  <c r="W25" i="12"/>
  <c r="W24" i="12"/>
  <c r="W23" i="12"/>
  <c r="W22" i="12"/>
  <c r="W17" i="12"/>
  <c r="W16" i="12"/>
  <c r="W3" i="12"/>
  <c r="X306" i="12"/>
  <c r="X305" i="12"/>
  <c r="X304" i="12"/>
  <c r="X303" i="12"/>
  <c r="X302" i="12"/>
  <c r="X301" i="12"/>
  <c r="X300" i="12"/>
  <c r="X299" i="12"/>
  <c r="X298" i="12"/>
  <c r="X297" i="12"/>
  <c r="X296" i="12"/>
  <c r="X295" i="12"/>
  <c r="X294" i="12"/>
  <c r="X293" i="12"/>
  <c r="X292" i="12"/>
  <c r="X291" i="12"/>
  <c r="X290" i="12"/>
  <c r="X289" i="12"/>
  <c r="X288" i="12"/>
  <c r="X287" i="12"/>
  <c r="X286" i="12"/>
  <c r="X285" i="12"/>
  <c r="X284" i="12"/>
  <c r="X283" i="12"/>
  <c r="X282" i="12"/>
  <c r="X281" i="12"/>
  <c r="X280" i="12"/>
  <c r="X279" i="12"/>
  <c r="X278" i="12"/>
  <c r="X277" i="12"/>
  <c r="X276" i="12"/>
  <c r="X275" i="12"/>
  <c r="X274" i="12"/>
  <c r="X273" i="12"/>
  <c r="X272" i="12"/>
  <c r="X271" i="12"/>
  <c r="X270" i="12"/>
  <c r="X269" i="12"/>
  <c r="X268" i="12"/>
  <c r="X267" i="12"/>
  <c r="X266" i="12"/>
  <c r="X265" i="12"/>
  <c r="X264" i="12"/>
  <c r="X263" i="12"/>
  <c r="X262" i="12"/>
  <c r="X261" i="12"/>
  <c r="X260" i="12"/>
  <c r="X259" i="12"/>
  <c r="X258" i="12"/>
  <c r="X257" i="12"/>
  <c r="X256" i="12"/>
  <c r="X255" i="12"/>
  <c r="X254" i="12"/>
  <c r="X253" i="12"/>
  <c r="X252" i="12"/>
  <c r="X251" i="12"/>
  <c r="X250" i="12"/>
  <c r="X249" i="12"/>
  <c r="X248" i="12"/>
  <c r="X247" i="12"/>
  <c r="X246" i="12"/>
  <c r="X245" i="12"/>
  <c r="X244" i="12"/>
  <c r="X243" i="12"/>
  <c r="X242" i="12"/>
  <c r="X241" i="12"/>
  <c r="X240" i="12"/>
  <c r="X239" i="12"/>
  <c r="X238" i="12"/>
  <c r="X237" i="12"/>
  <c r="X236" i="12"/>
  <c r="X235" i="12"/>
  <c r="X234" i="12"/>
  <c r="X233" i="12"/>
  <c r="X232" i="12"/>
  <c r="X231" i="12"/>
  <c r="X230" i="12"/>
  <c r="X229" i="12"/>
  <c r="X228" i="12"/>
  <c r="X227" i="12"/>
  <c r="X226" i="12"/>
  <c r="X225" i="12"/>
  <c r="X224" i="12"/>
  <c r="X223" i="12"/>
  <c r="X222" i="12"/>
  <c r="X221" i="12"/>
  <c r="X220" i="12"/>
  <c r="X219" i="12"/>
  <c r="X218" i="12"/>
  <c r="X217" i="12"/>
  <c r="X216" i="12"/>
  <c r="X215" i="12"/>
  <c r="X214" i="12"/>
  <c r="X213" i="12"/>
  <c r="X212" i="12"/>
  <c r="X211" i="12"/>
  <c r="X210" i="12"/>
  <c r="X209" i="12"/>
  <c r="X208" i="12"/>
  <c r="X207" i="12"/>
  <c r="X206" i="12"/>
  <c r="X205" i="12"/>
  <c r="X204" i="12"/>
  <c r="X203" i="12"/>
  <c r="X202" i="12"/>
  <c r="X201" i="12"/>
  <c r="X200" i="12"/>
  <c r="X199" i="12"/>
  <c r="X198" i="12"/>
  <c r="X197" i="12"/>
  <c r="X196" i="12"/>
  <c r="X195" i="12"/>
  <c r="X194" i="12"/>
  <c r="X193" i="12"/>
  <c r="X192" i="12"/>
  <c r="X191" i="12"/>
  <c r="X190" i="12"/>
  <c r="X189" i="12"/>
  <c r="X188" i="12"/>
  <c r="X187" i="12"/>
  <c r="X186" i="12"/>
  <c r="X185" i="12"/>
  <c r="X184" i="12"/>
  <c r="X183" i="12"/>
  <c r="X182" i="12"/>
  <c r="X181" i="12"/>
  <c r="X180" i="12"/>
  <c r="X179" i="12"/>
  <c r="X178" i="12"/>
  <c r="X177" i="12"/>
  <c r="X176" i="12"/>
  <c r="X175" i="12"/>
  <c r="X174" i="12"/>
  <c r="X173" i="12"/>
  <c r="X172" i="12"/>
  <c r="X171" i="12"/>
  <c r="X170" i="12"/>
  <c r="X169" i="12"/>
  <c r="X168" i="12"/>
  <c r="X167" i="12"/>
  <c r="X166" i="12"/>
  <c r="X165" i="12"/>
  <c r="X164" i="12"/>
  <c r="X163" i="12"/>
  <c r="X162" i="12"/>
  <c r="X161" i="12"/>
  <c r="X160" i="12"/>
  <c r="X159" i="12"/>
  <c r="X158" i="12"/>
  <c r="X157" i="12"/>
  <c r="X156" i="12"/>
  <c r="X155" i="12"/>
  <c r="X154" i="12"/>
  <c r="X153" i="12"/>
  <c r="X152" i="12"/>
  <c r="X151" i="12"/>
  <c r="X150" i="12"/>
  <c r="X149" i="12"/>
  <c r="X148" i="12"/>
  <c r="X147" i="12"/>
  <c r="X146" i="12"/>
  <c r="X145" i="12"/>
  <c r="X144" i="12"/>
  <c r="X143" i="12"/>
  <c r="X142" i="12"/>
  <c r="X141" i="12"/>
  <c r="X140" i="12"/>
  <c r="X139" i="12"/>
  <c r="X138" i="12"/>
  <c r="X137" i="12"/>
  <c r="X136" i="12"/>
  <c r="X135" i="12"/>
  <c r="X134" i="12"/>
  <c r="X133" i="12"/>
  <c r="X132" i="12"/>
  <c r="X131" i="12"/>
  <c r="X130" i="12"/>
  <c r="X129" i="12"/>
  <c r="X128" i="12"/>
  <c r="X127" i="12"/>
  <c r="X126" i="12"/>
  <c r="X125" i="12"/>
  <c r="X124" i="12"/>
  <c r="X123" i="12"/>
  <c r="X122" i="12"/>
  <c r="X121" i="12"/>
  <c r="X120" i="12"/>
  <c r="X119" i="12"/>
  <c r="X118" i="12"/>
  <c r="X117" i="12"/>
  <c r="X116" i="12"/>
  <c r="X115" i="12"/>
  <c r="X114" i="12"/>
  <c r="X113" i="12"/>
  <c r="X112" i="12"/>
  <c r="X111" i="12"/>
  <c r="X110" i="12"/>
  <c r="X109" i="12"/>
  <c r="X108" i="12"/>
  <c r="X107" i="12"/>
  <c r="X106" i="12"/>
  <c r="X105" i="12"/>
  <c r="X104" i="12"/>
  <c r="X103" i="12"/>
  <c r="X102" i="12"/>
  <c r="X101" i="12"/>
  <c r="X100" i="12"/>
  <c r="X99" i="12"/>
  <c r="X98" i="12"/>
  <c r="X97" i="12"/>
  <c r="X96" i="12"/>
  <c r="X95" i="12"/>
  <c r="X94" i="12"/>
  <c r="X93" i="12"/>
  <c r="X92" i="12"/>
  <c r="X91" i="12"/>
  <c r="X90" i="12"/>
  <c r="X89" i="12"/>
  <c r="X88" i="12"/>
  <c r="X87" i="12"/>
  <c r="X86" i="12"/>
  <c r="X85" i="12"/>
  <c r="X84" i="12"/>
  <c r="X83" i="12"/>
  <c r="X82" i="12"/>
  <c r="X81" i="12"/>
  <c r="X80" i="12"/>
  <c r="X79" i="12"/>
  <c r="X78" i="12"/>
  <c r="X77" i="12"/>
  <c r="X76" i="12"/>
  <c r="X75" i="12"/>
  <c r="X74" i="12"/>
  <c r="X73" i="12"/>
  <c r="X72" i="12"/>
  <c r="X71" i="12"/>
  <c r="X70" i="12"/>
  <c r="X69" i="12"/>
  <c r="X68" i="12"/>
  <c r="X67" i="12"/>
  <c r="X66" i="12"/>
  <c r="X65" i="12"/>
  <c r="X64" i="12"/>
  <c r="X63" i="12"/>
  <c r="X62" i="12"/>
  <c r="X61" i="12"/>
  <c r="X60" i="12"/>
  <c r="X59" i="12"/>
  <c r="X58" i="12"/>
  <c r="X57" i="12"/>
  <c r="X56" i="12"/>
  <c r="X55" i="12"/>
  <c r="X54" i="12"/>
  <c r="X53" i="12"/>
  <c r="X52" i="12"/>
  <c r="X51" i="12"/>
  <c r="X50" i="12"/>
  <c r="X49" i="12"/>
  <c r="X48" i="12"/>
  <c r="X47" i="12"/>
  <c r="X46" i="12"/>
  <c r="X45" i="12"/>
  <c r="X44" i="12"/>
  <c r="X43" i="12"/>
  <c r="X42" i="12"/>
  <c r="X41" i="12"/>
  <c r="X40" i="12"/>
  <c r="X39" i="12"/>
  <c r="X38" i="12"/>
  <c r="X37" i="12"/>
  <c r="X36" i="12"/>
  <c r="X35" i="12"/>
  <c r="X34" i="12"/>
  <c r="X33" i="12"/>
  <c r="X32" i="12"/>
  <c r="X31" i="12"/>
  <c r="X30" i="12"/>
  <c r="X29" i="12"/>
  <c r="X28" i="12"/>
  <c r="X27" i="12"/>
  <c r="X26" i="12"/>
  <c r="X25" i="12"/>
  <c r="X24" i="12"/>
  <c r="X23" i="12"/>
  <c r="X22" i="12"/>
  <c r="X17" i="12"/>
  <c r="X16" i="12"/>
  <c r="X3" i="12"/>
  <c r="X5" i="11"/>
  <c r="AB304" i="12"/>
  <c r="AB303" i="12"/>
  <c r="AB302" i="12"/>
  <c r="AB301" i="12"/>
  <c r="AB300" i="12"/>
  <c r="AB299" i="12"/>
  <c r="AB298" i="12"/>
  <c r="AB297" i="12"/>
  <c r="AB296" i="12"/>
  <c r="AB295" i="12"/>
  <c r="AB294" i="12"/>
  <c r="AB293" i="12"/>
  <c r="AB292" i="12"/>
  <c r="AB291" i="12"/>
  <c r="AB290" i="12"/>
  <c r="AB289" i="12"/>
  <c r="AB288" i="12"/>
  <c r="AB287" i="12"/>
  <c r="AB286" i="12"/>
  <c r="AB285" i="12"/>
  <c r="AB284" i="12"/>
  <c r="AB283" i="12"/>
  <c r="AB282" i="12"/>
  <c r="AB281" i="12"/>
  <c r="AB280" i="12"/>
  <c r="AB279" i="12"/>
  <c r="AB278" i="12"/>
  <c r="AB277" i="12"/>
  <c r="AB276" i="12"/>
  <c r="AB275" i="12"/>
  <c r="AB274" i="12"/>
  <c r="AB273" i="12"/>
  <c r="AB272" i="12"/>
  <c r="AB271" i="12"/>
  <c r="AB270" i="12"/>
  <c r="AB269" i="12"/>
  <c r="AB268" i="12"/>
  <c r="AB267" i="12"/>
  <c r="AB266" i="12"/>
  <c r="AB265" i="12"/>
  <c r="AB264" i="12"/>
  <c r="AB263" i="12"/>
  <c r="AB262" i="12"/>
  <c r="AB261" i="12"/>
  <c r="AB260" i="12"/>
  <c r="AB259" i="12"/>
  <c r="AB258" i="12"/>
  <c r="AB257" i="12"/>
  <c r="AB256" i="12"/>
  <c r="AB255" i="12"/>
  <c r="AB254" i="12"/>
  <c r="AB253" i="12"/>
  <c r="AB252" i="12"/>
  <c r="AB251" i="12"/>
  <c r="AB250" i="12"/>
  <c r="AB249" i="12"/>
  <c r="AB248" i="12"/>
  <c r="AB247" i="12"/>
  <c r="AB246" i="12"/>
  <c r="AB245" i="12"/>
  <c r="AB244" i="12"/>
  <c r="AB243" i="12"/>
  <c r="AB242" i="12"/>
  <c r="AB241" i="12"/>
  <c r="AB240" i="12"/>
  <c r="AB239" i="12"/>
  <c r="AB238" i="12"/>
  <c r="AB237" i="12"/>
  <c r="AB236" i="12"/>
  <c r="AB235" i="12"/>
  <c r="AB234" i="12"/>
  <c r="AB233" i="12"/>
  <c r="AB232" i="12"/>
  <c r="AB231" i="12"/>
  <c r="AB230" i="12"/>
  <c r="AB229" i="12"/>
  <c r="AB228" i="12"/>
  <c r="AB227" i="12"/>
  <c r="AB226" i="12"/>
  <c r="AB225" i="12"/>
  <c r="AB224" i="12"/>
  <c r="AB223" i="12"/>
  <c r="AB222" i="12"/>
  <c r="AB221" i="12"/>
  <c r="AB220" i="12"/>
  <c r="AB219" i="12"/>
  <c r="AB218" i="12"/>
  <c r="AB217" i="12"/>
  <c r="AB216" i="12"/>
  <c r="AB215" i="12"/>
  <c r="AB214" i="12"/>
  <c r="AB213" i="12"/>
  <c r="AB212" i="12"/>
  <c r="AB211" i="12"/>
  <c r="AB210" i="12"/>
  <c r="AB209" i="12"/>
  <c r="AB208" i="12"/>
  <c r="AB207" i="12"/>
  <c r="AB206" i="12"/>
  <c r="AB205" i="12"/>
  <c r="AB204" i="12"/>
  <c r="AB203" i="12"/>
  <c r="AB202" i="12"/>
  <c r="AB201" i="12"/>
  <c r="AB200" i="12"/>
  <c r="AB199" i="12"/>
  <c r="AB198" i="12"/>
  <c r="AB197" i="12"/>
  <c r="AB196" i="12"/>
  <c r="AB195" i="12"/>
  <c r="AB194" i="12"/>
  <c r="AB193" i="12"/>
  <c r="AB192" i="12"/>
  <c r="AB191" i="12"/>
  <c r="AB190" i="12"/>
  <c r="AB189" i="12"/>
  <c r="AB188" i="12"/>
  <c r="AB187" i="12"/>
  <c r="AB186" i="12"/>
  <c r="AB185" i="12"/>
  <c r="AB184" i="12"/>
  <c r="AB183" i="12"/>
  <c r="AB182" i="12"/>
  <c r="AB181" i="12"/>
  <c r="AB180" i="12"/>
  <c r="AB179" i="12"/>
  <c r="AB178" i="12"/>
  <c r="AB177" i="12"/>
  <c r="AB176" i="12"/>
  <c r="AB175" i="12"/>
  <c r="AB174" i="12"/>
  <c r="AB173" i="12"/>
  <c r="AB172" i="12"/>
  <c r="AB171" i="12"/>
  <c r="AB170" i="12"/>
  <c r="AB169" i="12"/>
  <c r="AB168" i="12"/>
  <c r="AB167" i="12"/>
  <c r="AB166" i="12"/>
  <c r="AB165" i="12"/>
  <c r="AB164" i="12"/>
  <c r="AB163" i="12"/>
  <c r="AB162" i="12"/>
  <c r="AB161" i="12"/>
  <c r="AB160" i="12"/>
  <c r="AB159" i="12"/>
  <c r="AB158" i="12"/>
  <c r="AB157" i="12"/>
  <c r="AB156" i="12"/>
  <c r="AB155" i="12"/>
  <c r="AB154" i="12"/>
  <c r="AB153" i="12"/>
  <c r="AB152" i="12"/>
  <c r="AB151" i="12"/>
  <c r="AB150" i="12"/>
  <c r="AB149" i="12"/>
  <c r="AB148" i="12"/>
  <c r="AB147" i="12"/>
  <c r="AB146" i="12"/>
  <c r="AB145" i="12"/>
  <c r="AB144" i="12"/>
  <c r="AB143" i="12"/>
  <c r="AB142" i="12"/>
  <c r="AB141" i="12"/>
  <c r="AB140" i="12"/>
  <c r="AB139" i="12"/>
  <c r="AB138" i="12"/>
  <c r="AB137" i="12"/>
  <c r="AB136" i="12"/>
  <c r="AB135" i="12"/>
  <c r="AB134" i="12"/>
  <c r="AB133" i="12"/>
  <c r="AB132" i="12"/>
  <c r="AB131" i="12"/>
  <c r="AB130" i="12"/>
  <c r="AB129" i="12"/>
  <c r="AB128" i="12"/>
  <c r="AB127" i="12"/>
  <c r="AB126" i="12"/>
  <c r="AB125" i="12"/>
  <c r="AB124" i="12"/>
  <c r="AB123" i="12"/>
  <c r="AB122" i="12"/>
  <c r="AB121" i="12"/>
  <c r="AB120" i="12"/>
  <c r="AB119" i="12"/>
  <c r="AB118" i="12"/>
  <c r="AB117" i="12"/>
  <c r="AB116" i="12"/>
  <c r="AB115" i="12"/>
  <c r="AB114" i="12"/>
  <c r="AB113" i="12"/>
  <c r="AB112" i="12"/>
  <c r="AB111" i="12"/>
  <c r="AB110" i="12"/>
  <c r="AB109" i="12"/>
  <c r="AB108" i="12"/>
  <c r="AB107" i="12"/>
  <c r="AB106" i="12"/>
  <c r="AB105" i="12"/>
  <c r="AB104" i="12"/>
  <c r="AB103" i="12"/>
  <c r="AB102" i="12"/>
  <c r="AB101" i="12"/>
  <c r="AB100" i="12"/>
  <c r="AB99" i="12"/>
  <c r="AB98" i="12"/>
  <c r="AB97" i="12"/>
  <c r="AB96" i="12"/>
  <c r="AB95" i="12"/>
  <c r="AB94" i="12"/>
  <c r="AB93" i="12"/>
  <c r="AB92" i="12"/>
  <c r="AB91" i="12"/>
  <c r="AB90" i="12"/>
  <c r="AB89" i="12"/>
  <c r="AB88" i="12"/>
  <c r="AB87" i="12"/>
  <c r="AB86" i="12"/>
  <c r="AB85" i="12"/>
  <c r="AB84" i="12"/>
  <c r="AB83" i="12"/>
  <c r="AB82" i="12"/>
  <c r="AB81" i="12"/>
  <c r="AB80" i="12"/>
  <c r="AB79" i="12"/>
  <c r="AB78" i="12"/>
  <c r="AB77" i="12"/>
  <c r="AB76" i="12"/>
  <c r="AB75" i="12"/>
  <c r="AB74" i="12"/>
  <c r="AB73" i="12"/>
  <c r="AB72" i="12"/>
  <c r="AB71" i="12"/>
  <c r="AB70" i="12"/>
  <c r="AB69" i="12"/>
  <c r="AB68" i="12"/>
  <c r="AB67" i="12"/>
  <c r="AB66" i="12"/>
  <c r="AB65" i="12"/>
  <c r="AB64" i="12"/>
  <c r="AB63" i="12"/>
  <c r="AB62" i="12"/>
  <c r="AB61" i="12"/>
  <c r="AB60" i="12"/>
  <c r="AB59" i="12"/>
  <c r="AB58" i="12"/>
  <c r="AB57" i="12"/>
  <c r="AB56" i="12"/>
  <c r="AB55" i="12"/>
  <c r="AB54" i="12"/>
  <c r="AB53" i="12"/>
  <c r="AB52" i="12"/>
  <c r="AB51" i="12"/>
  <c r="AB50" i="12"/>
  <c r="AB49" i="12"/>
  <c r="AB48" i="12"/>
  <c r="AB47" i="12"/>
  <c r="AB46" i="12"/>
  <c r="AB45" i="12"/>
  <c r="AB44" i="12"/>
  <c r="AB43" i="12"/>
  <c r="AB42" i="12"/>
  <c r="AB41" i="12"/>
  <c r="AB40" i="12"/>
  <c r="AB39" i="12"/>
  <c r="AB38" i="12"/>
  <c r="AB37" i="12"/>
  <c r="AB36" i="12"/>
  <c r="AB35" i="12"/>
  <c r="AB34" i="12"/>
  <c r="AB33" i="12"/>
  <c r="AB32" i="12"/>
  <c r="AB31" i="12"/>
  <c r="AB30" i="12"/>
  <c r="AB29" i="12"/>
  <c r="AB28" i="12"/>
  <c r="AB27" i="12"/>
  <c r="AB26" i="12"/>
  <c r="AB25" i="12"/>
  <c r="AB24" i="12"/>
  <c r="AB23" i="12"/>
  <c r="AB22" i="12"/>
  <c r="AB17" i="12"/>
  <c r="AB16" i="12"/>
  <c r="AB3" i="12"/>
  <c r="Z306" i="12"/>
  <c r="Z305" i="12"/>
  <c r="Z304" i="12"/>
  <c r="Z303" i="12"/>
  <c r="Z302" i="12"/>
  <c r="Z301" i="12"/>
  <c r="Z300" i="12"/>
  <c r="Z299" i="12"/>
  <c r="Z298" i="12"/>
  <c r="Z297" i="12"/>
  <c r="Z296" i="12"/>
  <c r="Z295" i="12"/>
  <c r="Z294" i="12"/>
  <c r="Z293" i="12"/>
  <c r="Z292" i="12"/>
  <c r="Z291" i="12"/>
  <c r="Z290" i="12"/>
  <c r="Z289" i="12"/>
  <c r="Z288" i="12"/>
  <c r="Z287" i="12"/>
  <c r="Z286" i="12"/>
  <c r="Z285" i="12"/>
  <c r="Z284" i="12"/>
  <c r="Z283" i="12"/>
  <c r="Z282" i="12"/>
  <c r="Z281" i="12"/>
  <c r="Z280" i="12"/>
  <c r="Z279" i="12"/>
  <c r="Z278" i="12"/>
  <c r="Z277" i="12"/>
  <c r="Z276" i="12"/>
  <c r="Z275" i="12"/>
  <c r="Z274" i="12"/>
  <c r="Z273" i="12"/>
  <c r="Z272" i="12"/>
  <c r="Z271" i="12"/>
  <c r="Z270" i="12"/>
  <c r="Z269" i="12"/>
  <c r="Z268" i="12"/>
  <c r="Z267" i="12"/>
  <c r="Z266" i="12"/>
  <c r="Z265" i="12"/>
  <c r="Z264" i="12"/>
  <c r="Z263" i="12"/>
  <c r="Z262" i="12"/>
  <c r="Z261" i="12"/>
  <c r="Z260" i="12"/>
  <c r="Z259" i="12"/>
  <c r="Z258" i="12"/>
  <c r="Z257" i="12"/>
  <c r="Z256" i="12"/>
  <c r="Z255" i="12"/>
  <c r="Z254" i="12"/>
  <c r="Z253" i="12"/>
  <c r="Z252" i="12"/>
  <c r="Z251" i="12"/>
  <c r="Z250" i="12"/>
  <c r="Z249" i="12"/>
  <c r="Z248" i="12"/>
  <c r="Z247" i="12"/>
  <c r="Z246" i="12"/>
  <c r="Z245" i="12"/>
  <c r="Z244" i="12"/>
  <c r="Z243" i="12"/>
  <c r="Z242" i="12"/>
  <c r="Z241" i="12"/>
  <c r="Z240" i="12"/>
  <c r="Z239" i="12"/>
  <c r="Z238" i="12"/>
  <c r="Z237" i="12"/>
  <c r="Z236" i="12"/>
  <c r="Z235" i="12"/>
  <c r="Z234" i="12"/>
  <c r="Z233" i="12"/>
  <c r="Z232" i="12"/>
  <c r="Z231" i="12"/>
  <c r="Z230" i="12"/>
  <c r="Z229" i="12"/>
  <c r="Z228" i="12"/>
  <c r="Z227" i="12"/>
  <c r="Z226" i="12"/>
  <c r="Z225" i="12"/>
  <c r="Z224" i="12"/>
  <c r="Z223" i="12"/>
  <c r="Z222" i="12"/>
  <c r="Z221" i="12"/>
  <c r="Z220" i="12"/>
  <c r="Z219" i="12"/>
  <c r="Z218" i="12"/>
  <c r="Z217" i="12"/>
  <c r="Z216" i="12"/>
  <c r="Z215" i="12"/>
  <c r="Z214" i="12"/>
  <c r="Z213" i="12"/>
  <c r="Z212" i="12"/>
  <c r="Z211" i="12"/>
  <c r="Z210" i="12"/>
  <c r="Z209" i="12"/>
  <c r="Z208" i="12"/>
  <c r="Z207" i="12"/>
  <c r="Z206" i="12"/>
  <c r="Z205" i="12"/>
  <c r="Z204" i="12"/>
  <c r="Z203" i="12"/>
  <c r="Z202" i="12"/>
  <c r="Z201" i="12"/>
  <c r="Z200" i="12"/>
  <c r="Z199" i="12"/>
  <c r="Z198" i="12"/>
  <c r="Z197" i="12"/>
  <c r="Z196" i="12"/>
  <c r="Z195" i="12"/>
  <c r="Z194" i="12"/>
  <c r="Z193" i="12"/>
  <c r="Z192" i="12"/>
  <c r="Z191" i="12"/>
  <c r="Z190" i="12"/>
  <c r="Z189" i="12"/>
  <c r="Z188" i="12"/>
  <c r="Z187" i="12"/>
  <c r="Z186" i="12"/>
  <c r="Z185" i="12"/>
  <c r="Z184" i="12"/>
  <c r="Z183" i="12"/>
  <c r="Z182" i="12"/>
  <c r="Z181" i="12"/>
  <c r="Z180" i="12"/>
  <c r="Z179" i="12"/>
  <c r="Z178" i="12"/>
  <c r="Z177" i="12"/>
  <c r="Z176" i="12"/>
  <c r="Z175" i="12"/>
  <c r="Z174" i="12"/>
  <c r="Z173" i="12"/>
  <c r="Z172" i="12"/>
  <c r="Z171" i="12"/>
  <c r="Z170" i="12"/>
  <c r="Z169" i="12"/>
  <c r="Z168" i="12"/>
  <c r="Z167" i="12"/>
  <c r="Z166" i="12"/>
  <c r="Z165" i="12"/>
  <c r="Z164" i="12"/>
  <c r="Z163" i="12"/>
  <c r="Z162" i="12"/>
  <c r="Z161" i="12"/>
  <c r="Z160" i="12"/>
  <c r="Z159" i="12"/>
  <c r="Z158" i="12"/>
  <c r="Z157" i="12"/>
  <c r="Z156" i="12"/>
  <c r="Z155" i="12"/>
  <c r="Z154" i="12"/>
  <c r="Z153" i="12"/>
  <c r="Z152" i="12"/>
  <c r="Z151" i="12"/>
  <c r="Z150" i="12"/>
  <c r="Z149" i="12"/>
  <c r="Z148" i="12"/>
  <c r="Z147" i="12"/>
  <c r="Z146" i="12"/>
  <c r="Z145" i="12"/>
  <c r="Z144" i="12"/>
  <c r="Z143" i="12"/>
  <c r="Z142" i="12"/>
  <c r="Z141" i="12"/>
  <c r="Z140" i="12"/>
  <c r="Z139" i="12"/>
  <c r="Z138" i="12"/>
  <c r="Z137" i="12"/>
  <c r="Z136" i="12"/>
  <c r="Z135" i="12"/>
  <c r="Z134" i="12"/>
  <c r="Z133" i="12"/>
  <c r="Z132" i="12"/>
  <c r="Z131" i="12"/>
  <c r="Z130" i="12"/>
  <c r="Z129" i="12"/>
  <c r="Z128" i="12"/>
  <c r="Z127" i="12"/>
  <c r="Z126" i="12"/>
  <c r="Z125" i="12"/>
  <c r="Z124" i="12"/>
  <c r="Z123" i="12"/>
  <c r="Z122" i="12"/>
  <c r="Z121" i="12"/>
  <c r="Z120" i="12"/>
  <c r="Z119" i="12"/>
  <c r="Z118" i="12"/>
  <c r="Z117" i="12"/>
  <c r="Z116" i="12"/>
  <c r="Z115" i="12"/>
  <c r="Z114" i="12"/>
  <c r="Z113" i="12"/>
  <c r="Z112" i="12"/>
  <c r="Z111" i="12"/>
  <c r="Z110" i="12"/>
  <c r="Z109" i="12"/>
  <c r="Z108" i="12"/>
  <c r="Z107" i="12"/>
  <c r="Z106" i="12"/>
  <c r="Z105" i="12"/>
  <c r="Z104" i="12"/>
  <c r="Z103" i="12"/>
  <c r="Z102" i="12"/>
  <c r="Z101" i="12"/>
  <c r="Z100" i="12"/>
  <c r="Z99" i="12"/>
  <c r="Z98" i="12"/>
  <c r="Z97" i="12"/>
  <c r="Z96" i="12"/>
  <c r="Z95" i="12"/>
  <c r="Z94" i="12"/>
  <c r="Z93" i="12"/>
  <c r="Z92" i="12"/>
  <c r="Z91" i="12"/>
  <c r="Z90" i="12"/>
  <c r="Z89" i="12"/>
  <c r="Z88" i="12"/>
  <c r="Z87" i="12"/>
  <c r="Z86" i="12"/>
  <c r="Z85" i="12"/>
  <c r="Z84" i="12"/>
  <c r="Z83" i="12"/>
  <c r="Z82" i="12"/>
  <c r="Z81" i="12"/>
  <c r="Z80" i="12"/>
  <c r="Z79" i="12"/>
  <c r="Z78" i="12"/>
  <c r="Z77" i="12"/>
  <c r="Z76" i="12"/>
  <c r="Z75" i="12"/>
  <c r="Z74" i="12"/>
  <c r="Z73" i="12"/>
  <c r="Z72" i="12"/>
  <c r="Z71" i="12"/>
  <c r="Z70" i="12"/>
  <c r="Z69" i="12"/>
  <c r="Z68" i="12"/>
  <c r="Z67" i="12"/>
  <c r="Z66" i="12"/>
  <c r="Z65" i="12"/>
  <c r="Z64" i="12"/>
  <c r="Z63" i="12"/>
  <c r="Z62" i="12"/>
  <c r="Z61" i="12"/>
  <c r="Z60" i="12"/>
  <c r="Z59" i="12"/>
  <c r="Z58" i="12"/>
  <c r="Z57" i="12"/>
  <c r="Z56" i="12"/>
  <c r="Z55" i="12"/>
  <c r="Z54" i="12"/>
  <c r="Z53" i="12"/>
  <c r="Z52" i="12"/>
  <c r="Z51" i="12"/>
  <c r="Z50" i="12"/>
  <c r="Z49" i="12"/>
  <c r="Z48" i="12"/>
  <c r="Z47" i="12"/>
  <c r="Z46" i="12"/>
  <c r="Z45" i="12"/>
  <c r="Z44" i="12"/>
  <c r="Z43" i="12"/>
  <c r="Z42" i="12"/>
  <c r="Z41" i="12"/>
  <c r="Z40" i="12"/>
  <c r="Z39" i="12"/>
  <c r="Z38" i="12"/>
  <c r="Z37" i="12"/>
  <c r="Z36" i="12"/>
  <c r="Z35" i="12"/>
  <c r="Z34" i="12"/>
  <c r="Z33" i="12"/>
  <c r="Z32" i="12"/>
  <c r="Z31" i="12"/>
  <c r="Z30" i="12"/>
  <c r="Z29" i="12"/>
  <c r="Z28" i="12"/>
  <c r="Z27" i="12"/>
  <c r="Z26" i="12"/>
  <c r="Z25" i="12"/>
  <c r="Z24" i="12"/>
  <c r="Z23" i="12"/>
  <c r="Z22" i="12"/>
  <c r="Z17" i="12"/>
  <c r="Z16" i="12"/>
  <c r="Z3" i="12"/>
  <c r="Y306" i="12"/>
  <c r="Y305" i="12"/>
  <c r="Y304" i="12"/>
  <c r="Y303" i="12"/>
  <c r="Y302" i="12"/>
  <c r="Y301" i="12"/>
  <c r="Y300" i="12"/>
  <c r="Y299" i="12"/>
  <c r="Y298" i="12"/>
  <c r="Y297" i="12"/>
  <c r="Y296" i="12"/>
  <c r="Y295" i="12"/>
  <c r="Y294" i="12"/>
  <c r="Y293" i="12"/>
  <c r="Y292" i="12"/>
  <c r="Y291" i="12"/>
  <c r="Y290" i="12"/>
  <c r="Y289" i="12"/>
  <c r="Y288" i="12"/>
  <c r="Y287" i="12"/>
  <c r="Y286" i="12"/>
  <c r="Y285" i="12"/>
  <c r="Y284" i="12"/>
  <c r="Y283" i="12"/>
  <c r="Y282" i="12"/>
  <c r="Y281" i="12"/>
  <c r="Y280" i="12"/>
  <c r="Y279" i="12"/>
  <c r="Y278" i="12"/>
  <c r="Y277" i="12"/>
  <c r="Y276" i="12"/>
  <c r="Y275" i="12"/>
  <c r="Y274" i="12"/>
  <c r="Y273" i="12"/>
  <c r="Y272" i="12"/>
  <c r="Y271" i="12"/>
  <c r="Y270" i="12"/>
  <c r="Y269" i="12"/>
  <c r="Y268" i="12"/>
  <c r="Y267" i="12"/>
  <c r="Y266" i="12"/>
  <c r="Y265" i="12"/>
  <c r="Y264" i="12"/>
  <c r="Y263" i="12"/>
  <c r="Y262" i="12"/>
  <c r="Y261" i="12"/>
  <c r="Y260" i="12"/>
  <c r="Y259" i="12"/>
  <c r="Y258" i="12"/>
  <c r="Y257" i="12"/>
  <c r="Y256" i="12"/>
  <c r="Y255" i="12"/>
  <c r="Y254" i="12"/>
  <c r="Y253" i="12"/>
  <c r="Y252" i="12"/>
  <c r="Y251" i="12"/>
  <c r="Y250" i="12"/>
  <c r="Y249" i="12"/>
  <c r="Y248" i="12"/>
  <c r="Y247" i="12"/>
  <c r="Y246" i="12"/>
  <c r="Y245" i="12"/>
  <c r="Y244" i="12"/>
  <c r="Y243" i="12"/>
  <c r="Y242" i="12"/>
  <c r="Y241" i="12"/>
  <c r="Y240" i="12"/>
  <c r="Y239" i="12"/>
  <c r="Y238" i="12"/>
  <c r="Y237" i="12"/>
  <c r="Y236" i="12"/>
  <c r="Y235" i="12"/>
  <c r="Y234" i="12"/>
  <c r="Y233" i="12"/>
  <c r="Y232" i="12"/>
  <c r="Y231" i="12"/>
  <c r="Y230" i="12"/>
  <c r="Y229" i="12"/>
  <c r="Y228" i="12"/>
  <c r="Y227" i="12"/>
  <c r="Y226" i="12"/>
  <c r="Y225" i="12"/>
  <c r="Y224" i="12"/>
  <c r="Y223" i="12"/>
  <c r="Y222" i="12"/>
  <c r="Y221" i="12"/>
  <c r="Y220" i="12"/>
  <c r="Y219" i="12"/>
  <c r="Y218" i="12"/>
  <c r="Y217" i="12"/>
  <c r="Y216" i="12"/>
  <c r="Y215" i="12"/>
  <c r="Y214" i="12"/>
  <c r="Y213" i="12"/>
  <c r="Y212" i="12"/>
  <c r="Y211" i="12"/>
  <c r="Y210" i="12"/>
  <c r="Y209" i="12"/>
  <c r="Y208" i="12"/>
  <c r="Y207" i="12"/>
  <c r="Y206" i="12"/>
  <c r="Y205" i="12"/>
  <c r="Y204" i="12"/>
  <c r="Y203" i="12"/>
  <c r="Y202" i="12"/>
  <c r="Y201" i="12"/>
  <c r="Y200" i="12"/>
  <c r="Y199" i="12"/>
  <c r="Y198" i="12"/>
  <c r="Y197" i="12"/>
  <c r="Y196" i="12"/>
  <c r="Y195" i="12"/>
  <c r="Y194" i="12"/>
  <c r="Y193" i="12"/>
  <c r="Y192" i="12"/>
  <c r="Y191" i="12"/>
  <c r="Y190" i="12"/>
  <c r="Y189" i="12"/>
  <c r="Y188" i="12"/>
  <c r="Y187" i="12"/>
  <c r="Y186" i="12"/>
  <c r="Y185" i="12"/>
  <c r="Y184" i="12"/>
  <c r="Y183" i="12"/>
  <c r="Y182" i="12"/>
  <c r="Y181" i="12"/>
  <c r="Y180" i="12"/>
  <c r="Y179" i="12"/>
  <c r="Y178" i="12"/>
  <c r="Y177" i="12"/>
  <c r="Y176" i="12"/>
  <c r="Y175" i="12"/>
  <c r="Y174" i="12"/>
  <c r="Y173" i="12"/>
  <c r="Y172" i="12"/>
  <c r="Y171" i="12"/>
  <c r="Y170" i="12"/>
  <c r="Y169" i="12"/>
  <c r="Y168" i="12"/>
  <c r="Y167" i="12"/>
  <c r="Y166" i="12"/>
  <c r="Y165" i="12"/>
  <c r="Y164" i="12"/>
  <c r="Y163" i="12"/>
  <c r="Y162" i="12"/>
  <c r="Y161" i="12"/>
  <c r="Y160" i="12"/>
  <c r="Y159" i="12"/>
  <c r="Y158" i="12"/>
  <c r="Y157" i="12"/>
  <c r="Y156" i="12"/>
  <c r="Y155" i="12"/>
  <c r="Y154" i="12"/>
  <c r="Y153" i="12"/>
  <c r="Y152" i="12"/>
  <c r="Y151" i="12"/>
  <c r="Y150" i="12"/>
  <c r="Y149" i="12"/>
  <c r="Y148" i="12"/>
  <c r="Y147" i="12"/>
  <c r="Y146" i="12"/>
  <c r="Y145" i="12"/>
  <c r="Y144" i="12"/>
  <c r="Y143" i="12"/>
  <c r="Y142" i="12"/>
  <c r="Y141" i="12"/>
  <c r="Y140" i="12"/>
  <c r="Y139" i="12"/>
  <c r="Y138" i="12"/>
  <c r="Y137" i="12"/>
  <c r="Y136" i="12"/>
  <c r="Y135" i="12"/>
  <c r="Y134" i="12"/>
  <c r="Y133" i="12"/>
  <c r="Y132" i="12"/>
  <c r="Y131" i="12"/>
  <c r="Y130" i="12"/>
  <c r="Y129" i="12"/>
  <c r="Y128" i="12"/>
  <c r="Y127" i="12"/>
  <c r="Y126" i="12"/>
  <c r="Y125" i="12"/>
  <c r="Y124" i="12"/>
  <c r="Y123" i="12"/>
  <c r="Y122" i="12"/>
  <c r="Y121" i="12"/>
  <c r="Y120" i="12"/>
  <c r="Y119" i="12"/>
  <c r="Y118" i="12"/>
  <c r="Y117" i="12"/>
  <c r="Y116" i="12"/>
  <c r="Y115" i="12"/>
  <c r="Y114" i="12"/>
  <c r="Y113" i="12"/>
  <c r="Y112" i="12"/>
  <c r="Y111" i="12"/>
  <c r="Y110" i="12"/>
  <c r="Y109" i="12"/>
  <c r="Y108" i="12"/>
  <c r="Y107" i="12"/>
  <c r="Y106" i="12"/>
  <c r="Y105" i="12"/>
  <c r="Y104" i="12"/>
  <c r="Y103" i="12"/>
  <c r="Y102" i="12"/>
  <c r="Y101" i="12"/>
  <c r="Y100" i="12"/>
  <c r="Y99" i="12"/>
  <c r="Y98" i="12"/>
  <c r="Y97" i="12"/>
  <c r="Y96" i="12"/>
  <c r="Y95" i="12"/>
  <c r="Y94" i="12"/>
  <c r="Y93" i="12"/>
  <c r="Y92" i="12"/>
  <c r="Y91" i="12"/>
  <c r="Y90" i="12"/>
  <c r="Y89" i="12"/>
  <c r="Y88" i="12"/>
  <c r="Y87" i="12"/>
  <c r="Y86" i="12"/>
  <c r="Y85" i="12"/>
  <c r="Y84" i="12"/>
  <c r="Y83" i="12"/>
  <c r="Y82" i="12"/>
  <c r="Y81" i="12"/>
  <c r="Y80" i="12"/>
  <c r="Y79" i="12"/>
  <c r="Y78" i="12"/>
  <c r="Y77" i="12"/>
  <c r="Y76" i="12"/>
  <c r="Y75" i="12"/>
  <c r="Y74" i="12"/>
  <c r="Y73" i="12"/>
  <c r="Y72" i="12"/>
  <c r="Y71" i="12"/>
  <c r="Y70" i="12"/>
  <c r="Y69" i="12"/>
  <c r="Y68" i="12"/>
  <c r="Y67" i="12"/>
  <c r="Y66" i="12"/>
  <c r="Y65" i="12"/>
  <c r="Y64" i="12"/>
  <c r="Y63" i="12"/>
  <c r="Y62" i="12"/>
  <c r="Y61" i="12"/>
  <c r="Y60" i="12"/>
  <c r="Y59" i="12"/>
  <c r="Y58" i="12"/>
  <c r="Y57" i="12"/>
  <c r="Y56" i="12"/>
  <c r="Y55" i="12"/>
  <c r="Y54" i="12"/>
  <c r="Y53" i="12"/>
  <c r="Y52" i="12"/>
  <c r="Y51" i="12"/>
  <c r="Y50" i="12"/>
  <c r="Y49" i="12"/>
  <c r="Y48" i="12"/>
  <c r="Y47" i="12"/>
  <c r="Y46" i="12"/>
  <c r="Y45" i="12"/>
  <c r="Y44" i="12"/>
  <c r="Y43" i="12"/>
  <c r="Y42" i="12"/>
  <c r="Y41" i="12"/>
  <c r="Y40" i="12"/>
  <c r="Y39" i="12"/>
  <c r="Y38" i="12"/>
  <c r="Y37" i="12"/>
  <c r="Y36" i="12"/>
  <c r="Y35" i="12"/>
  <c r="Y34" i="12"/>
  <c r="Y33" i="12"/>
  <c r="Y32" i="12"/>
  <c r="Y31" i="12"/>
  <c r="Y30" i="12"/>
  <c r="Y29" i="12"/>
  <c r="Y28" i="12"/>
  <c r="Y27" i="12"/>
  <c r="Y26" i="12"/>
  <c r="Y25" i="12"/>
  <c r="Y24" i="12"/>
  <c r="Y23" i="12"/>
  <c r="Y22" i="12"/>
  <c r="Y17" i="12"/>
  <c r="Y16" i="12"/>
  <c r="Y3" i="12"/>
  <c r="U306" i="12"/>
  <c r="U305" i="12"/>
  <c r="U304" i="12"/>
  <c r="U303" i="12"/>
  <c r="U302" i="12"/>
  <c r="U301" i="12"/>
  <c r="U300" i="12"/>
  <c r="U299" i="12"/>
  <c r="U298" i="12"/>
  <c r="U297" i="12"/>
  <c r="U296" i="12"/>
  <c r="U295" i="12"/>
  <c r="U294" i="12"/>
  <c r="U293" i="12"/>
  <c r="U292" i="12"/>
  <c r="U291" i="12"/>
  <c r="U290" i="12"/>
  <c r="U289" i="12"/>
  <c r="U288" i="12"/>
  <c r="U287" i="12"/>
  <c r="U286" i="12"/>
  <c r="U285" i="12"/>
  <c r="U284" i="12"/>
  <c r="U283" i="12"/>
  <c r="U282" i="12"/>
  <c r="U281" i="12"/>
  <c r="U280" i="12"/>
  <c r="U279" i="12"/>
  <c r="U278" i="12"/>
  <c r="U277" i="12"/>
  <c r="U276" i="12"/>
  <c r="U275" i="12"/>
  <c r="U274" i="12"/>
  <c r="U273" i="12"/>
  <c r="U272" i="12"/>
  <c r="U271" i="12"/>
  <c r="U270" i="12"/>
  <c r="U269" i="12"/>
  <c r="U268" i="12"/>
  <c r="U267" i="12"/>
  <c r="U266" i="12"/>
  <c r="U265" i="12"/>
  <c r="U264" i="12"/>
  <c r="U263" i="12"/>
  <c r="U262" i="12"/>
  <c r="U261" i="12"/>
  <c r="U260" i="12"/>
  <c r="U259" i="12"/>
  <c r="U258" i="12"/>
  <c r="U257" i="12"/>
  <c r="U256" i="12"/>
  <c r="U255" i="12"/>
  <c r="U254" i="12"/>
  <c r="U253" i="12"/>
  <c r="U252" i="12"/>
  <c r="U251" i="12"/>
  <c r="U250" i="12"/>
  <c r="U249" i="12"/>
  <c r="U248" i="12"/>
  <c r="U247" i="12"/>
  <c r="U246" i="12"/>
  <c r="U245" i="12"/>
  <c r="U244" i="12"/>
  <c r="U243" i="12"/>
  <c r="U242" i="12"/>
  <c r="U241" i="12"/>
  <c r="U240" i="12"/>
  <c r="U239" i="12"/>
  <c r="U238" i="12"/>
  <c r="U237" i="12"/>
  <c r="U236" i="12"/>
  <c r="U235" i="12"/>
  <c r="U234" i="12"/>
  <c r="U233" i="12"/>
  <c r="U232" i="12"/>
  <c r="U231" i="12"/>
  <c r="U230" i="12"/>
  <c r="U229" i="12"/>
  <c r="U228" i="12"/>
  <c r="U227" i="12"/>
  <c r="U226" i="12"/>
  <c r="U225" i="12"/>
  <c r="U224" i="12"/>
  <c r="U223" i="12"/>
  <c r="U222" i="12"/>
  <c r="U221" i="12"/>
  <c r="U220" i="12"/>
  <c r="U219" i="12"/>
  <c r="U218" i="12"/>
  <c r="U217" i="12"/>
  <c r="U216" i="12"/>
  <c r="U215" i="12"/>
  <c r="U214" i="12"/>
  <c r="U213" i="12"/>
  <c r="U212" i="12"/>
  <c r="U211" i="12"/>
  <c r="U210" i="12"/>
  <c r="U209" i="12"/>
  <c r="U208" i="12"/>
  <c r="U207" i="12"/>
  <c r="U206" i="12"/>
  <c r="U205" i="12"/>
  <c r="U204" i="12"/>
  <c r="U203" i="12"/>
  <c r="U202" i="12"/>
  <c r="U201" i="12"/>
  <c r="U200" i="12"/>
  <c r="U199" i="12"/>
  <c r="U198" i="12"/>
  <c r="U197" i="12"/>
  <c r="U196" i="12"/>
  <c r="U195" i="12"/>
  <c r="U194" i="12"/>
  <c r="U193" i="12"/>
  <c r="U192" i="12"/>
  <c r="U191" i="12"/>
  <c r="U190" i="12"/>
  <c r="U189" i="12"/>
  <c r="U188" i="12"/>
  <c r="U187" i="12"/>
  <c r="U186" i="12"/>
  <c r="U185" i="12"/>
  <c r="U184" i="12"/>
  <c r="U183" i="12"/>
  <c r="U182" i="12"/>
  <c r="U181" i="12"/>
  <c r="U180" i="12"/>
  <c r="U179" i="12"/>
  <c r="U178" i="12"/>
  <c r="U177" i="12"/>
  <c r="U176" i="12"/>
  <c r="U175" i="12"/>
  <c r="U174" i="12"/>
  <c r="U173" i="12"/>
  <c r="U172" i="12"/>
  <c r="U171" i="12"/>
  <c r="U170" i="12"/>
  <c r="U169" i="12"/>
  <c r="U168" i="12"/>
  <c r="U167" i="12"/>
  <c r="U166" i="12"/>
  <c r="U165" i="12"/>
  <c r="U164" i="12"/>
  <c r="U163" i="12"/>
  <c r="U162" i="12"/>
  <c r="U161" i="12"/>
  <c r="U160" i="12"/>
  <c r="U159" i="12"/>
  <c r="U158" i="12"/>
  <c r="U157" i="12"/>
  <c r="U156" i="12"/>
  <c r="U155" i="12"/>
  <c r="U154" i="12"/>
  <c r="U153" i="12"/>
  <c r="U152" i="12"/>
  <c r="U151" i="12"/>
  <c r="U150" i="12"/>
  <c r="U149" i="12"/>
  <c r="U148" i="12"/>
  <c r="U147" i="12"/>
  <c r="U146" i="12"/>
  <c r="U145" i="12"/>
  <c r="U144" i="12"/>
  <c r="U143" i="12"/>
  <c r="U142" i="12"/>
  <c r="U141" i="12"/>
  <c r="U140" i="12"/>
  <c r="U139" i="12"/>
  <c r="U138" i="12"/>
  <c r="U137" i="12"/>
  <c r="U136" i="12"/>
  <c r="U135" i="12"/>
  <c r="U134" i="12"/>
  <c r="U133" i="12"/>
  <c r="U132" i="12"/>
  <c r="U131" i="12"/>
  <c r="U130" i="12"/>
  <c r="U129" i="12"/>
  <c r="U128" i="12"/>
  <c r="U127" i="12"/>
  <c r="U126" i="12"/>
  <c r="U125" i="12"/>
  <c r="U124" i="12"/>
  <c r="U123" i="12"/>
  <c r="U122" i="12"/>
  <c r="U121" i="12"/>
  <c r="U120" i="12"/>
  <c r="U119" i="12"/>
  <c r="U118" i="12"/>
  <c r="U117" i="12"/>
  <c r="U116" i="12"/>
  <c r="U115" i="12"/>
  <c r="U114" i="12"/>
  <c r="U113" i="12"/>
  <c r="U112" i="12"/>
  <c r="U111" i="12"/>
  <c r="U110" i="12"/>
  <c r="U109" i="12"/>
  <c r="U108" i="12"/>
  <c r="U107" i="12"/>
  <c r="U106" i="12"/>
  <c r="U105" i="12"/>
  <c r="U104" i="12"/>
  <c r="U103" i="12"/>
  <c r="U102" i="12"/>
  <c r="U101" i="12"/>
  <c r="U100" i="12"/>
  <c r="U99" i="12"/>
  <c r="U98" i="12"/>
  <c r="U97" i="12"/>
  <c r="U96" i="12"/>
  <c r="U95" i="12"/>
  <c r="U94" i="12"/>
  <c r="U93" i="12"/>
  <c r="U92" i="12"/>
  <c r="U91" i="12"/>
  <c r="U90" i="12"/>
  <c r="U89" i="12"/>
  <c r="U88" i="12"/>
  <c r="U87" i="12"/>
  <c r="U86" i="12"/>
  <c r="U85" i="12"/>
  <c r="U84" i="12"/>
  <c r="U83" i="12"/>
  <c r="U82" i="12"/>
  <c r="U81" i="12"/>
  <c r="U80" i="12"/>
  <c r="U79" i="12"/>
  <c r="U78" i="12"/>
  <c r="U77" i="12"/>
  <c r="U76" i="12"/>
  <c r="U75" i="12"/>
  <c r="U74" i="12"/>
  <c r="U73" i="12"/>
  <c r="U72" i="12"/>
  <c r="U71" i="12"/>
  <c r="U70" i="12"/>
  <c r="U69" i="12"/>
  <c r="U68" i="12"/>
  <c r="U67" i="12"/>
  <c r="U66" i="12"/>
  <c r="U65" i="12"/>
  <c r="U64" i="12"/>
  <c r="U63" i="12"/>
  <c r="U62" i="12"/>
  <c r="U61" i="12"/>
  <c r="U60" i="12"/>
  <c r="U59" i="12"/>
  <c r="U58" i="12"/>
  <c r="U57" i="12"/>
  <c r="U56" i="12"/>
  <c r="U55" i="12"/>
  <c r="U54" i="12"/>
  <c r="U53" i="12"/>
  <c r="U52" i="12"/>
  <c r="U51" i="12"/>
  <c r="U50" i="12"/>
  <c r="U49" i="12"/>
  <c r="U48" i="12"/>
  <c r="U47" i="12"/>
  <c r="U46" i="12"/>
  <c r="U45" i="12"/>
  <c r="U44" i="12"/>
  <c r="U43" i="12"/>
  <c r="U42" i="12"/>
  <c r="U41" i="12"/>
  <c r="U40" i="12"/>
  <c r="U39" i="12"/>
  <c r="U38" i="12"/>
  <c r="U37" i="12"/>
  <c r="U36" i="12"/>
  <c r="U35" i="12"/>
  <c r="U34" i="12"/>
  <c r="U33" i="12"/>
  <c r="U32" i="12"/>
  <c r="U31" i="12"/>
  <c r="U30" i="12"/>
  <c r="U29" i="12"/>
  <c r="U28" i="12"/>
  <c r="U27" i="12"/>
  <c r="U26" i="12"/>
  <c r="U25" i="12"/>
  <c r="U24" i="12"/>
  <c r="U23" i="12"/>
  <c r="U22" i="12"/>
  <c r="U17" i="12"/>
  <c r="U16" i="12"/>
  <c r="U3" i="12"/>
  <c r="T306" i="12"/>
  <c r="T305" i="12"/>
  <c r="T304" i="12"/>
  <c r="T303" i="12"/>
  <c r="T302" i="12"/>
  <c r="T301" i="12"/>
  <c r="T300" i="12"/>
  <c r="T299" i="12"/>
  <c r="T298" i="12"/>
  <c r="T297" i="12"/>
  <c r="T296" i="12"/>
  <c r="T295" i="12"/>
  <c r="T294" i="12"/>
  <c r="T293" i="12"/>
  <c r="T292" i="12"/>
  <c r="T291" i="12"/>
  <c r="T290" i="12"/>
  <c r="T289" i="12"/>
  <c r="T288" i="12"/>
  <c r="T287" i="12"/>
  <c r="T286" i="12"/>
  <c r="T285" i="12"/>
  <c r="T284" i="12"/>
  <c r="T283" i="12"/>
  <c r="T282" i="12"/>
  <c r="T281" i="12"/>
  <c r="T280" i="12"/>
  <c r="T279" i="12"/>
  <c r="T278" i="12"/>
  <c r="T277" i="12"/>
  <c r="T276" i="12"/>
  <c r="T275" i="12"/>
  <c r="T274" i="12"/>
  <c r="T273" i="12"/>
  <c r="T272" i="12"/>
  <c r="T271" i="12"/>
  <c r="T270" i="12"/>
  <c r="T269" i="12"/>
  <c r="T268" i="12"/>
  <c r="T267" i="12"/>
  <c r="T266" i="12"/>
  <c r="T265" i="12"/>
  <c r="T264" i="12"/>
  <c r="T263" i="12"/>
  <c r="T262" i="12"/>
  <c r="T261" i="12"/>
  <c r="T260" i="12"/>
  <c r="T259" i="12"/>
  <c r="T258" i="12"/>
  <c r="T257" i="12"/>
  <c r="T256" i="12"/>
  <c r="T255" i="12"/>
  <c r="T254" i="12"/>
  <c r="T253" i="12"/>
  <c r="T252" i="12"/>
  <c r="T251" i="12"/>
  <c r="T250" i="12"/>
  <c r="T249" i="12"/>
  <c r="T248" i="12"/>
  <c r="T247" i="12"/>
  <c r="T246" i="12"/>
  <c r="T245" i="12"/>
  <c r="T244" i="12"/>
  <c r="T243" i="12"/>
  <c r="T242" i="12"/>
  <c r="T241" i="12"/>
  <c r="T240" i="12"/>
  <c r="T239" i="12"/>
  <c r="T238" i="12"/>
  <c r="T237" i="12"/>
  <c r="T236" i="12"/>
  <c r="T235" i="12"/>
  <c r="T234" i="12"/>
  <c r="T233" i="12"/>
  <c r="T232" i="12"/>
  <c r="T231" i="12"/>
  <c r="T230" i="12"/>
  <c r="T229" i="12"/>
  <c r="T228" i="12"/>
  <c r="T227" i="12"/>
  <c r="T226" i="12"/>
  <c r="T225" i="12"/>
  <c r="T224" i="12"/>
  <c r="T223" i="12"/>
  <c r="T222" i="12"/>
  <c r="T221" i="12"/>
  <c r="T220" i="12"/>
  <c r="T219" i="12"/>
  <c r="T218" i="12"/>
  <c r="T217" i="12"/>
  <c r="T216" i="12"/>
  <c r="T215" i="12"/>
  <c r="T214" i="12"/>
  <c r="T213" i="12"/>
  <c r="T212" i="12"/>
  <c r="T211" i="12"/>
  <c r="T210" i="12"/>
  <c r="T209" i="12"/>
  <c r="T208" i="12"/>
  <c r="T207" i="12"/>
  <c r="T206" i="12"/>
  <c r="T205" i="12"/>
  <c r="T204" i="12"/>
  <c r="T203" i="12"/>
  <c r="T202" i="12"/>
  <c r="T201" i="12"/>
  <c r="T200" i="12"/>
  <c r="T199" i="12"/>
  <c r="T198" i="12"/>
  <c r="T197" i="12"/>
  <c r="T196" i="12"/>
  <c r="T195" i="12"/>
  <c r="T194" i="12"/>
  <c r="T193" i="12"/>
  <c r="T192" i="12"/>
  <c r="T191" i="12"/>
  <c r="T190" i="12"/>
  <c r="T189" i="12"/>
  <c r="T188" i="12"/>
  <c r="T187" i="12"/>
  <c r="T186" i="12"/>
  <c r="T185" i="12"/>
  <c r="T184" i="12"/>
  <c r="T183" i="12"/>
  <c r="T182" i="12"/>
  <c r="T181" i="12"/>
  <c r="T180" i="12"/>
  <c r="T179" i="12"/>
  <c r="T178" i="12"/>
  <c r="T177" i="12"/>
  <c r="T176" i="12"/>
  <c r="T175" i="12"/>
  <c r="T174" i="12"/>
  <c r="T173" i="12"/>
  <c r="T172" i="12"/>
  <c r="T171" i="12"/>
  <c r="T170" i="12"/>
  <c r="T169" i="12"/>
  <c r="T168" i="12"/>
  <c r="T167" i="12"/>
  <c r="T166" i="12"/>
  <c r="T165" i="12"/>
  <c r="T164" i="12"/>
  <c r="T163" i="12"/>
  <c r="T162" i="12"/>
  <c r="T161" i="12"/>
  <c r="T160" i="12"/>
  <c r="T159" i="12"/>
  <c r="T158" i="12"/>
  <c r="T157" i="12"/>
  <c r="T156" i="12"/>
  <c r="T155" i="12"/>
  <c r="T154" i="12"/>
  <c r="T153" i="12"/>
  <c r="T152" i="12"/>
  <c r="T151" i="12"/>
  <c r="T150" i="12"/>
  <c r="T149" i="12"/>
  <c r="T148" i="12"/>
  <c r="T147" i="12"/>
  <c r="T146" i="12"/>
  <c r="T145" i="12"/>
  <c r="T144" i="12"/>
  <c r="T143" i="12"/>
  <c r="T142" i="12"/>
  <c r="T141" i="12"/>
  <c r="T140" i="12"/>
  <c r="T139" i="12"/>
  <c r="T138" i="12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2" i="12"/>
  <c r="T121" i="12"/>
  <c r="T120" i="12"/>
  <c r="T119" i="12"/>
  <c r="T118" i="12"/>
  <c r="T117" i="12"/>
  <c r="T116" i="12"/>
  <c r="T115" i="12"/>
  <c r="T114" i="12"/>
  <c r="T113" i="12"/>
  <c r="T112" i="12"/>
  <c r="T111" i="12"/>
  <c r="T110" i="12"/>
  <c r="T109" i="12"/>
  <c r="T108" i="12"/>
  <c r="T107" i="12"/>
  <c r="T106" i="12"/>
  <c r="T105" i="12"/>
  <c r="T104" i="12"/>
  <c r="T103" i="12"/>
  <c r="T102" i="12"/>
  <c r="T101" i="12"/>
  <c r="T100" i="12"/>
  <c r="T99" i="12"/>
  <c r="T98" i="12"/>
  <c r="T97" i="12"/>
  <c r="T96" i="12"/>
  <c r="T95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T76" i="12"/>
  <c r="T75" i="12"/>
  <c r="T74" i="12"/>
  <c r="T73" i="12"/>
  <c r="T72" i="12"/>
  <c r="T71" i="12"/>
  <c r="T7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T38" i="12"/>
  <c r="T37" i="12"/>
  <c r="T36" i="12"/>
  <c r="T35" i="12"/>
  <c r="T34" i="12"/>
  <c r="T33" i="12"/>
  <c r="T32" i="12"/>
  <c r="T31" i="12"/>
  <c r="T30" i="12"/>
  <c r="T29" i="12"/>
  <c r="T28" i="12"/>
  <c r="T27" i="12"/>
  <c r="T26" i="12"/>
  <c r="T25" i="12"/>
  <c r="T24" i="12"/>
  <c r="T23" i="12"/>
  <c r="T22" i="12"/>
  <c r="T17" i="12"/>
  <c r="T16" i="12"/>
  <c r="T3" i="12"/>
  <c r="R304" i="12"/>
  <c r="R303" i="12"/>
  <c r="R302" i="12"/>
  <c r="R301" i="12"/>
  <c r="R300" i="12"/>
  <c r="R299" i="12"/>
  <c r="R298" i="12"/>
  <c r="R297" i="12"/>
  <c r="R296" i="12"/>
  <c r="R295" i="12"/>
  <c r="R294" i="12"/>
  <c r="R293" i="12"/>
  <c r="R292" i="12"/>
  <c r="R291" i="12"/>
  <c r="R290" i="12"/>
  <c r="R289" i="12"/>
  <c r="R288" i="12"/>
  <c r="R287" i="12"/>
  <c r="R286" i="12"/>
  <c r="R285" i="12"/>
  <c r="R284" i="12"/>
  <c r="R283" i="12"/>
  <c r="R282" i="12"/>
  <c r="R281" i="12"/>
  <c r="R280" i="12"/>
  <c r="R279" i="12"/>
  <c r="R278" i="12"/>
  <c r="R277" i="12"/>
  <c r="R276" i="12"/>
  <c r="R275" i="12"/>
  <c r="R274" i="12"/>
  <c r="R273" i="12"/>
  <c r="R272" i="12"/>
  <c r="R271" i="12"/>
  <c r="R270" i="12"/>
  <c r="R269" i="12"/>
  <c r="R268" i="12"/>
  <c r="R267" i="12"/>
  <c r="R266" i="12"/>
  <c r="R265" i="12"/>
  <c r="R264" i="12"/>
  <c r="R263" i="12"/>
  <c r="R262" i="12"/>
  <c r="R261" i="12"/>
  <c r="R260" i="12"/>
  <c r="R259" i="12"/>
  <c r="R258" i="12"/>
  <c r="R257" i="12"/>
  <c r="R256" i="12"/>
  <c r="R255" i="12"/>
  <c r="R254" i="12"/>
  <c r="R253" i="12"/>
  <c r="R252" i="12"/>
  <c r="R251" i="12"/>
  <c r="R250" i="12"/>
  <c r="R249" i="12"/>
  <c r="R248" i="12"/>
  <c r="R247" i="12"/>
  <c r="R246" i="12"/>
  <c r="R245" i="12"/>
  <c r="R244" i="12"/>
  <c r="R243" i="12"/>
  <c r="R242" i="12"/>
  <c r="R241" i="12"/>
  <c r="R240" i="12"/>
  <c r="R239" i="12"/>
  <c r="R238" i="12"/>
  <c r="R237" i="12"/>
  <c r="R236" i="12"/>
  <c r="R235" i="12"/>
  <c r="R234" i="12"/>
  <c r="R233" i="12"/>
  <c r="R232" i="12"/>
  <c r="R231" i="12"/>
  <c r="R230" i="12"/>
  <c r="R229" i="12"/>
  <c r="R228" i="12"/>
  <c r="R227" i="12"/>
  <c r="R226" i="12"/>
  <c r="R225" i="12"/>
  <c r="R224" i="12"/>
  <c r="R223" i="12"/>
  <c r="R222" i="12"/>
  <c r="R221" i="12"/>
  <c r="R220" i="12"/>
  <c r="R219" i="12"/>
  <c r="R218" i="12"/>
  <c r="R217" i="12"/>
  <c r="R216" i="12"/>
  <c r="R215" i="12"/>
  <c r="R214" i="12"/>
  <c r="R213" i="12"/>
  <c r="R212" i="12"/>
  <c r="R211" i="12"/>
  <c r="R210" i="12"/>
  <c r="R209" i="12"/>
  <c r="R208" i="12"/>
  <c r="R207" i="12"/>
  <c r="R206" i="12"/>
  <c r="R205" i="12"/>
  <c r="R204" i="12"/>
  <c r="R203" i="12"/>
  <c r="R202" i="12"/>
  <c r="R201" i="12"/>
  <c r="R200" i="12"/>
  <c r="R199" i="12"/>
  <c r="R198" i="12"/>
  <c r="R197" i="12"/>
  <c r="R196" i="12"/>
  <c r="R195" i="12"/>
  <c r="R194" i="12"/>
  <c r="R193" i="12"/>
  <c r="R192" i="12"/>
  <c r="R191" i="12"/>
  <c r="R190" i="12"/>
  <c r="R189" i="12"/>
  <c r="R188" i="12"/>
  <c r="R187" i="12"/>
  <c r="R186" i="12"/>
  <c r="R185" i="12"/>
  <c r="R184" i="12"/>
  <c r="R183" i="12"/>
  <c r="R182" i="12"/>
  <c r="R181" i="12"/>
  <c r="R180" i="12"/>
  <c r="R179" i="12"/>
  <c r="R178" i="12"/>
  <c r="R177" i="12"/>
  <c r="R176" i="12"/>
  <c r="R175" i="12"/>
  <c r="R174" i="12"/>
  <c r="R173" i="12"/>
  <c r="R172" i="12"/>
  <c r="R171" i="12"/>
  <c r="R170" i="12"/>
  <c r="R169" i="12"/>
  <c r="R168" i="12"/>
  <c r="R167" i="12"/>
  <c r="R166" i="12"/>
  <c r="R165" i="12"/>
  <c r="R164" i="12"/>
  <c r="R163" i="12"/>
  <c r="R162" i="12"/>
  <c r="R161" i="12"/>
  <c r="R160" i="12"/>
  <c r="R159" i="12"/>
  <c r="R158" i="12"/>
  <c r="R157" i="12"/>
  <c r="R156" i="12"/>
  <c r="R155" i="12"/>
  <c r="R154" i="12"/>
  <c r="R153" i="12"/>
  <c r="R152" i="12"/>
  <c r="R151" i="12"/>
  <c r="R150" i="12"/>
  <c r="R149" i="12"/>
  <c r="R148" i="12"/>
  <c r="R147" i="12"/>
  <c r="R146" i="12"/>
  <c r="R145" i="12"/>
  <c r="R144" i="12"/>
  <c r="R143" i="12"/>
  <c r="R142" i="12"/>
  <c r="R141" i="12"/>
  <c r="R140" i="12"/>
  <c r="R139" i="12"/>
  <c r="R138" i="12"/>
  <c r="R137" i="12"/>
  <c r="R136" i="12"/>
  <c r="R135" i="12"/>
  <c r="R134" i="12"/>
  <c r="R133" i="12"/>
  <c r="R132" i="12"/>
  <c r="R131" i="12"/>
  <c r="R130" i="12"/>
  <c r="R129" i="12"/>
  <c r="R128" i="12"/>
  <c r="R127" i="12"/>
  <c r="R126" i="12"/>
  <c r="R125" i="12"/>
  <c r="R124" i="12"/>
  <c r="R123" i="12"/>
  <c r="R122" i="12"/>
  <c r="R121" i="12"/>
  <c r="R120" i="12"/>
  <c r="R119" i="12"/>
  <c r="R118" i="12"/>
  <c r="R117" i="12"/>
  <c r="R116" i="12"/>
  <c r="R115" i="12"/>
  <c r="R114" i="12"/>
  <c r="R113" i="12"/>
  <c r="R112" i="12"/>
  <c r="R111" i="12"/>
  <c r="R110" i="12"/>
  <c r="R109" i="12"/>
  <c r="R108" i="12"/>
  <c r="R107" i="12"/>
  <c r="R106" i="12"/>
  <c r="R105" i="12"/>
  <c r="R104" i="12"/>
  <c r="R103" i="12"/>
  <c r="R102" i="12"/>
  <c r="R101" i="12"/>
  <c r="R100" i="12"/>
  <c r="R99" i="12"/>
  <c r="R98" i="12"/>
  <c r="R97" i="12"/>
  <c r="R96" i="12"/>
  <c r="R95" i="12"/>
  <c r="R94" i="12"/>
  <c r="R93" i="12"/>
  <c r="R92" i="12"/>
  <c r="R91" i="12"/>
  <c r="R90" i="12"/>
  <c r="R89" i="12"/>
  <c r="R88" i="12"/>
  <c r="R87" i="12"/>
  <c r="R86" i="12"/>
  <c r="R85" i="12"/>
  <c r="R84" i="12"/>
  <c r="R83" i="12"/>
  <c r="R82" i="12"/>
  <c r="R81" i="12"/>
  <c r="R80" i="12"/>
  <c r="R79" i="12"/>
  <c r="R78" i="12"/>
  <c r="R77" i="12"/>
  <c r="R76" i="12"/>
  <c r="R75" i="12"/>
  <c r="R74" i="12"/>
  <c r="R73" i="12"/>
  <c r="R72" i="12"/>
  <c r="R71" i="12"/>
  <c r="R70" i="12"/>
  <c r="R69" i="12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17" i="12"/>
  <c r="R16" i="12"/>
  <c r="R3" i="12"/>
  <c r="Q306" i="12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17" i="12"/>
  <c r="Q16" i="12"/>
  <c r="Q3" i="12"/>
  <c r="P306" i="12"/>
  <c r="P305" i="12"/>
  <c r="P304" i="12"/>
  <c r="P303" i="12"/>
  <c r="P302" i="12"/>
  <c r="P301" i="12"/>
  <c r="P300" i="12"/>
  <c r="P299" i="12"/>
  <c r="P298" i="12"/>
  <c r="P297" i="12"/>
  <c r="P296" i="12"/>
  <c r="P295" i="12"/>
  <c r="P294" i="12"/>
  <c r="P293" i="12"/>
  <c r="P292" i="12"/>
  <c r="P291" i="12"/>
  <c r="P290" i="12"/>
  <c r="P289" i="12"/>
  <c r="P288" i="12"/>
  <c r="P287" i="12"/>
  <c r="P286" i="12"/>
  <c r="P285" i="12"/>
  <c r="P284" i="12"/>
  <c r="P283" i="12"/>
  <c r="P282" i="12"/>
  <c r="P281" i="12"/>
  <c r="P280" i="12"/>
  <c r="P279" i="12"/>
  <c r="P278" i="12"/>
  <c r="P277" i="12"/>
  <c r="P276" i="12"/>
  <c r="P275" i="12"/>
  <c r="P274" i="12"/>
  <c r="P273" i="12"/>
  <c r="P272" i="12"/>
  <c r="P271" i="12"/>
  <c r="P270" i="12"/>
  <c r="P269" i="12"/>
  <c r="P268" i="12"/>
  <c r="P267" i="12"/>
  <c r="P266" i="12"/>
  <c r="P265" i="12"/>
  <c r="P264" i="12"/>
  <c r="P263" i="12"/>
  <c r="P262" i="12"/>
  <c r="P261" i="12"/>
  <c r="P260" i="12"/>
  <c r="P259" i="12"/>
  <c r="P258" i="12"/>
  <c r="P257" i="12"/>
  <c r="P256" i="12"/>
  <c r="P255" i="12"/>
  <c r="P254" i="12"/>
  <c r="P253" i="12"/>
  <c r="P252" i="12"/>
  <c r="P251" i="12"/>
  <c r="P250" i="12"/>
  <c r="P249" i="12"/>
  <c r="P248" i="12"/>
  <c r="P247" i="12"/>
  <c r="P246" i="12"/>
  <c r="P245" i="12"/>
  <c r="P244" i="12"/>
  <c r="P243" i="12"/>
  <c r="P242" i="12"/>
  <c r="P241" i="12"/>
  <c r="P240" i="12"/>
  <c r="P239" i="12"/>
  <c r="P238" i="12"/>
  <c r="P237" i="12"/>
  <c r="P236" i="12"/>
  <c r="P235" i="12"/>
  <c r="P234" i="12"/>
  <c r="P233" i="12"/>
  <c r="P232" i="12"/>
  <c r="P231" i="12"/>
  <c r="P230" i="12"/>
  <c r="P229" i="12"/>
  <c r="P228" i="12"/>
  <c r="P227" i="12"/>
  <c r="P226" i="12"/>
  <c r="P225" i="12"/>
  <c r="P224" i="12"/>
  <c r="P223" i="12"/>
  <c r="P222" i="12"/>
  <c r="P221" i="12"/>
  <c r="P220" i="12"/>
  <c r="P219" i="12"/>
  <c r="P218" i="12"/>
  <c r="P217" i="12"/>
  <c r="P216" i="12"/>
  <c r="P215" i="12"/>
  <c r="P214" i="12"/>
  <c r="P213" i="12"/>
  <c r="P212" i="12"/>
  <c r="P211" i="12"/>
  <c r="P210" i="12"/>
  <c r="P209" i="12"/>
  <c r="P208" i="12"/>
  <c r="P207" i="12"/>
  <c r="P206" i="12"/>
  <c r="P205" i="12"/>
  <c r="P204" i="12"/>
  <c r="P203" i="12"/>
  <c r="P202" i="12"/>
  <c r="P201" i="12"/>
  <c r="P200" i="12"/>
  <c r="P199" i="12"/>
  <c r="P198" i="12"/>
  <c r="P197" i="12"/>
  <c r="P196" i="12"/>
  <c r="P195" i="12"/>
  <c r="P194" i="12"/>
  <c r="P193" i="12"/>
  <c r="P192" i="12"/>
  <c r="P191" i="12"/>
  <c r="P190" i="12"/>
  <c r="P189" i="12"/>
  <c r="P188" i="12"/>
  <c r="P187" i="12"/>
  <c r="P186" i="12"/>
  <c r="P185" i="12"/>
  <c r="P184" i="12"/>
  <c r="P183" i="12"/>
  <c r="P182" i="12"/>
  <c r="P181" i="12"/>
  <c r="P180" i="12"/>
  <c r="P179" i="12"/>
  <c r="P178" i="12"/>
  <c r="P177" i="12"/>
  <c r="P176" i="12"/>
  <c r="P175" i="12"/>
  <c r="P174" i="12"/>
  <c r="P173" i="12"/>
  <c r="P172" i="12"/>
  <c r="P171" i="12"/>
  <c r="P170" i="12"/>
  <c r="P169" i="12"/>
  <c r="P168" i="12"/>
  <c r="P167" i="12"/>
  <c r="P166" i="12"/>
  <c r="P165" i="12"/>
  <c r="P164" i="12"/>
  <c r="P163" i="12"/>
  <c r="P162" i="12"/>
  <c r="P161" i="12"/>
  <c r="P160" i="12"/>
  <c r="P159" i="12"/>
  <c r="P158" i="12"/>
  <c r="P157" i="12"/>
  <c r="P156" i="12"/>
  <c r="P155" i="12"/>
  <c r="P154" i="12"/>
  <c r="P153" i="12"/>
  <c r="P152" i="12"/>
  <c r="P151" i="12"/>
  <c r="P150" i="12"/>
  <c r="P149" i="12"/>
  <c r="P148" i="12"/>
  <c r="P147" i="12"/>
  <c r="P146" i="12"/>
  <c r="P145" i="12"/>
  <c r="P144" i="12"/>
  <c r="P143" i="12"/>
  <c r="P142" i="12"/>
  <c r="P141" i="12"/>
  <c r="P140" i="12"/>
  <c r="P139" i="12"/>
  <c r="P138" i="12"/>
  <c r="P137" i="12"/>
  <c r="P136" i="12"/>
  <c r="P135" i="12"/>
  <c r="P134" i="12"/>
  <c r="P133" i="12"/>
  <c r="P132" i="12"/>
  <c r="P131" i="12"/>
  <c r="P130" i="12"/>
  <c r="P129" i="12"/>
  <c r="P128" i="12"/>
  <c r="P127" i="12"/>
  <c r="P126" i="12"/>
  <c r="P125" i="12"/>
  <c r="P124" i="12"/>
  <c r="P123" i="12"/>
  <c r="P122" i="12"/>
  <c r="P121" i="12"/>
  <c r="P120" i="12"/>
  <c r="P119" i="12"/>
  <c r="P118" i="12"/>
  <c r="P117" i="12"/>
  <c r="P116" i="12"/>
  <c r="P115" i="12"/>
  <c r="P114" i="12"/>
  <c r="P113" i="12"/>
  <c r="P112" i="12"/>
  <c r="P111" i="12"/>
  <c r="P110" i="12"/>
  <c r="P109" i="12"/>
  <c r="P108" i="12"/>
  <c r="P107" i="12"/>
  <c r="P106" i="12"/>
  <c r="P105" i="12"/>
  <c r="P104" i="12"/>
  <c r="P103" i="12"/>
  <c r="P102" i="12"/>
  <c r="P101" i="12"/>
  <c r="P100" i="12"/>
  <c r="P99" i="12"/>
  <c r="P98" i="12"/>
  <c r="P97" i="12"/>
  <c r="P96" i="12"/>
  <c r="P95" i="12"/>
  <c r="P94" i="12"/>
  <c r="P93" i="12"/>
  <c r="P92" i="12"/>
  <c r="P91" i="12"/>
  <c r="P90" i="12"/>
  <c r="P89" i="12"/>
  <c r="P88" i="12"/>
  <c r="P87" i="12"/>
  <c r="P86" i="12"/>
  <c r="P85" i="12"/>
  <c r="P84" i="12"/>
  <c r="P83" i="12"/>
  <c r="P82" i="12"/>
  <c r="P81" i="12"/>
  <c r="P80" i="12"/>
  <c r="P79" i="12"/>
  <c r="P78" i="12"/>
  <c r="P77" i="12"/>
  <c r="P76" i="12"/>
  <c r="P75" i="12"/>
  <c r="P74" i="12"/>
  <c r="P73" i="12"/>
  <c r="P72" i="12"/>
  <c r="P71" i="12"/>
  <c r="P70" i="12"/>
  <c r="P69" i="12"/>
  <c r="P68" i="12"/>
  <c r="P67" i="12"/>
  <c r="P66" i="12"/>
  <c r="P65" i="12"/>
  <c r="P64" i="12"/>
  <c r="P63" i="12"/>
  <c r="P62" i="12"/>
  <c r="P61" i="12"/>
  <c r="P60" i="12"/>
  <c r="P59" i="12"/>
  <c r="P58" i="12"/>
  <c r="P57" i="12"/>
  <c r="P56" i="12"/>
  <c r="P55" i="12"/>
  <c r="P54" i="12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17" i="12"/>
  <c r="P16" i="12"/>
  <c r="P3" i="12"/>
  <c r="O16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17" i="12"/>
  <c r="O3" i="12"/>
  <c r="N16" i="12"/>
  <c r="N304" i="12"/>
  <c r="N303" i="12"/>
  <c r="N302" i="12"/>
  <c r="N301" i="12"/>
  <c r="N300" i="12"/>
  <c r="N299" i="12"/>
  <c r="N298" i="12"/>
  <c r="N297" i="12"/>
  <c r="N296" i="12"/>
  <c r="N295" i="12"/>
  <c r="N294" i="12"/>
  <c r="N293" i="12"/>
  <c r="N292" i="12"/>
  <c r="N291" i="12"/>
  <c r="N290" i="12"/>
  <c r="N289" i="12"/>
  <c r="N288" i="12"/>
  <c r="N287" i="12"/>
  <c r="N286" i="12"/>
  <c r="N285" i="12"/>
  <c r="N284" i="12"/>
  <c r="N283" i="12"/>
  <c r="N282" i="12"/>
  <c r="N281" i="12"/>
  <c r="N280" i="12"/>
  <c r="N279" i="12"/>
  <c r="N278" i="12"/>
  <c r="N277" i="12"/>
  <c r="N276" i="12"/>
  <c r="N275" i="12"/>
  <c r="N274" i="12"/>
  <c r="N273" i="12"/>
  <c r="N272" i="12"/>
  <c r="N271" i="12"/>
  <c r="N270" i="12"/>
  <c r="N269" i="12"/>
  <c r="N268" i="12"/>
  <c r="N267" i="12"/>
  <c r="N266" i="12"/>
  <c r="N265" i="12"/>
  <c r="N264" i="12"/>
  <c r="N263" i="12"/>
  <c r="N262" i="12"/>
  <c r="N261" i="12"/>
  <c r="N260" i="12"/>
  <c r="N259" i="12"/>
  <c r="N258" i="12"/>
  <c r="N257" i="12"/>
  <c r="N256" i="12"/>
  <c r="N255" i="12"/>
  <c r="N254" i="12"/>
  <c r="N253" i="12"/>
  <c r="N252" i="12"/>
  <c r="N251" i="12"/>
  <c r="N250" i="12"/>
  <c r="N249" i="12"/>
  <c r="N248" i="12"/>
  <c r="N247" i="12"/>
  <c r="N246" i="12"/>
  <c r="N245" i="12"/>
  <c r="N244" i="12"/>
  <c r="N243" i="12"/>
  <c r="N242" i="12"/>
  <c r="N241" i="12"/>
  <c r="N240" i="12"/>
  <c r="N239" i="12"/>
  <c r="N238" i="12"/>
  <c r="N237" i="12"/>
  <c r="N236" i="12"/>
  <c r="N235" i="12"/>
  <c r="N234" i="12"/>
  <c r="N233" i="12"/>
  <c r="N232" i="12"/>
  <c r="N231" i="12"/>
  <c r="N230" i="12"/>
  <c r="N229" i="12"/>
  <c r="N228" i="12"/>
  <c r="N227" i="12"/>
  <c r="N226" i="12"/>
  <c r="N225" i="12"/>
  <c r="N224" i="12"/>
  <c r="N223" i="12"/>
  <c r="N222" i="12"/>
  <c r="N221" i="12"/>
  <c r="N220" i="12"/>
  <c r="N219" i="12"/>
  <c r="N218" i="12"/>
  <c r="N217" i="12"/>
  <c r="N216" i="12"/>
  <c r="N215" i="12"/>
  <c r="N214" i="12"/>
  <c r="N213" i="12"/>
  <c r="N212" i="12"/>
  <c r="N211" i="12"/>
  <c r="N210" i="12"/>
  <c r="N209" i="12"/>
  <c r="N208" i="12"/>
  <c r="N207" i="12"/>
  <c r="N206" i="12"/>
  <c r="N205" i="12"/>
  <c r="N204" i="12"/>
  <c r="N203" i="12"/>
  <c r="N202" i="12"/>
  <c r="N201" i="12"/>
  <c r="N200" i="12"/>
  <c r="N199" i="12"/>
  <c r="N198" i="12"/>
  <c r="N197" i="12"/>
  <c r="N196" i="12"/>
  <c r="N195" i="12"/>
  <c r="N194" i="12"/>
  <c r="N193" i="12"/>
  <c r="N192" i="12"/>
  <c r="N191" i="12"/>
  <c r="N190" i="12"/>
  <c r="N189" i="12"/>
  <c r="N188" i="12"/>
  <c r="N187" i="12"/>
  <c r="N186" i="12"/>
  <c r="N185" i="12"/>
  <c r="N184" i="12"/>
  <c r="N183" i="12"/>
  <c r="N182" i="12"/>
  <c r="N181" i="12"/>
  <c r="N180" i="12"/>
  <c r="N179" i="12"/>
  <c r="N178" i="12"/>
  <c r="N177" i="12"/>
  <c r="N176" i="12"/>
  <c r="N175" i="12"/>
  <c r="N174" i="12"/>
  <c r="N173" i="12"/>
  <c r="N172" i="12"/>
  <c r="N171" i="12"/>
  <c r="N170" i="12"/>
  <c r="N169" i="12"/>
  <c r="N168" i="12"/>
  <c r="N167" i="12"/>
  <c r="N166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52" i="12"/>
  <c r="N151" i="12"/>
  <c r="N150" i="12"/>
  <c r="N149" i="12"/>
  <c r="N148" i="12"/>
  <c r="N147" i="12"/>
  <c r="N146" i="12"/>
  <c r="N145" i="12"/>
  <c r="N144" i="12"/>
  <c r="N143" i="12"/>
  <c r="N142" i="12"/>
  <c r="N141" i="12"/>
  <c r="N140" i="12"/>
  <c r="N139" i="12"/>
  <c r="N138" i="12"/>
  <c r="N137" i="12"/>
  <c r="N136" i="12"/>
  <c r="N135" i="12"/>
  <c r="N134" i="12"/>
  <c r="N133" i="12"/>
  <c r="N132" i="12"/>
  <c r="N131" i="12"/>
  <c r="N130" i="12"/>
  <c r="N129" i="12"/>
  <c r="N128" i="12"/>
  <c r="N127" i="12"/>
  <c r="N126" i="12"/>
  <c r="N125" i="12"/>
  <c r="N124" i="12"/>
  <c r="N123" i="12"/>
  <c r="N122" i="12"/>
  <c r="N121" i="12"/>
  <c r="N120" i="12"/>
  <c r="N119" i="12"/>
  <c r="N118" i="12"/>
  <c r="N117" i="12"/>
  <c r="N116" i="12"/>
  <c r="N115" i="12"/>
  <c r="N114" i="12"/>
  <c r="N113" i="12"/>
  <c r="N112" i="12"/>
  <c r="N111" i="12"/>
  <c r="N110" i="12"/>
  <c r="N109" i="12"/>
  <c r="N108" i="12"/>
  <c r="N107" i="12"/>
  <c r="N106" i="12"/>
  <c r="N105" i="12"/>
  <c r="N104" i="12"/>
  <c r="N103" i="12"/>
  <c r="N102" i="12"/>
  <c r="N101" i="12"/>
  <c r="N100" i="12"/>
  <c r="N99" i="12"/>
  <c r="N98" i="12"/>
  <c r="N97" i="12"/>
  <c r="N96" i="12"/>
  <c r="N95" i="12"/>
  <c r="N94" i="12"/>
  <c r="N93" i="12"/>
  <c r="N92" i="12"/>
  <c r="N91" i="12"/>
  <c r="N90" i="12"/>
  <c r="N89" i="12"/>
  <c r="N88" i="12"/>
  <c r="N87" i="12"/>
  <c r="N86" i="12"/>
  <c r="N85" i="12"/>
  <c r="N84" i="12"/>
  <c r="N83" i="12"/>
  <c r="N82" i="12"/>
  <c r="N81" i="12"/>
  <c r="N80" i="12"/>
  <c r="N79" i="12"/>
  <c r="N78" i="12"/>
  <c r="N77" i="12"/>
  <c r="N76" i="12"/>
  <c r="N75" i="12"/>
  <c r="N74" i="12"/>
  <c r="N73" i="12"/>
  <c r="N72" i="12"/>
  <c r="N71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N58" i="12"/>
  <c r="N57" i="12"/>
  <c r="N56" i="12"/>
  <c r="N55" i="12"/>
  <c r="N54" i="12"/>
  <c r="N53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17" i="12"/>
  <c r="N3" i="12"/>
  <c r="N317" i="12"/>
  <c r="O317" i="12"/>
  <c r="P317" i="12"/>
  <c r="Q317" i="12"/>
  <c r="R317" i="12"/>
  <c r="S317" i="12"/>
  <c r="T317" i="12"/>
  <c r="U317" i="12"/>
  <c r="M317" i="12"/>
  <c r="N314" i="12"/>
  <c r="O314" i="12" s="1"/>
  <c r="P314" i="12" s="1"/>
  <c r="Q314" i="12" s="1"/>
  <c r="R314" i="12" s="1"/>
  <c r="S314" i="12" s="1"/>
  <c r="T314" i="12" s="1"/>
  <c r="U314" i="12" s="1"/>
  <c r="B294" i="13"/>
  <c r="C294" i="13"/>
  <c r="D294" i="13"/>
  <c r="E294" i="13"/>
  <c r="F294" i="13"/>
  <c r="G294" i="13"/>
  <c r="A294" i="13"/>
  <c r="C289" i="13"/>
  <c r="D289" i="13" s="1"/>
  <c r="E289" i="13" s="1"/>
  <c r="F289" i="13" s="1"/>
  <c r="G289" i="13" s="1"/>
  <c r="O513" i="9"/>
  <c r="P513" i="9"/>
  <c r="Q513" i="9"/>
  <c r="R513" i="9"/>
  <c r="O510" i="9"/>
  <c r="L513" i="9"/>
  <c r="M513" i="9"/>
  <c r="N513" i="9"/>
  <c r="K513" i="9"/>
  <c r="M510" i="9"/>
  <c r="N510" i="9" s="1"/>
  <c r="P510" i="9" s="1"/>
  <c r="Q510" i="9" s="1"/>
  <c r="R510" i="9" s="1"/>
  <c r="L510" i="9"/>
  <c r="J275" i="11"/>
  <c r="K275" i="11"/>
  <c r="L275" i="11"/>
  <c r="M275" i="11"/>
  <c r="N275" i="11"/>
  <c r="O275" i="11"/>
  <c r="P275" i="11"/>
  <c r="I275" i="11"/>
  <c r="I278" i="11"/>
  <c r="J278" i="11"/>
  <c r="K278" i="11"/>
  <c r="L278" i="11"/>
  <c r="M278" i="11"/>
  <c r="N278" i="11"/>
  <c r="O278" i="11"/>
  <c r="P278" i="11"/>
  <c r="H278" i="11"/>
  <c r="AA7" i="9"/>
  <c r="AA5" i="9"/>
  <c r="Y249" i="11"/>
  <c r="Y248" i="11"/>
  <c r="X249" i="11"/>
  <c r="X248" i="11"/>
  <c r="X5" i="9"/>
  <c r="W249" i="11"/>
  <c r="W248" i="11"/>
  <c r="W247" i="11"/>
  <c r="W246" i="11"/>
  <c r="W245" i="11"/>
  <c r="W244" i="11"/>
  <c r="W243" i="11"/>
  <c r="W242" i="11"/>
  <c r="W241" i="11"/>
  <c r="W240" i="11"/>
  <c r="W239" i="11"/>
  <c r="W238" i="11"/>
  <c r="W237" i="11"/>
  <c r="W236" i="11"/>
  <c r="W235" i="11"/>
  <c r="W234" i="11"/>
  <c r="W233" i="11"/>
  <c r="W232" i="11"/>
  <c r="W231" i="11"/>
  <c r="W230" i="11"/>
  <c r="W229" i="11"/>
  <c r="W228" i="11"/>
  <c r="W227" i="11"/>
  <c r="W226" i="11"/>
  <c r="W225" i="11"/>
  <c r="W224" i="11"/>
  <c r="W223" i="11"/>
  <c r="W222" i="11"/>
  <c r="W221" i="11"/>
  <c r="W220" i="11"/>
  <c r="W219" i="11"/>
  <c r="W218" i="11"/>
  <c r="W217" i="11"/>
  <c r="W216" i="11"/>
  <c r="W215" i="11"/>
  <c r="W214" i="11"/>
  <c r="W213" i="11"/>
  <c r="W212" i="11"/>
  <c r="W211" i="11"/>
  <c r="W210" i="11"/>
  <c r="W209" i="11"/>
  <c r="W208" i="11"/>
  <c r="W207" i="11"/>
  <c r="W206" i="11"/>
  <c r="W205" i="11"/>
  <c r="W204" i="11"/>
  <c r="W203" i="11"/>
  <c r="W202" i="11"/>
  <c r="W201" i="11"/>
  <c r="W200" i="11"/>
  <c r="W199" i="11"/>
  <c r="W198" i="11"/>
  <c r="W197" i="11"/>
  <c r="W196" i="11"/>
  <c r="W195" i="11"/>
  <c r="W194" i="11"/>
  <c r="W193" i="11"/>
  <c r="W192" i="11"/>
  <c r="W191" i="11"/>
  <c r="W190" i="11"/>
  <c r="W189" i="11"/>
  <c r="W188" i="11"/>
  <c r="W187" i="11"/>
  <c r="W186" i="11"/>
  <c r="W185" i="11"/>
  <c r="W184" i="11"/>
  <c r="W183" i="11"/>
  <c r="W182" i="11"/>
  <c r="W181" i="11"/>
  <c r="W180" i="11"/>
  <c r="W179" i="11"/>
  <c r="W178" i="11"/>
  <c r="W177" i="11"/>
  <c r="W176" i="11"/>
  <c r="W175" i="11"/>
  <c r="W174" i="11"/>
  <c r="W173" i="11"/>
  <c r="W172" i="11"/>
  <c r="W171" i="11"/>
  <c r="W170" i="11"/>
  <c r="W169" i="11"/>
  <c r="W168" i="11"/>
  <c r="W167" i="11"/>
  <c r="W166" i="11"/>
  <c r="W165" i="11"/>
  <c r="W164" i="11"/>
  <c r="W163" i="11"/>
  <c r="W162" i="11"/>
  <c r="W161" i="11"/>
  <c r="W160" i="11"/>
  <c r="W159" i="11"/>
  <c r="W158" i="11"/>
  <c r="W157" i="11"/>
  <c r="W156" i="11"/>
  <c r="W155" i="11"/>
  <c r="W154" i="11"/>
  <c r="W153" i="11"/>
  <c r="W152" i="11"/>
  <c r="W151" i="11"/>
  <c r="W150" i="11"/>
  <c r="W149" i="11"/>
  <c r="W148" i="11"/>
  <c r="W147" i="11"/>
  <c r="W146" i="11"/>
  <c r="W145" i="11"/>
  <c r="W144" i="11"/>
  <c r="W143" i="11"/>
  <c r="W142" i="11"/>
  <c r="W141" i="11"/>
  <c r="W140" i="11"/>
  <c r="W139" i="11"/>
  <c r="W138" i="11"/>
  <c r="W137" i="11"/>
  <c r="W136" i="11"/>
  <c r="W135" i="11"/>
  <c r="W134" i="11"/>
  <c r="W133" i="11"/>
  <c r="W132" i="11"/>
  <c r="W131" i="11"/>
  <c r="W130" i="11"/>
  <c r="W129" i="11"/>
  <c r="W128" i="11"/>
  <c r="W127" i="11"/>
  <c r="W126" i="11"/>
  <c r="W125" i="11"/>
  <c r="W124" i="11"/>
  <c r="W123" i="11"/>
  <c r="W122" i="11"/>
  <c r="W121" i="11"/>
  <c r="W120" i="11"/>
  <c r="W119" i="11"/>
  <c r="W118" i="11"/>
  <c r="W117" i="11"/>
  <c r="W116" i="11"/>
  <c r="W115" i="11"/>
  <c r="W114" i="11"/>
  <c r="W113" i="11"/>
  <c r="W112" i="11"/>
  <c r="W111" i="11"/>
  <c r="W110" i="11"/>
  <c r="W109" i="11"/>
  <c r="W108" i="11"/>
  <c r="W107" i="11"/>
  <c r="W106" i="11"/>
  <c r="W105" i="11"/>
  <c r="W104" i="11"/>
  <c r="W103" i="11"/>
  <c r="W102" i="11"/>
  <c r="W101" i="11"/>
  <c r="W100" i="11"/>
  <c r="W99" i="11"/>
  <c r="W98" i="11"/>
  <c r="W97" i="11"/>
  <c r="W96" i="11"/>
  <c r="W95" i="11"/>
  <c r="W94" i="11"/>
  <c r="W93" i="11"/>
  <c r="W92" i="11"/>
  <c r="W91" i="11"/>
  <c r="W90" i="11"/>
  <c r="W89" i="11"/>
  <c r="W88" i="11"/>
  <c r="W87" i="11"/>
  <c r="W86" i="11"/>
  <c r="W85" i="11"/>
  <c r="W84" i="11"/>
  <c r="W83" i="11"/>
  <c r="W82" i="11"/>
  <c r="W81" i="11"/>
  <c r="W80" i="11"/>
  <c r="W79" i="11"/>
  <c r="W78" i="11"/>
  <c r="W77" i="11"/>
  <c r="W76" i="11"/>
  <c r="W75" i="11"/>
  <c r="W74" i="11"/>
  <c r="W73" i="11"/>
  <c r="W72" i="11"/>
  <c r="W71" i="11"/>
  <c r="W70" i="11"/>
  <c r="W69" i="11"/>
  <c r="W68" i="11"/>
  <c r="W67" i="11"/>
  <c r="W66" i="11"/>
  <c r="W65" i="11"/>
  <c r="W64" i="11"/>
  <c r="W63" i="11"/>
  <c r="W62" i="11"/>
  <c r="W61" i="11"/>
  <c r="W60" i="11"/>
  <c r="W59" i="11"/>
  <c r="W58" i="11"/>
  <c r="W57" i="11"/>
  <c r="W56" i="11"/>
  <c r="W55" i="11"/>
  <c r="W54" i="11"/>
  <c r="W53" i="11"/>
  <c r="W52" i="11"/>
  <c r="W51" i="11"/>
  <c r="W50" i="11"/>
  <c r="W49" i="11"/>
  <c r="W48" i="11"/>
  <c r="W47" i="11"/>
  <c r="W46" i="11"/>
  <c r="W45" i="11"/>
  <c r="W44" i="11"/>
  <c r="W43" i="11"/>
  <c r="W42" i="11"/>
  <c r="W41" i="11"/>
  <c r="W40" i="11"/>
  <c r="W39" i="11"/>
  <c r="W38" i="11"/>
  <c r="W37" i="11"/>
  <c r="W36" i="11"/>
  <c r="W35" i="11"/>
  <c r="W34" i="11"/>
  <c r="W33" i="11"/>
  <c r="W32" i="11"/>
  <c r="W31" i="11"/>
  <c r="W30" i="11"/>
  <c r="W29" i="11"/>
  <c r="W28" i="11"/>
  <c r="W27" i="11"/>
  <c r="W26" i="11"/>
  <c r="W25" i="11"/>
  <c r="W24" i="11"/>
  <c r="W23" i="11"/>
  <c r="W22" i="11"/>
  <c r="W21" i="11"/>
  <c r="W20" i="11"/>
  <c r="W18" i="11"/>
  <c r="W13" i="11"/>
  <c r="W12" i="11"/>
  <c r="W11" i="11"/>
  <c r="W10" i="11"/>
  <c r="W5" i="11"/>
  <c r="N310" i="12" a="1"/>
  <c r="N310" i="12" s="1"/>
  <c r="AM21" i="12"/>
  <c r="AM20" i="12"/>
  <c r="AM19" i="12"/>
  <c r="AM18" i="12"/>
  <c r="AM17" i="12"/>
  <c r="AM16" i="12"/>
  <c r="AM15" i="12"/>
  <c r="AM14" i="12"/>
  <c r="AM13" i="12"/>
  <c r="AM12" i="12"/>
  <c r="AM11" i="12"/>
  <c r="AM10" i="12"/>
  <c r="AM9" i="12"/>
  <c r="AM8" i="12"/>
  <c r="AM7" i="12"/>
  <c r="AM6" i="12"/>
  <c r="AM5" i="12"/>
  <c r="AM4" i="12"/>
  <c r="I272" i="11" a="1"/>
  <c r="I272" i="11" s="1"/>
  <c r="AM20" i="11"/>
  <c r="AM19" i="11"/>
  <c r="AM18" i="11"/>
  <c r="AM17" i="11"/>
  <c r="AM16" i="11"/>
  <c r="AM15" i="11"/>
  <c r="AM14" i="11"/>
  <c r="AM13" i="11"/>
  <c r="AM12" i="11"/>
  <c r="AM11" i="11"/>
  <c r="AM10" i="11"/>
  <c r="AM9" i="11"/>
  <c r="AM8" i="11"/>
  <c r="AM7" i="11"/>
  <c r="AM6" i="11"/>
  <c r="M168" i="10" a="1"/>
  <c r="M168" i="10" s="1"/>
  <c r="AB5" i="9"/>
  <c r="X269" i="13"/>
  <c r="X268" i="13"/>
  <c r="X267" i="13"/>
  <c r="X266" i="13"/>
  <c r="X265" i="13"/>
  <c r="X264" i="13"/>
  <c r="X263" i="13"/>
  <c r="X262" i="13"/>
  <c r="X261" i="13"/>
  <c r="X260" i="13"/>
  <c r="X259" i="13"/>
  <c r="X258" i="13"/>
  <c r="X257" i="13"/>
  <c r="X256" i="13"/>
  <c r="X255" i="13"/>
  <c r="X254" i="13"/>
  <c r="X253" i="13"/>
  <c r="X252" i="13"/>
  <c r="X251" i="13"/>
  <c r="X250" i="13"/>
  <c r="X249" i="13"/>
  <c r="X248" i="13"/>
  <c r="X247" i="13"/>
  <c r="X246" i="13"/>
  <c r="X245" i="13"/>
  <c r="X244" i="13"/>
  <c r="X243" i="13"/>
  <c r="X242" i="13"/>
  <c r="X241" i="13"/>
  <c r="X240" i="13"/>
  <c r="X239" i="13"/>
  <c r="X238" i="13"/>
  <c r="X237" i="13"/>
  <c r="X236" i="13"/>
  <c r="X235" i="13"/>
  <c r="X234" i="13"/>
  <c r="X233" i="13"/>
  <c r="X232" i="13"/>
  <c r="X231" i="13"/>
  <c r="X230" i="13"/>
  <c r="X229" i="13"/>
  <c r="X228" i="13"/>
  <c r="X227" i="13"/>
  <c r="X226" i="13"/>
  <c r="X225" i="13"/>
  <c r="X224" i="13"/>
  <c r="X223" i="13"/>
  <c r="X222" i="13"/>
  <c r="X221" i="13"/>
  <c r="X220" i="13"/>
  <c r="X219" i="13"/>
  <c r="X218" i="13"/>
  <c r="X217" i="13"/>
  <c r="X216" i="13"/>
  <c r="X215" i="13"/>
  <c r="X214" i="13"/>
  <c r="X213" i="13"/>
  <c r="X212" i="13"/>
  <c r="X211" i="13"/>
  <c r="X210" i="13"/>
  <c r="X209" i="13"/>
  <c r="X208" i="13"/>
  <c r="X207" i="13"/>
  <c r="X206" i="13"/>
  <c r="X205" i="13"/>
  <c r="X204" i="13"/>
  <c r="X203" i="13"/>
  <c r="X202" i="13"/>
  <c r="X201" i="13"/>
  <c r="X200" i="13"/>
  <c r="X199" i="13"/>
  <c r="X198" i="13"/>
  <c r="X197" i="13"/>
  <c r="X196" i="13"/>
  <c r="X195" i="13"/>
  <c r="X194" i="13"/>
  <c r="X193" i="13"/>
  <c r="X192" i="13"/>
  <c r="X191" i="13"/>
  <c r="X190" i="13"/>
  <c r="X189" i="13"/>
  <c r="X188" i="13"/>
  <c r="X187" i="13"/>
  <c r="X186" i="13"/>
  <c r="X185" i="13"/>
  <c r="X184" i="13"/>
  <c r="X183" i="13"/>
  <c r="X182" i="13"/>
  <c r="X181" i="13"/>
  <c r="X180" i="13"/>
  <c r="X179" i="13"/>
  <c r="X178" i="13"/>
  <c r="X177" i="13"/>
  <c r="X176" i="13"/>
  <c r="X175" i="13"/>
  <c r="X174" i="13"/>
  <c r="X173" i="13"/>
  <c r="X172" i="13"/>
  <c r="X171" i="13"/>
  <c r="X170" i="13"/>
  <c r="X169" i="13"/>
  <c r="X168" i="13"/>
  <c r="X167" i="13"/>
  <c r="X166" i="13"/>
  <c r="X165" i="13"/>
  <c r="X164" i="13"/>
  <c r="X163" i="13"/>
  <c r="X162" i="13"/>
  <c r="X161" i="13"/>
  <c r="X160" i="13"/>
  <c r="X159" i="13"/>
  <c r="X158" i="13"/>
  <c r="X157" i="13"/>
  <c r="X156" i="13"/>
  <c r="X155" i="13"/>
  <c r="X154" i="13"/>
  <c r="X153" i="13"/>
  <c r="X152" i="13"/>
  <c r="X151" i="13"/>
  <c r="X150" i="13"/>
  <c r="X149" i="13"/>
  <c r="X148" i="13"/>
  <c r="X147" i="13"/>
  <c r="X146" i="13"/>
  <c r="X145" i="13"/>
  <c r="X144" i="13"/>
  <c r="X143" i="13"/>
  <c r="X142" i="13"/>
  <c r="X141" i="13"/>
  <c r="X140" i="13"/>
  <c r="X139" i="13"/>
  <c r="X138" i="13"/>
  <c r="X137" i="13"/>
  <c r="X136" i="13"/>
  <c r="X135" i="13"/>
  <c r="X134" i="13"/>
  <c r="X133" i="13"/>
  <c r="X132" i="13"/>
  <c r="X131" i="13"/>
  <c r="X130" i="13"/>
  <c r="X129" i="13"/>
  <c r="X128" i="13"/>
  <c r="X127" i="13"/>
  <c r="X126" i="13"/>
  <c r="X125" i="13"/>
  <c r="X124" i="13"/>
  <c r="X123" i="13"/>
  <c r="X122" i="13"/>
  <c r="X121" i="13"/>
  <c r="X120" i="13"/>
  <c r="X119" i="13"/>
  <c r="X118" i="13"/>
  <c r="X117" i="13"/>
  <c r="X116" i="13"/>
  <c r="X115" i="13"/>
  <c r="X114" i="13"/>
  <c r="X113" i="13"/>
  <c r="X112" i="13"/>
  <c r="X111" i="13"/>
  <c r="X110" i="13"/>
  <c r="X109" i="13"/>
  <c r="X108" i="13"/>
  <c r="X107" i="13"/>
  <c r="X106" i="13"/>
  <c r="X105" i="13"/>
  <c r="X104" i="13"/>
  <c r="X103" i="13"/>
  <c r="X102" i="13"/>
  <c r="X101" i="13"/>
  <c r="X100" i="13"/>
  <c r="X99" i="13"/>
  <c r="X98" i="13"/>
  <c r="X97" i="13"/>
  <c r="X96" i="13"/>
  <c r="X95" i="13"/>
  <c r="X94" i="13"/>
  <c r="X93" i="13"/>
  <c r="X92" i="13"/>
  <c r="X91" i="13"/>
  <c r="X90" i="13"/>
  <c r="X89" i="13"/>
  <c r="X88" i="13"/>
  <c r="X87" i="13"/>
  <c r="X86" i="13"/>
  <c r="X85" i="13"/>
  <c r="X84" i="13"/>
  <c r="X83" i="13"/>
  <c r="X82" i="13"/>
  <c r="X81" i="13"/>
  <c r="X80" i="13"/>
  <c r="X79" i="13"/>
  <c r="X78" i="13"/>
  <c r="X77" i="13"/>
  <c r="X76" i="13"/>
  <c r="X75" i="13"/>
  <c r="X74" i="13"/>
  <c r="X73" i="13"/>
  <c r="X72" i="13"/>
  <c r="X71" i="13"/>
  <c r="X70" i="13"/>
  <c r="X69" i="13"/>
  <c r="X68" i="13"/>
  <c r="X67" i="13"/>
  <c r="X66" i="13"/>
  <c r="X65" i="13"/>
  <c r="X64" i="13"/>
  <c r="X63" i="13"/>
  <c r="X62" i="13"/>
  <c r="X61" i="13"/>
  <c r="X60" i="13"/>
  <c r="X59" i="13"/>
  <c r="X58" i="13"/>
  <c r="X57" i="13"/>
  <c r="X56" i="13"/>
  <c r="X55" i="13"/>
  <c r="X54" i="13"/>
  <c r="X53" i="13"/>
  <c r="X52" i="13"/>
  <c r="X51" i="13"/>
  <c r="X50" i="13"/>
  <c r="X49" i="13"/>
  <c r="X48" i="13"/>
  <c r="X47" i="13"/>
  <c r="X46" i="13"/>
  <c r="X45" i="13"/>
  <c r="X44" i="13"/>
  <c r="X43" i="13"/>
  <c r="X42" i="13"/>
  <c r="X41" i="13"/>
  <c r="X40" i="13"/>
  <c r="X39" i="13"/>
  <c r="X38" i="13"/>
  <c r="X37" i="13"/>
  <c r="X36" i="13"/>
  <c r="X35" i="13"/>
  <c r="X34" i="13"/>
  <c r="X33" i="13"/>
  <c r="X32" i="13"/>
  <c r="X31" i="13"/>
  <c r="X30" i="13"/>
  <c r="X29" i="13"/>
  <c r="X28" i="13"/>
  <c r="X27" i="13"/>
  <c r="X26" i="13"/>
  <c r="X25" i="13"/>
  <c r="X24" i="13"/>
  <c r="X23" i="13"/>
  <c r="X22" i="13"/>
  <c r="X21" i="13"/>
  <c r="X20" i="13"/>
  <c r="X19" i="13"/>
  <c r="X18" i="13"/>
  <c r="X17" i="13"/>
  <c r="X16" i="13"/>
  <c r="X15" i="13"/>
  <c r="X14" i="13"/>
  <c r="X13" i="13"/>
  <c r="X12" i="13"/>
  <c r="X11" i="13"/>
  <c r="X10" i="13"/>
  <c r="X7" i="13"/>
  <c r="X4" i="13"/>
  <c r="AA12" i="9"/>
  <c r="AA8" i="9"/>
  <c r="W269" i="13"/>
  <c r="W268" i="13"/>
  <c r="W267" i="13"/>
  <c r="W266" i="13"/>
  <c r="W265" i="13"/>
  <c r="W264" i="13"/>
  <c r="W263" i="13"/>
  <c r="W262" i="13"/>
  <c r="W261" i="13"/>
  <c r="W260" i="13"/>
  <c r="W259" i="13"/>
  <c r="W258" i="13"/>
  <c r="W257" i="13"/>
  <c r="W256" i="13"/>
  <c r="W255" i="13"/>
  <c r="W254" i="13"/>
  <c r="W253" i="13"/>
  <c r="W252" i="13"/>
  <c r="W251" i="13"/>
  <c r="W250" i="13"/>
  <c r="W249" i="13"/>
  <c r="W248" i="13"/>
  <c r="W247" i="13"/>
  <c r="W246" i="13"/>
  <c r="W245" i="13"/>
  <c r="W244" i="13"/>
  <c r="W243" i="13"/>
  <c r="W242" i="13"/>
  <c r="W241" i="13"/>
  <c r="W240" i="13"/>
  <c r="W239" i="13"/>
  <c r="W238" i="13"/>
  <c r="W237" i="13"/>
  <c r="W236" i="13"/>
  <c r="W235" i="13"/>
  <c r="W234" i="13"/>
  <c r="W233" i="13"/>
  <c r="W232" i="13"/>
  <c r="W231" i="13"/>
  <c r="W230" i="13"/>
  <c r="W229" i="13"/>
  <c r="W228" i="13"/>
  <c r="W227" i="13"/>
  <c r="W226" i="13"/>
  <c r="W225" i="13"/>
  <c r="W224" i="13"/>
  <c r="W223" i="13"/>
  <c r="W222" i="13"/>
  <c r="W221" i="13"/>
  <c r="W220" i="13"/>
  <c r="W219" i="13"/>
  <c r="W218" i="13"/>
  <c r="W217" i="13"/>
  <c r="W216" i="13"/>
  <c r="W215" i="13"/>
  <c r="W214" i="13"/>
  <c r="W213" i="13"/>
  <c r="W212" i="13"/>
  <c r="W211" i="13"/>
  <c r="W210" i="13"/>
  <c r="W209" i="13"/>
  <c r="W208" i="13"/>
  <c r="W207" i="13"/>
  <c r="W206" i="13"/>
  <c r="W205" i="13"/>
  <c r="W204" i="13"/>
  <c r="W203" i="13"/>
  <c r="W202" i="13"/>
  <c r="W201" i="13"/>
  <c r="W200" i="13"/>
  <c r="W199" i="13"/>
  <c r="W198" i="13"/>
  <c r="W197" i="13"/>
  <c r="W196" i="13"/>
  <c r="W195" i="13"/>
  <c r="W194" i="13"/>
  <c r="W193" i="13"/>
  <c r="W192" i="13"/>
  <c r="W191" i="13"/>
  <c r="W190" i="13"/>
  <c r="W189" i="13"/>
  <c r="W188" i="13"/>
  <c r="W187" i="13"/>
  <c r="W186" i="13"/>
  <c r="W185" i="13"/>
  <c r="W184" i="13"/>
  <c r="W183" i="13"/>
  <c r="W182" i="13"/>
  <c r="W181" i="13"/>
  <c r="W180" i="13"/>
  <c r="W179" i="13"/>
  <c r="W178" i="13"/>
  <c r="W177" i="13"/>
  <c r="W176" i="13"/>
  <c r="W175" i="13"/>
  <c r="W174" i="13"/>
  <c r="W173" i="13"/>
  <c r="W172" i="13"/>
  <c r="W171" i="13"/>
  <c r="W170" i="13"/>
  <c r="W169" i="13"/>
  <c r="W168" i="13"/>
  <c r="W167" i="13"/>
  <c r="W166" i="13"/>
  <c r="W165" i="13"/>
  <c r="W164" i="13"/>
  <c r="W163" i="13"/>
  <c r="W162" i="13"/>
  <c r="W161" i="13"/>
  <c r="W160" i="13"/>
  <c r="W159" i="13"/>
  <c r="W158" i="13"/>
  <c r="W157" i="13"/>
  <c r="W156" i="13"/>
  <c r="W155" i="13"/>
  <c r="W154" i="13"/>
  <c r="W153" i="13"/>
  <c r="W152" i="13"/>
  <c r="W151" i="13"/>
  <c r="W150" i="13"/>
  <c r="W149" i="13"/>
  <c r="W148" i="13"/>
  <c r="W147" i="13"/>
  <c r="W146" i="13"/>
  <c r="W145" i="13"/>
  <c r="W144" i="13"/>
  <c r="W143" i="13"/>
  <c r="W142" i="13"/>
  <c r="W141" i="13"/>
  <c r="W140" i="13"/>
  <c r="W139" i="13"/>
  <c r="W138" i="13"/>
  <c r="W137" i="13"/>
  <c r="W136" i="13"/>
  <c r="W135" i="13"/>
  <c r="W134" i="13"/>
  <c r="W133" i="13"/>
  <c r="W132" i="13"/>
  <c r="W131" i="13"/>
  <c r="W130" i="13"/>
  <c r="W129" i="13"/>
  <c r="W128" i="13"/>
  <c r="W127" i="13"/>
  <c r="W126" i="13"/>
  <c r="W125" i="13"/>
  <c r="W124" i="13"/>
  <c r="W123" i="13"/>
  <c r="W122" i="13"/>
  <c r="W121" i="13"/>
  <c r="W120" i="13"/>
  <c r="W119" i="13"/>
  <c r="W118" i="13"/>
  <c r="W117" i="13"/>
  <c r="W116" i="13"/>
  <c r="W115" i="13"/>
  <c r="W114" i="13"/>
  <c r="W113" i="13"/>
  <c r="W112" i="13"/>
  <c r="W111" i="13"/>
  <c r="W110" i="13"/>
  <c r="W109" i="13"/>
  <c r="W108" i="13"/>
  <c r="W107" i="13"/>
  <c r="W106" i="13"/>
  <c r="W105" i="13"/>
  <c r="W104" i="13"/>
  <c r="W103" i="13"/>
  <c r="W102" i="13"/>
  <c r="W101" i="13"/>
  <c r="W100" i="13"/>
  <c r="W99" i="13"/>
  <c r="W98" i="13"/>
  <c r="W97" i="13"/>
  <c r="W96" i="13"/>
  <c r="W95" i="13"/>
  <c r="W94" i="13"/>
  <c r="W93" i="13"/>
  <c r="W92" i="13"/>
  <c r="W91" i="13"/>
  <c r="W90" i="13"/>
  <c r="W89" i="13"/>
  <c r="W88" i="13"/>
  <c r="W87" i="13"/>
  <c r="W86" i="13"/>
  <c r="W85" i="13"/>
  <c r="W84" i="13"/>
  <c r="W83" i="13"/>
  <c r="W82" i="13"/>
  <c r="W81" i="13"/>
  <c r="W80" i="13"/>
  <c r="W79" i="13"/>
  <c r="W78" i="13"/>
  <c r="W77" i="13"/>
  <c r="W76" i="13"/>
  <c r="W75" i="13"/>
  <c r="W74" i="13"/>
  <c r="W73" i="13"/>
  <c r="W72" i="13"/>
  <c r="W71" i="13"/>
  <c r="W70" i="13"/>
  <c r="W69" i="13"/>
  <c r="W68" i="13"/>
  <c r="W67" i="13"/>
  <c r="W66" i="13"/>
  <c r="W65" i="13"/>
  <c r="W64" i="13"/>
  <c r="W63" i="13"/>
  <c r="W62" i="13"/>
  <c r="W61" i="13"/>
  <c r="W60" i="13"/>
  <c r="W59" i="13"/>
  <c r="W58" i="13"/>
  <c r="W57" i="13"/>
  <c r="W56" i="13"/>
  <c r="W55" i="13"/>
  <c r="W54" i="13"/>
  <c r="W53" i="13"/>
  <c r="W52" i="13"/>
  <c r="W51" i="13"/>
  <c r="W50" i="13"/>
  <c r="W49" i="13"/>
  <c r="W48" i="13"/>
  <c r="W47" i="13"/>
  <c r="W46" i="13"/>
  <c r="W45" i="13"/>
  <c r="W44" i="13"/>
  <c r="W43" i="13"/>
  <c r="W42" i="13"/>
  <c r="W41" i="13"/>
  <c r="W40" i="13"/>
  <c r="W39" i="13"/>
  <c r="W38" i="13"/>
  <c r="W37" i="13"/>
  <c r="W36" i="13"/>
  <c r="W35" i="13"/>
  <c r="W34" i="13"/>
  <c r="W33" i="13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6" i="13"/>
  <c r="W15" i="13"/>
  <c r="W14" i="13"/>
  <c r="W13" i="13"/>
  <c r="W12" i="13"/>
  <c r="W11" i="13"/>
  <c r="W10" i="13"/>
  <c r="W7" i="13"/>
  <c r="W4" i="13"/>
  <c r="V269" i="13"/>
  <c r="V268" i="13"/>
  <c r="V267" i="13"/>
  <c r="V266" i="13"/>
  <c r="V265" i="13"/>
  <c r="V264" i="13"/>
  <c r="V263" i="13"/>
  <c r="V262" i="13"/>
  <c r="V261" i="13"/>
  <c r="V260" i="13"/>
  <c r="V259" i="13"/>
  <c r="V258" i="13"/>
  <c r="V257" i="13"/>
  <c r="V256" i="13"/>
  <c r="V255" i="13"/>
  <c r="V254" i="13"/>
  <c r="V253" i="13"/>
  <c r="V252" i="13"/>
  <c r="V251" i="13"/>
  <c r="V250" i="13"/>
  <c r="V249" i="13"/>
  <c r="V248" i="13"/>
  <c r="V247" i="13"/>
  <c r="V246" i="13"/>
  <c r="V245" i="13"/>
  <c r="V244" i="13"/>
  <c r="V243" i="13"/>
  <c r="V242" i="13"/>
  <c r="V241" i="13"/>
  <c r="V240" i="13"/>
  <c r="V239" i="13"/>
  <c r="V238" i="13"/>
  <c r="V237" i="13"/>
  <c r="V236" i="13"/>
  <c r="V235" i="13"/>
  <c r="V234" i="13"/>
  <c r="V233" i="13"/>
  <c r="V232" i="13"/>
  <c r="V231" i="13"/>
  <c r="V230" i="13"/>
  <c r="V229" i="13"/>
  <c r="V228" i="13"/>
  <c r="V227" i="13"/>
  <c r="V226" i="13"/>
  <c r="V225" i="13"/>
  <c r="V224" i="13"/>
  <c r="V223" i="13"/>
  <c r="V222" i="13"/>
  <c r="V221" i="13"/>
  <c r="V220" i="13"/>
  <c r="V219" i="13"/>
  <c r="V218" i="13"/>
  <c r="V217" i="13"/>
  <c r="V216" i="13"/>
  <c r="V215" i="13"/>
  <c r="V214" i="13"/>
  <c r="V213" i="13"/>
  <c r="V212" i="13"/>
  <c r="V211" i="13"/>
  <c r="V210" i="13"/>
  <c r="V209" i="13"/>
  <c r="V208" i="13"/>
  <c r="V207" i="13"/>
  <c r="V206" i="13"/>
  <c r="V205" i="13"/>
  <c r="V204" i="13"/>
  <c r="V203" i="13"/>
  <c r="V202" i="13"/>
  <c r="V201" i="13"/>
  <c r="V200" i="13"/>
  <c r="V199" i="13"/>
  <c r="V198" i="13"/>
  <c r="V197" i="13"/>
  <c r="V196" i="13"/>
  <c r="V195" i="13"/>
  <c r="V194" i="13"/>
  <c r="V193" i="13"/>
  <c r="V192" i="13"/>
  <c r="V191" i="13"/>
  <c r="V190" i="13"/>
  <c r="V189" i="13"/>
  <c r="V188" i="13"/>
  <c r="V187" i="13"/>
  <c r="V186" i="13"/>
  <c r="V185" i="13"/>
  <c r="V184" i="13"/>
  <c r="V183" i="13"/>
  <c r="V182" i="13"/>
  <c r="V181" i="13"/>
  <c r="V180" i="13"/>
  <c r="V179" i="13"/>
  <c r="V178" i="13"/>
  <c r="V177" i="13"/>
  <c r="V176" i="13"/>
  <c r="V175" i="13"/>
  <c r="V174" i="13"/>
  <c r="V173" i="13"/>
  <c r="V172" i="13"/>
  <c r="V171" i="13"/>
  <c r="V170" i="13"/>
  <c r="V169" i="13"/>
  <c r="V168" i="13"/>
  <c r="V167" i="13"/>
  <c r="V166" i="13"/>
  <c r="V165" i="13"/>
  <c r="V164" i="13"/>
  <c r="V163" i="13"/>
  <c r="V162" i="13"/>
  <c r="V161" i="13"/>
  <c r="V160" i="13"/>
  <c r="V159" i="13"/>
  <c r="V158" i="13"/>
  <c r="V157" i="13"/>
  <c r="V156" i="13"/>
  <c r="V155" i="13"/>
  <c r="V154" i="13"/>
  <c r="V153" i="13"/>
  <c r="V152" i="13"/>
  <c r="V151" i="13"/>
  <c r="V150" i="13"/>
  <c r="V149" i="13"/>
  <c r="V148" i="13"/>
  <c r="V147" i="13"/>
  <c r="V146" i="13"/>
  <c r="V145" i="13"/>
  <c r="V144" i="13"/>
  <c r="V143" i="13"/>
  <c r="V142" i="13"/>
  <c r="V141" i="13"/>
  <c r="V140" i="13"/>
  <c r="V139" i="13"/>
  <c r="V138" i="13"/>
  <c r="V137" i="13"/>
  <c r="V136" i="13"/>
  <c r="V135" i="13"/>
  <c r="V134" i="13"/>
  <c r="V133" i="13"/>
  <c r="V132" i="13"/>
  <c r="V131" i="13"/>
  <c r="V130" i="13"/>
  <c r="V129" i="13"/>
  <c r="V128" i="13"/>
  <c r="V127" i="13"/>
  <c r="V126" i="13"/>
  <c r="V125" i="13"/>
  <c r="V124" i="13"/>
  <c r="V123" i="13"/>
  <c r="V122" i="13"/>
  <c r="V121" i="13"/>
  <c r="V120" i="13"/>
  <c r="V119" i="13"/>
  <c r="V118" i="13"/>
  <c r="V117" i="13"/>
  <c r="V116" i="13"/>
  <c r="V115" i="13"/>
  <c r="V114" i="13"/>
  <c r="V113" i="13"/>
  <c r="V112" i="13"/>
  <c r="V111" i="13"/>
  <c r="V110" i="13"/>
  <c r="V109" i="13"/>
  <c r="V108" i="13"/>
  <c r="V107" i="13"/>
  <c r="V106" i="13"/>
  <c r="V105" i="13"/>
  <c r="V104" i="13"/>
  <c r="V103" i="13"/>
  <c r="V102" i="13"/>
  <c r="V101" i="13"/>
  <c r="V100" i="13"/>
  <c r="V99" i="13"/>
  <c r="V98" i="13"/>
  <c r="V97" i="13"/>
  <c r="V96" i="13"/>
  <c r="V95" i="13"/>
  <c r="V94" i="13"/>
  <c r="V93" i="13"/>
  <c r="V92" i="13"/>
  <c r="V91" i="13"/>
  <c r="V90" i="13"/>
  <c r="V89" i="13"/>
  <c r="V88" i="13"/>
  <c r="V87" i="13"/>
  <c r="V86" i="13"/>
  <c r="V85" i="13"/>
  <c r="V84" i="13"/>
  <c r="V83" i="13"/>
  <c r="V82" i="13"/>
  <c r="V81" i="13"/>
  <c r="V80" i="13"/>
  <c r="V79" i="13"/>
  <c r="V78" i="13"/>
  <c r="V77" i="13"/>
  <c r="V76" i="13"/>
  <c r="V75" i="13"/>
  <c r="V74" i="13"/>
  <c r="V73" i="13"/>
  <c r="V72" i="13"/>
  <c r="V71" i="13"/>
  <c r="V70" i="13"/>
  <c r="V69" i="13"/>
  <c r="V68" i="13"/>
  <c r="V67" i="13"/>
  <c r="V66" i="13"/>
  <c r="V65" i="13"/>
  <c r="V64" i="13"/>
  <c r="V63" i="13"/>
  <c r="V62" i="13"/>
  <c r="V61" i="13"/>
  <c r="V60" i="13"/>
  <c r="V59" i="13"/>
  <c r="V58" i="13"/>
  <c r="V57" i="13"/>
  <c r="V56" i="13"/>
  <c r="V55" i="13"/>
  <c r="V54" i="13"/>
  <c r="V53" i="13"/>
  <c r="V52" i="13"/>
  <c r="V51" i="13"/>
  <c r="V50" i="13"/>
  <c r="V49" i="13"/>
  <c r="V48" i="13"/>
  <c r="V47" i="13"/>
  <c r="V46" i="13"/>
  <c r="V45" i="13"/>
  <c r="V44" i="13"/>
  <c r="V43" i="13"/>
  <c r="V42" i="13"/>
  <c r="V41" i="13"/>
  <c r="V40" i="13"/>
  <c r="V39" i="13"/>
  <c r="V38" i="13"/>
  <c r="V37" i="13"/>
  <c r="V36" i="13"/>
  <c r="V35" i="13"/>
  <c r="V34" i="13"/>
  <c r="V33" i="13"/>
  <c r="V32" i="13"/>
  <c r="V31" i="13"/>
  <c r="V30" i="13"/>
  <c r="V29" i="13"/>
  <c r="V28" i="13"/>
  <c r="V27" i="13"/>
  <c r="V26" i="13"/>
  <c r="V25" i="13"/>
  <c r="V24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7" i="13"/>
  <c r="V4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7" i="13"/>
  <c r="U4" i="13"/>
  <c r="B289" i="13"/>
  <c r="B284" i="13" a="1"/>
  <c r="B284" i="13" s="1"/>
  <c r="G270" i="13"/>
  <c r="R270" i="13"/>
  <c r="S270" i="13"/>
  <c r="G269" i="13"/>
  <c r="R269" i="13"/>
  <c r="S269" i="13"/>
  <c r="G268" i="13"/>
  <c r="R268" i="13"/>
  <c r="S268" i="13"/>
  <c r="L507" i="9" l="1" a="1"/>
  <c r="L507" i="9" s="1"/>
  <c r="T267" i="13"/>
  <c r="T266" i="13"/>
  <c r="T265" i="13"/>
  <c r="T264" i="13"/>
  <c r="T263" i="13"/>
  <c r="T262" i="13"/>
  <c r="T261" i="13"/>
  <c r="T260" i="13"/>
  <c r="T259" i="13"/>
  <c r="T258" i="13"/>
  <c r="T257" i="13"/>
  <c r="T256" i="13"/>
  <c r="T255" i="13"/>
  <c r="T254" i="13"/>
  <c r="T253" i="13"/>
  <c r="T252" i="13"/>
  <c r="T251" i="13"/>
  <c r="T250" i="13"/>
  <c r="T249" i="13"/>
  <c r="T248" i="13"/>
  <c r="T247" i="13"/>
  <c r="T246" i="13"/>
  <c r="T245" i="13"/>
  <c r="T244" i="13"/>
  <c r="T243" i="13"/>
  <c r="T242" i="13"/>
  <c r="T241" i="13"/>
  <c r="T240" i="13"/>
  <c r="T239" i="13"/>
  <c r="T238" i="13"/>
  <c r="T237" i="13"/>
  <c r="T236" i="13"/>
  <c r="T235" i="13"/>
  <c r="T234" i="13"/>
  <c r="T233" i="13"/>
  <c r="T232" i="13"/>
  <c r="T231" i="13"/>
  <c r="T230" i="13"/>
  <c r="T229" i="13"/>
  <c r="T228" i="13"/>
  <c r="T227" i="13"/>
  <c r="T226" i="13"/>
  <c r="T225" i="13"/>
  <c r="T224" i="13"/>
  <c r="T223" i="13"/>
  <c r="T222" i="13"/>
  <c r="T221" i="13"/>
  <c r="T220" i="13"/>
  <c r="T219" i="13"/>
  <c r="T218" i="13"/>
  <c r="T217" i="13"/>
  <c r="T216" i="13"/>
  <c r="T215" i="13"/>
  <c r="T214" i="13"/>
  <c r="T213" i="13"/>
  <c r="T212" i="13"/>
  <c r="T211" i="13"/>
  <c r="T210" i="13"/>
  <c r="T209" i="13"/>
  <c r="T208" i="13"/>
  <c r="T207" i="13"/>
  <c r="T206" i="13"/>
  <c r="T205" i="13"/>
  <c r="T204" i="13"/>
  <c r="T203" i="13"/>
  <c r="T202" i="13"/>
  <c r="T201" i="13"/>
  <c r="T200" i="13"/>
  <c r="T199" i="13"/>
  <c r="T198" i="13"/>
  <c r="T197" i="13"/>
  <c r="T196" i="13"/>
  <c r="T195" i="13"/>
  <c r="T194" i="13"/>
  <c r="T193" i="13"/>
  <c r="T192" i="13"/>
  <c r="T191" i="13"/>
  <c r="T190" i="13"/>
  <c r="T189" i="13"/>
  <c r="T188" i="13"/>
  <c r="T187" i="13"/>
  <c r="T186" i="13"/>
  <c r="T185" i="13"/>
  <c r="T184" i="13"/>
  <c r="T183" i="13"/>
  <c r="T182" i="13"/>
  <c r="T181" i="13"/>
  <c r="T180" i="13"/>
  <c r="T179" i="13"/>
  <c r="T178" i="13"/>
  <c r="T177" i="13"/>
  <c r="T176" i="13"/>
  <c r="T175" i="13"/>
  <c r="T174" i="13"/>
  <c r="T173" i="13"/>
  <c r="T172" i="13"/>
  <c r="T171" i="13"/>
  <c r="T170" i="13"/>
  <c r="T169" i="13"/>
  <c r="T168" i="13"/>
  <c r="T167" i="13"/>
  <c r="T166" i="13"/>
  <c r="T165" i="13"/>
  <c r="T164" i="13"/>
  <c r="T163" i="13"/>
  <c r="T162" i="13"/>
  <c r="T161" i="13"/>
  <c r="T160" i="13"/>
  <c r="T159" i="13"/>
  <c r="T158" i="13"/>
  <c r="T157" i="13"/>
  <c r="T156" i="13"/>
  <c r="T155" i="13"/>
  <c r="T154" i="13"/>
  <c r="T153" i="13"/>
  <c r="T152" i="13"/>
  <c r="T151" i="13"/>
  <c r="T150" i="13"/>
  <c r="T149" i="13"/>
  <c r="T148" i="13"/>
  <c r="T147" i="13"/>
  <c r="T146" i="13"/>
  <c r="T145" i="13"/>
  <c r="T144" i="13"/>
  <c r="T143" i="13"/>
  <c r="T142" i="13"/>
  <c r="T141" i="13"/>
  <c r="T140" i="13"/>
  <c r="T139" i="13"/>
  <c r="T138" i="13"/>
  <c r="T137" i="13"/>
  <c r="T136" i="13"/>
  <c r="T135" i="13"/>
  <c r="T134" i="13"/>
  <c r="T133" i="13"/>
  <c r="T132" i="13"/>
  <c r="T131" i="13"/>
  <c r="T130" i="13"/>
  <c r="T129" i="13"/>
  <c r="T128" i="13"/>
  <c r="T127" i="13"/>
  <c r="T126" i="13"/>
  <c r="T125" i="13"/>
  <c r="T124" i="13"/>
  <c r="T123" i="13"/>
  <c r="T122" i="13"/>
  <c r="T121" i="13"/>
  <c r="T120" i="13"/>
  <c r="T119" i="13"/>
  <c r="T118" i="13"/>
  <c r="T117" i="13"/>
  <c r="T116" i="13"/>
  <c r="T115" i="13"/>
  <c r="T114" i="13"/>
  <c r="T113" i="13"/>
  <c r="T112" i="13"/>
  <c r="T111" i="13"/>
  <c r="T110" i="13"/>
  <c r="T109" i="13"/>
  <c r="T108" i="13"/>
  <c r="T107" i="13"/>
  <c r="T106" i="13"/>
  <c r="T105" i="13"/>
  <c r="T104" i="13"/>
  <c r="T103" i="13"/>
  <c r="T102" i="13"/>
  <c r="T101" i="13"/>
  <c r="T100" i="13"/>
  <c r="T99" i="13"/>
  <c r="T98" i="13"/>
  <c r="T97" i="13"/>
  <c r="T96" i="13"/>
  <c r="T95" i="13"/>
  <c r="T94" i="13"/>
  <c r="T93" i="13"/>
  <c r="T92" i="13"/>
  <c r="T91" i="13"/>
  <c r="T90" i="13"/>
  <c r="T89" i="13"/>
  <c r="T88" i="13"/>
  <c r="T87" i="13"/>
  <c r="T86" i="13"/>
  <c r="T85" i="13"/>
  <c r="T84" i="13"/>
  <c r="T83" i="13"/>
  <c r="T82" i="13"/>
  <c r="T81" i="13"/>
  <c r="T80" i="13"/>
  <c r="T79" i="13"/>
  <c r="T78" i="13"/>
  <c r="T77" i="13"/>
  <c r="T76" i="13"/>
  <c r="T75" i="13"/>
  <c r="T74" i="13"/>
  <c r="T73" i="13"/>
  <c r="T72" i="13"/>
  <c r="T71" i="13"/>
  <c r="T70" i="13"/>
  <c r="T69" i="13"/>
  <c r="T68" i="13"/>
  <c r="T67" i="13"/>
  <c r="T66" i="13"/>
  <c r="T65" i="13"/>
  <c r="T64" i="13"/>
  <c r="T63" i="13"/>
  <c r="T62" i="13"/>
  <c r="T61" i="13"/>
  <c r="T60" i="13"/>
  <c r="T59" i="13"/>
  <c r="T58" i="13"/>
  <c r="T57" i="13"/>
  <c r="T56" i="13"/>
  <c r="T55" i="13"/>
  <c r="T54" i="13"/>
  <c r="T53" i="13"/>
  <c r="T52" i="13"/>
  <c r="T51" i="13"/>
  <c r="T50" i="13"/>
  <c r="T49" i="13"/>
  <c r="T48" i="13"/>
  <c r="T47" i="13"/>
  <c r="T46" i="13"/>
  <c r="T45" i="13"/>
  <c r="T44" i="13"/>
  <c r="T43" i="13"/>
  <c r="T42" i="13"/>
  <c r="T41" i="13"/>
  <c r="T40" i="13"/>
  <c r="T39" i="13"/>
  <c r="T38" i="13"/>
  <c r="T37" i="13"/>
  <c r="T36" i="13"/>
  <c r="T35" i="13"/>
  <c r="T34" i="13"/>
  <c r="T33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T10" i="13"/>
  <c r="T7" i="13"/>
  <c r="T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17" i="13"/>
  <c r="S118" i="13"/>
  <c r="S119" i="13"/>
  <c r="S120" i="13"/>
  <c r="S121" i="13"/>
  <c r="S122" i="13"/>
  <c r="S123" i="13"/>
  <c r="S124" i="13"/>
  <c r="S125" i="13"/>
  <c r="S126" i="13"/>
  <c r="S127" i="13"/>
  <c r="S128" i="13"/>
  <c r="S129" i="13"/>
  <c r="S130" i="13"/>
  <c r="S131" i="13"/>
  <c r="S132" i="13"/>
  <c r="S133" i="13"/>
  <c r="S134" i="13"/>
  <c r="S135" i="13"/>
  <c r="S136" i="13"/>
  <c r="S137" i="13"/>
  <c r="S138" i="13"/>
  <c r="S139" i="13"/>
  <c r="S140" i="13"/>
  <c r="S141" i="13"/>
  <c r="S142" i="13"/>
  <c r="S143" i="13"/>
  <c r="S144" i="13"/>
  <c r="S145" i="13"/>
  <c r="S146" i="13"/>
  <c r="S147" i="13"/>
  <c r="S148" i="13"/>
  <c r="S149" i="13"/>
  <c r="S150" i="13"/>
  <c r="S151" i="13"/>
  <c r="S152" i="13"/>
  <c r="S153" i="13"/>
  <c r="S154" i="13"/>
  <c r="S155" i="13"/>
  <c r="S156" i="13"/>
  <c r="S157" i="13"/>
  <c r="S158" i="13"/>
  <c r="S159" i="13"/>
  <c r="S160" i="13"/>
  <c r="S161" i="13"/>
  <c r="S162" i="13"/>
  <c r="S163" i="13"/>
  <c r="S164" i="13"/>
  <c r="S165" i="13"/>
  <c r="S166" i="13"/>
  <c r="S167" i="13"/>
  <c r="S168" i="13"/>
  <c r="S169" i="13"/>
  <c r="S170" i="13"/>
  <c r="S171" i="13"/>
  <c r="S172" i="13"/>
  <c r="S173" i="13"/>
  <c r="S174" i="13"/>
  <c r="S175" i="13"/>
  <c r="S176" i="13"/>
  <c r="S177" i="13"/>
  <c r="S178" i="13"/>
  <c r="S179" i="13"/>
  <c r="S180" i="13"/>
  <c r="S181" i="13"/>
  <c r="S182" i="13"/>
  <c r="S183" i="13"/>
  <c r="S184" i="13"/>
  <c r="S185" i="13"/>
  <c r="S186" i="13"/>
  <c r="S187" i="13"/>
  <c r="S188" i="13"/>
  <c r="S189" i="13"/>
  <c r="S190" i="13"/>
  <c r="S191" i="13"/>
  <c r="S192" i="13"/>
  <c r="S193" i="13"/>
  <c r="S194" i="13"/>
  <c r="S195" i="13"/>
  <c r="S196" i="13"/>
  <c r="S197" i="13"/>
  <c r="S198" i="13"/>
  <c r="S199" i="13"/>
  <c r="S200" i="13"/>
  <c r="S201" i="13"/>
  <c r="S202" i="13"/>
  <c r="S203" i="13"/>
  <c r="S204" i="13"/>
  <c r="S205" i="13"/>
  <c r="S206" i="13"/>
  <c r="S207" i="13"/>
  <c r="S208" i="13"/>
  <c r="S209" i="13"/>
  <c r="S210" i="13"/>
  <c r="S211" i="13"/>
  <c r="S212" i="13"/>
  <c r="S213" i="13"/>
  <c r="S214" i="13"/>
  <c r="S215" i="13"/>
  <c r="S216" i="13"/>
  <c r="S217" i="13"/>
  <c r="S218" i="13"/>
  <c r="S219" i="13"/>
  <c r="S220" i="13"/>
  <c r="S221" i="13"/>
  <c r="S222" i="13"/>
  <c r="S223" i="13"/>
  <c r="S224" i="13"/>
  <c r="S225" i="13"/>
  <c r="S226" i="13"/>
  <c r="S227" i="13"/>
  <c r="S228" i="13"/>
  <c r="S229" i="13"/>
  <c r="S230" i="13"/>
  <c r="S231" i="13"/>
  <c r="S232" i="13"/>
  <c r="S233" i="13"/>
  <c r="S234" i="13"/>
  <c r="S235" i="13"/>
  <c r="S236" i="13"/>
  <c r="S237" i="13"/>
  <c r="S238" i="13"/>
  <c r="S239" i="13"/>
  <c r="S240" i="13"/>
  <c r="S241" i="13"/>
  <c r="S242" i="13"/>
  <c r="S243" i="13"/>
  <c r="S244" i="13"/>
  <c r="S245" i="13"/>
  <c r="S246" i="13"/>
  <c r="S247" i="13"/>
  <c r="S248" i="13"/>
  <c r="S249" i="13"/>
  <c r="S250" i="13"/>
  <c r="S251" i="13"/>
  <c r="S252" i="13"/>
  <c r="S253" i="13"/>
  <c r="S254" i="13"/>
  <c r="S255" i="13"/>
  <c r="S256" i="13"/>
  <c r="S257" i="13"/>
  <c r="S258" i="13"/>
  <c r="S259" i="13"/>
  <c r="S260" i="13"/>
  <c r="S261" i="13"/>
  <c r="S262" i="13"/>
  <c r="S263" i="13"/>
  <c r="S264" i="13"/>
  <c r="S265" i="13"/>
  <c r="S266" i="13"/>
  <c r="S267" i="13"/>
  <c r="S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R115" i="13"/>
  <c r="R116" i="13"/>
  <c r="R117" i="13"/>
  <c r="R118" i="13"/>
  <c r="R119" i="13"/>
  <c r="R120" i="13"/>
  <c r="R121" i="13"/>
  <c r="R122" i="13"/>
  <c r="R123" i="13"/>
  <c r="R124" i="13"/>
  <c r="R125" i="13"/>
  <c r="R126" i="13"/>
  <c r="R127" i="13"/>
  <c r="R128" i="13"/>
  <c r="R129" i="13"/>
  <c r="R130" i="13"/>
  <c r="R131" i="13"/>
  <c r="R132" i="13"/>
  <c r="R133" i="13"/>
  <c r="R134" i="13"/>
  <c r="R135" i="13"/>
  <c r="R136" i="13"/>
  <c r="R137" i="13"/>
  <c r="R138" i="13"/>
  <c r="R139" i="13"/>
  <c r="R140" i="13"/>
  <c r="R141" i="13"/>
  <c r="R142" i="13"/>
  <c r="R143" i="13"/>
  <c r="R144" i="13"/>
  <c r="R145" i="13"/>
  <c r="R146" i="13"/>
  <c r="R147" i="13"/>
  <c r="R148" i="13"/>
  <c r="R149" i="13"/>
  <c r="R150" i="13"/>
  <c r="R151" i="13"/>
  <c r="R152" i="13"/>
  <c r="R153" i="13"/>
  <c r="R154" i="13"/>
  <c r="R155" i="13"/>
  <c r="R156" i="13"/>
  <c r="R157" i="13"/>
  <c r="R158" i="13"/>
  <c r="R159" i="13"/>
  <c r="R160" i="13"/>
  <c r="R161" i="13"/>
  <c r="R162" i="13"/>
  <c r="R163" i="13"/>
  <c r="R164" i="13"/>
  <c r="R165" i="13"/>
  <c r="R166" i="13"/>
  <c r="R167" i="13"/>
  <c r="R168" i="13"/>
  <c r="R169" i="13"/>
  <c r="R170" i="13"/>
  <c r="R171" i="13"/>
  <c r="R172" i="13"/>
  <c r="R173" i="13"/>
  <c r="R174" i="13"/>
  <c r="R175" i="13"/>
  <c r="R176" i="13"/>
  <c r="R177" i="13"/>
  <c r="R178" i="13"/>
  <c r="R179" i="13"/>
  <c r="R180" i="13"/>
  <c r="R181" i="13"/>
  <c r="R182" i="13"/>
  <c r="R183" i="13"/>
  <c r="R184" i="13"/>
  <c r="R185" i="13"/>
  <c r="R186" i="13"/>
  <c r="R187" i="13"/>
  <c r="R188" i="13"/>
  <c r="R189" i="13"/>
  <c r="R190" i="13"/>
  <c r="R191" i="13"/>
  <c r="R192" i="13"/>
  <c r="R193" i="13"/>
  <c r="R194" i="13"/>
  <c r="R195" i="13"/>
  <c r="R196" i="13"/>
  <c r="R197" i="13"/>
  <c r="R198" i="13"/>
  <c r="R199" i="13"/>
  <c r="R200" i="13"/>
  <c r="R201" i="13"/>
  <c r="R202" i="13"/>
  <c r="R203" i="13"/>
  <c r="R204" i="13"/>
  <c r="R205" i="13"/>
  <c r="R206" i="13"/>
  <c r="R207" i="13"/>
  <c r="R208" i="13"/>
  <c r="R209" i="13"/>
  <c r="R210" i="13"/>
  <c r="R211" i="13"/>
  <c r="R212" i="13"/>
  <c r="R213" i="13"/>
  <c r="R214" i="13"/>
  <c r="R215" i="13"/>
  <c r="R216" i="13"/>
  <c r="R217" i="13"/>
  <c r="R218" i="13"/>
  <c r="R219" i="13"/>
  <c r="R220" i="13"/>
  <c r="R221" i="13"/>
  <c r="R222" i="13"/>
  <c r="R223" i="13"/>
  <c r="R224" i="13"/>
  <c r="R225" i="13"/>
  <c r="R226" i="13"/>
  <c r="R227" i="13"/>
  <c r="R228" i="13"/>
  <c r="R229" i="13"/>
  <c r="R230" i="13"/>
  <c r="R231" i="13"/>
  <c r="R232" i="13"/>
  <c r="R233" i="13"/>
  <c r="R234" i="13"/>
  <c r="R235" i="13"/>
  <c r="R236" i="13"/>
  <c r="R237" i="13"/>
  <c r="R238" i="13"/>
  <c r="R239" i="13"/>
  <c r="R240" i="13"/>
  <c r="R241" i="13"/>
  <c r="R242" i="13"/>
  <c r="R243" i="13"/>
  <c r="R244" i="13"/>
  <c r="R245" i="13"/>
  <c r="R246" i="13"/>
  <c r="R247" i="13"/>
  <c r="R248" i="13"/>
  <c r="R249" i="13"/>
  <c r="R250" i="13"/>
  <c r="R251" i="13"/>
  <c r="R252" i="13"/>
  <c r="R253" i="13"/>
  <c r="R254" i="13"/>
  <c r="R255" i="13"/>
  <c r="R256" i="13"/>
  <c r="R257" i="13"/>
  <c r="R258" i="13"/>
  <c r="R259" i="13"/>
  <c r="R260" i="13"/>
  <c r="R261" i="13"/>
  <c r="R262" i="13"/>
  <c r="R263" i="13"/>
  <c r="R264" i="13"/>
  <c r="R265" i="13"/>
  <c r="R266" i="13"/>
  <c r="R267" i="13"/>
  <c r="R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45" i="13"/>
  <c r="P246" i="13"/>
  <c r="P247" i="13"/>
  <c r="P248" i="13"/>
  <c r="P249" i="13"/>
  <c r="P250" i="13"/>
  <c r="P251" i="13"/>
  <c r="P252" i="13"/>
  <c r="P253" i="13"/>
  <c r="P254" i="13"/>
  <c r="P255" i="13"/>
  <c r="P256" i="13"/>
  <c r="P257" i="13"/>
  <c r="P258" i="13"/>
  <c r="P259" i="13"/>
  <c r="P260" i="13"/>
  <c r="P261" i="13"/>
  <c r="P262" i="13"/>
  <c r="P263" i="13"/>
  <c r="P264" i="13"/>
  <c r="P265" i="13"/>
  <c r="P266" i="13"/>
  <c r="P267" i="13"/>
  <c r="P4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5" i="13"/>
  <c r="O4" i="13"/>
  <c r="Q5" i="9"/>
  <c r="P5" i="9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4" i="13"/>
  <c r="M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4" i="13"/>
  <c r="I5" i="9"/>
  <c r="I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B12" i="9"/>
  <c r="I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I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I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I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I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I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I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I20" i="9"/>
  <c r="L20" i="9"/>
  <c r="M20" i="9"/>
  <c r="N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I21" i="9"/>
  <c r="L21" i="9"/>
  <c r="M21" i="9"/>
  <c r="N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I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I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I24" i="9"/>
  <c r="L24" i="9"/>
  <c r="M24" i="9"/>
  <c r="N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I25" i="9"/>
  <c r="L25" i="9"/>
  <c r="M25" i="9"/>
  <c r="N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I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I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I28" i="9"/>
  <c r="L28" i="9"/>
  <c r="M28" i="9"/>
  <c r="N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I29" i="9"/>
  <c r="L29" i="9"/>
  <c r="M29" i="9"/>
  <c r="N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I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I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I32" i="9"/>
  <c r="L32" i="9"/>
  <c r="M32" i="9"/>
  <c r="N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I33" i="9"/>
  <c r="L33" i="9"/>
  <c r="M33" i="9"/>
  <c r="N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I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I35" i="9"/>
  <c r="L35" i="9"/>
  <c r="M35" i="9"/>
  <c r="N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I36" i="9"/>
  <c r="L36" i="9"/>
  <c r="M36" i="9"/>
  <c r="N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I37" i="9"/>
  <c r="L37" i="9"/>
  <c r="M37" i="9"/>
  <c r="N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I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I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I40" i="9"/>
  <c r="L40" i="9"/>
  <c r="M40" i="9"/>
  <c r="N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I41" i="9"/>
  <c r="L41" i="9"/>
  <c r="M41" i="9"/>
  <c r="N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I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I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I44" i="9"/>
  <c r="L44" i="9"/>
  <c r="M44" i="9"/>
  <c r="N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I45" i="9"/>
  <c r="L45" i="9"/>
  <c r="M45" i="9"/>
  <c r="N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I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I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I48" i="9"/>
  <c r="L48" i="9"/>
  <c r="M48" i="9"/>
  <c r="N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I49" i="9"/>
  <c r="L49" i="9"/>
  <c r="M49" i="9"/>
  <c r="N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I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I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I52" i="9"/>
  <c r="L52" i="9"/>
  <c r="M52" i="9"/>
  <c r="N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I53" i="9"/>
  <c r="L53" i="9"/>
  <c r="M53" i="9"/>
  <c r="N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I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I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I56" i="9"/>
  <c r="L56" i="9"/>
  <c r="M56" i="9"/>
  <c r="N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I57" i="9"/>
  <c r="L57" i="9"/>
  <c r="M57" i="9"/>
  <c r="N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I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I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I60" i="9"/>
  <c r="L60" i="9"/>
  <c r="M60" i="9"/>
  <c r="N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I61" i="9"/>
  <c r="L61" i="9"/>
  <c r="M61" i="9"/>
  <c r="N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I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I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I64" i="9"/>
  <c r="L64" i="9"/>
  <c r="M64" i="9"/>
  <c r="N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I65" i="9"/>
  <c r="L65" i="9"/>
  <c r="M65" i="9"/>
  <c r="N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I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I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I68" i="9"/>
  <c r="L68" i="9"/>
  <c r="M68" i="9"/>
  <c r="N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I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I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I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I72" i="9"/>
  <c r="L72" i="9"/>
  <c r="M72" i="9"/>
  <c r="N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I73" i="9"/>
  <c r="L73" i="9"/>
  <c r="M73" i="9"/>
  <c r="N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I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I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I76" i="9"/>
  <c r="L76" i="9"/>
  <c r="M76" i="9"/>
  <c r="N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I77" i="9"/>
  <c r="L77" i="9"/>
  <c r="M77" i="9"/>
  <c r="N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I78" i="9"/>
  <c r="L78" i="9"/>
  <c r="M78" i="9"/>
  <c r="N78" i="9"/>
  <c r="O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I79" i="9"/>
  <c r="L79" i="9"/>
  <c r="M79" i="9"/>
  <c r="N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I80" i="9"/>
  <c r="L80" i="9"/>
  <c r="M80" i="9"/>
  <c r="N80" i="9"/>
  <c r="P80" i="9"/>
  <c r="Q80" i="9"/>
  <c r="R80" i="9"/>
  <c r="S80" i="9"/>
  <c r="T80" i="9"/>
  <c r="U80" i="9"/>
  <c r="V80" i="9"/>
  <c r="W80" i="9"/>
  <c r="X80" i="9"/>
  <c r="Y80" i="9"/>
  <c r="Z80" i="9"/>
  <c r="AA80" i="9"/>
  <c r="AB80" i="9"/>
  <c r="I81" i="9"/>
  <c r="L81" i="9"/>
  <c r="M81" i="9"/>
  <c r="N81" i="9"/>
  <c r="P81" i="9"/>
  <c r="Q81" i="9"/>
  <c r="R81" i="9"/>
  <c r="S81" i="9"/>
  <c r="T81" i="9"/>
  <c r="U81" i="9"/>
  <c r="V81" i="9"/>
  <c r="W81" i="9"/>
  <c r="X81" i="9"/>
  <c r="Y81" i="9"/>
  <c r="Z81" i="9"/>
  <c r="AA81" i="9"/>
  <c r="AB81" i="9"/>
  <c r="I82" i="9"/>
  <c r="L82" i="9"/>
  <c r="M82" i="9"/>
  <c r="N82" i="9"/>
  <c r="O82" i="9"/>
  <c r="P82" i="9"/>
  <c r="Q82" i="9"/>
  <c r="R82" i="9"/>
  <c r="S82" i="9"/>
  <c r="T82" i="9"/>
  <c r="U82" i="9"/>
  <c r="V82" i="9"/>
  <c r="W82" i="9"/>
  <c r="X82" i="9"/>
  <c r="Y82" i="9"/>
  <c r="Z82" i="9"/>
  <c r="AA82" i="9"/>
  <c r="AB82" i="9"/>
  <c r="I83" i="9"/>
  <c r="L83" i="9"/>
  <c r="M83" i="9"/>
  <c r="N83" i="9"/>
  <c r="O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I84" i="9"/>
  <c r="L84" i="9"/>
  <c r="M84" i="9"/>
  <c r="N84" i="9"/>
  <c r="P84" i="9"/>
  <c r="Q84" i="9"/>
  <c r="R84" i="9"/>
  <c r="S84" i="9"/>
  <c r="T84" i="9"/>
  <c r="U84" i="9"/>
  <c r="V84" i="9"/>
  <c r="W84" i="9"/>
  <c r="X84" i="9"/>
  <c r="Y84" i="9"/>
  <c r="Z84" i="9"/>
  <c r="AA84" i="9"/>
  <c r="AB84" i="9"/>
  <c r="I85" i="9"/>
  <c r="L85" i="9"/>
  <c r="M85" i="9"/>
  <c r="N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I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I87" i="9"/>
  <c r="L87" i="9"/>
  <c r="M87" i="9"/>
  <c r="N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I88" i="9"/>
  <c r="L88" i="9"/>
  <c r="M88" i="9"/>
  <c r="N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I89" i="9"/>
  <c r="L89" i="9"/>
  <c r="M89" i="9"/>
  <c r="N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I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I91" i="9"/>
  <c r="L91" i="9"/>
  <c r="M91" i="9"/>
  <c r="N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I92" i="9"/>
  <c r="L92" i="9"/>
  <c r="M92" i="9"/>
  <c r="N92" i="9"/>
  <c r="P92" i="9"/>
  <c r="Q92" i="9"/>
  <c r="R92" i="9"/>
  <c r="S92" i="9"/>
  <c r="T92" i="9"/>
  <c r="U92" i="9"/>
  <c r="V92" i="9"/>
  <c r="W92" i="9"/>
  <c r="X92" i="9"/>
  <c r="Y92" i="9"/>
  <c r="Z92" i="9"/>
  <c r="AA92" i="9"/>
  <c r="AB92" i="9"/>
  <c r="I93" i="9"/>
  <c r="L93" i="9"/>
  <c r="M93" i="9"/>
  <c r="N93" i="9"/>
  <c r="P93" i="9"/>
  <c r="Q93" i="9"/>
  <c r="R93" i="9"/>
  <c r="S93" i="9"/>
  <c r="T93" i="9"/>
  <c r="U93" i="9"/>
  <c r="V93" i="9"/>
  <c r="W93" i="9"/>
  <c r="X93" i="9"/>
  <c r="Y93" i="9"/>
  <c r="Z93" i="9"/>
  <c r="AA93" i="9"/>
  <c r="AB93" i="9"/>
  <c r="I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I95" i="9"/>
  <c r="L95" i="9"/>
  <c r="M95" i="9"/>
  <c r="N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I96" i="9"/>
  <c r="L96" i="9"/>
  <c r="M96" i="9"/>
  <c r="N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I97" i="9"/>
  <c r="L97" i="9"/>
  <c r="M97" i="9"/>
  <c r="N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I98" i="9"/>
  <c r="L98" i="9"/>
  <c r="M98" i="9"/>
  <c r="N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I99" i="9"/>
  <c r="L99" i="9"/>
  <c r="M99" i="9"/>
  <c r="N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I100" i="9"/>
  <c r="L100" i="9"/>
  <c r="M100" i="9"/>
  <c r="N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I101" i="9"/>
  <c r="L101" i="9"/>
  <c r="M101" i="9"/>
  <c r="N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I102" i="9"/>
  <c r="L102" i="9"/>
  <c r="M102" i="9"/>
  <c r="N102" i="9"/>
  <c r="P102" i="9"/>
  <c r="Q102" i="9"/>
  <c r="R102" i="9"/>
  <c r="S102" i="9"/>
  <c r="T102" i="9"/>
  <c r="U102" i="9"/>
  <c r="V102" i="9"/>
  <c r="W102" i="9"/>
  <c r="X102" i="9"/>
  <c r="Y102" i="9"/>
  <c r="Z102" i="9"/>
  <c r="AA102" i="9"/>
  <c r="AB102" i="9"/>
  <c r="I103" i="9"/>
  <c r="L103" i="9"/>
  <c r="M103" i="9"/>
  <c r="N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I104" i="9"/>
  <c r="L104" i="9"/>
  <c r="M104" i="9"/>
  <c r="N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I105" i="9"/>
  <c r="L105" i="9"/>
  <c r="M105" i="9"/>
  <c r="N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AB105" i="9"/>
  <c r="I106" i="9"/>
  <c r="L106" i="9"/>
  <c r="M106" i="9"/>
  <c r="N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I107" i="9"/>
  <c r="L107" i="9"/>
  <c r="M107" i="9"/>
  <c r="N107" i="9"/>
  <c r="P107" i="9"/>
  <c r="Q107" i="9"/>
  <c r="R107" i="9"/>
  <c r="S107" i="9"/>
  <c r="T107" i="9"/>
  <c r="U107" i="9"/>
  <c r="V107" i="9"/>
  <c r="W107" i="9"/>
  <c r="X107" i="9"/>
  <c r="Y107" i="9"/>
  <c r="Z107" i="9"/>
  <c r="AA107" i="9"/>
  <c r="AB107" i="9"/>
  <c r="I108" i="9"/>
  <c r="L108" i="9"/>
  <c r="M108" i="9"/>
  <c r="N108" i="9"/>
  <c r="P108" i="9"/>
  <c r="Q108" i="9"/>
  <c r="R108" i="9"/>
  <c r="S108" i="9"/>
  <c r="T108" i="9"/>
  <c r="U108" i="9"/>
  <c r="V108" i="9"/>
  <c r="W108" i="9"/>
  <c r="X108" i="9"/>
  <c r="Y108" i="9"/>
  <c r="Z108" i="9"/>
  <c r="AA108" i="9"/>
  <c r="AB108" i="9"/>
  <c r="I109" i="9"/>
  <c r="L109" i="9"/>
  <c r="M109" i="9"/>
  <c r="N109" i="9"/>
  <c r="P109" i="9"/>
  <c r="Q109" i="9"/>
  <c r="R109" i="9"/>
  <c r="S109" i="9"/>
  <c r="T109" i="9"/>
  <c r="U109" i="9"/>
  <c r="V109" i="9"/>
  <c r="W109" i="9"/>
  <c r="X109" i="9"/>
  <c r="Y109" i="9"/>
  <c r="Z109" i="9"/>
  <c r="AA109" i="9"/>
  <c r="AB109" i="9"/>
  <c r="I110" i="9"/>
  <c r="L110" i="9"/>
  <c r="M110" i="9"/>
  <c r="N110" i="9"/>
  <c r="P110" i="9"/>
  <c r="Q110" i="9"/>
  <c r="R110" i="9"/>
  <c r="S110" i="9"/>
  <c r="T110" i="9"/>
  <c r="U110" i="9"/>
  <c r="V110" i="9"/>
  <c r="W110" i="9"/>
  <c r="X110" i="9"/>
  <c r="Y110" i="9"/>
  <c r="Z110" i="9"/>
  <c r="AA110" i="9"/>
  <c r="AB110" i="9"/>
  <c r="I111" i="9"/>
  <c r="L111" i="9"/>
  <c r="M111" i="9"/>
  <c r="N111" i="9"/>
  <c r="P111" i="9"/>
  <c r="Q111" i="9"/>
  <c r="R111" i="9"/>
  <c r="S111" i="9"/>
  <c r="T111" i="9"/>
  <c r="U111" i="9"/>
  <c r="V111" i="9"/>
  <c r="W111" i="9"/>
  <c r="X111" i="9"/>
  <c r="Y111" i="9"/>
  <c r="Z111" i="9"/>
  <c r="AA111" i="9"/>
  <c r="AB111" i="9"/>
  <c r="I112" i="9"/>
  <c r="L112" i="9"/>
  <c r="M112" i="9"/>
  <c r="N112" i="9"/>
  <c r="P112" i="9"/>
  <c r="Q112" i="9"/>
  <c r="R112" i="9"/>
  <c r="S112" i="9"/>
  <c r="T112" i="9"/>
  <c r="U112" i="9"/>
  <c r="V112" i="9"/>
  <c r="W112" i="9"/>
  <c r="X112" i="9"/>
  <c r="Y112" i="9"/>
  <c r="Z112" i="9"/>
  <c r="AA112" i="9"/>
  <c r="AB112" i="9"/>
  <c r="I113" i="9"/>
  <c r="L113" i="9"/>
  <c r="M113" i="9"/>
  <c r="N113" i="9"/>
  <c r="P113" i="9"/>
  <c r="Q113" i="9"/>
  <c r="R113" i="9"/>
  <c r="S113" i="9"/>
  <c r="T113" i="9"/>
  <c r="U113" i="9"/>
  <c r="V113" i="9"/>
  <c r="W113" i="9"/>
  <c r="X113" i="9"/>
  <c r="Y113" i="9"/>
  <c r="Z113" i="9"/>
  <c r="AA113" i="9"/>
  <c r="AB113" i="9"/>
  <c r="I114" i="9"/>
  <c r="L114" i="9"/>
  <c r="M114" i="9"/>
  <c r="N114" i="9"/>
  <c r="P114" i="9"/>
  <c r="Q114" i="9"/>
  <c r="R114" i="9"/>
  <c r="S114" i="9"/>
  <c r="T114" i="9"/>
  <c r="U114" i="9"/>
  <c r="V114" i="9"/>
  <c r="W114" i="9"/>
  <c r="X114" i="9"/>
  <c r="Y114" i="9"/>
  <c r="Z114" i="9"/>
  <c r="AA114" i="9"/>
  <c r="AB114" i="9"/>
  <c r="I115" i="9"/>
  <c r="L115" i="9"/>
  <c r="M115" i="9"/>
  <c r="N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I116" i="9"/>
  <c r="L116" i="9"/>
  <c r="M116" i="9"/>
  <c r="N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I117" i="9"/>
  <c r="L117" i="9"/>
  <c r="M117" i="9"/>
  <c r="N117" i="9"/>
  <c r="P117" i="9"/>
  <c r="Q117" i="9"/>
  <c r="R117" i="9"/>
  <c r="S117" i="9"/>
  <c r="T117" i="9"/>
  <c r="U117" i="9"/>
  <c r="V117" i="9"/>
  <c r="W117" i="9"/>
  <c r="X117" i="9"/>
  <c r="Y117" i="9"/>
  <c r="Z117" i="9"/>
  <c r="AA117" i="9"/>
  <c r="AB117" i="9"/>
  <c r="I118" i="9"/>
  <c r="L118" i="9"/>
  <c r="M118" i="9"/>
  <c r="N118" i="9"/>
  <c r="P118" i="9"/>
  <c r="Q118" i="9"/>
  <c r="R118" i="9"/>
  <c r="S118" i="9"/>
  <c r="T118" i="9"/>
  <c r="U118" i="9"/>
  <c r="V118" i="9"/>
  <c r="W118" i="9"/>
  <c r="X118" i="9"/>
  <c r="Y118" i="9"/>
  <c r="Z118" i="9"/>
  <c r="AA118" i="9"/>
  <c r="AB118" i="9"/>
  <c r="I119" i="9"/>
  <c r="L119" i="9"/>
  <c r="M119" i="9"/>
  <c r="N119" i="9"/>
  <c r="P119" i="9"/>
  <c r="Q119" i="9"/>
  <c r="R119" i="9"/>
  <c r="S119" i="9"/>
  <c r="T119" i="9"/>
  <c r="U119" i="9"/>
  <c r="V119" i="9"/>
  <c r="W119" i="9"/>
  <c r="X119" i="9"/>
  <c r="Y119" i="9"/>
  <c r="Z119" i="9"/>
  <c r="AA119" i="9"/>
  <c r="AB119" i="9"/>
  <c r="I120" i="9"/>
  <c r="L120" i="9"/>
  <c r="M120" i="9"/>
  <c r="N120" i="9"/>
  <c r="P120" i="9"/>
  <c r="Q120" i="9"/>
  <c r="R120" i="9"/>
  <c r="S120" i="9"/>
  <c r="T120" i="9"/>
  <c r="U120" i="9"/>
  <c r="V120" i="9"/>
  <c r="W120" i="9"/>
  <c r="X120" i="9"/>
  <c r="Y120" i="9"/>
  <c r="Z120" i="9"/>
  <c r="AA120" i="9"/>
  <c r="AB120" i="9"/>
  <c r="I121" i="9"/>
  <c r="L121" i="9"/>
  <c r="M121" i="9"/>
  <c r="N121" i="9"/>
  <c r="P121" i="9"/>
  <c r="Q121" i="9"/>
  <c r="R121" i="9"/>
  <c r="S121" i="9"/>
  <c r="T121" i="9"/>
  <c r="U121" i="9"/>
  <c r="V121" i="9"/>
  <c r="W121" i="9"/>
  <c r="X121" i="9"/>
  <c r="Y121" i="9"/>
  <c r="Z121" i="9"/>
  <c r="AA121" i="9"/>
  <c r="AB121" i="9"/>
  <c r="I122" i="9"/>
  <c r="L122" i="9"/>
  <c r="M122" i="9"/>
  <c r="N122" i="9"/>
  <c r="P122" i="9"/>
  <c r="Q122" i="9"/>
  <c r="R122" i="9"/>
  <c r="S122" i="9"/>
  <c r="T122" i="9"/>
  <c r="U122" i="9"/>
  <c r="V122" i="9"/>
  <c r="W122" i="9"/>
  <c r="X122" i="9"/>
  <c r="Y122" i="9"/>
  <c r="Z122" i="9"/>
  <c r="AA122" i="9"/>
  <c r="AB122" i="9"/>
  <c r="I123" i="9"/>
  <c r="L123" i="9"/>
  <c r="M123" i="9"/>
  <c r="N123" i="9"/>
  <c r="P123" i="9"/>
  <c r="Q123" i="9"/>
  <c r="R123" i="9"/>
  <c r="S123" i="9"/>
  <c r="T123" i="9"/>
  <c r="U123" i="9"/>
  <c r="V123" i="9"/>
  <c r="W123" i="9"/>
  <c r="X123" i="9"/>
  <c r="Y123" i="9"/>
  <c r="Z123" i="9"/>
  <c r="AA123" i="9"/>
  <c r="AB123" i="9"/>
  <c r="I124" i="9"/>
  <c r="L124" i="9"/>
  <c r="M124" i="9"/>
  <c r="N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I125" i="9"/>
  <c r="L125" i="9"/>
  <c r="M125" i="9"/>
  <c r="N125" i="9"/>
  <c r="P125" i="9"/>
  <c r="Q125" i="9"/>
  <c r="R125" i="9"/>
  <c r="S125" i="9"/>
  <c r="T125" i="9"/>
  <c r="U125" i="9"/>
  <c r="V125" i="9"/>
  <c r="W125" i="9"/>
  <c r="X125" i="9"/>
  <c r="Y125" i="9"/>
  <c r="Z125" i="9"/>
  <c r="AA125" i="9"/>
  <c r="AB125" i="9"/>
  <c r="I126" i="9"/>
  <c r="L126" i="9"/>
  <c r="M126" i="9"/>
  <c r="N126" i="9"/>
  <c r="P126" i="9"/>
  <c r="Q126" i="9"/>
  <c r="R126" i="9"/>
  <c r="S126" i="9"/>
  <c r="T126" i="9"/>
  <c r="U126" i="9"/>
  <c r="V126" i="9"/>
  <c r="W126" i="9"/>
  <c r="X126" i="9"/>
  <c r="Y126" i="9"/>
  <c r="Z126" i="9"/>
  <c r="AA126" i="9"/>
  <c r="AB126" i="9"/>
  <c r="I127" i="9"/>
  <c r="L127" i="9"/>
  <c r="M127" i="9"/>
  <c r="N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I128" i="9"/>
  <c r="L128" i="9"/>
  <c r="M128" i="9"/>
  <c r="N128" i="9"/>
  <c r="P128" i="9"/>
  <c r="Q128" i="9"/>
  <c r="R128" i="9"/>
  <c r="S128" i="9"/>
  <c r="T128" i="9"/>
  <c r="U128" i="9"/>
  <c r="V128" i="9"/>
  <c r="W128" i="9"/>
  <c r="X128" i="9"/>
  <c r="Y128" i="9"/>
  <c r="Z128" i="9"/>
  <c r="AA128" i="9"/>
  <c r="AB128" i="9"/>
  <c r="I129" i="9"/>
  <c r="L129" i="9"/>
  <c r="M129" i="9"/>
  <c r="N129" i="9"/>
  <c r="P129" i="9"/>
  <c r="Q129" i="9"/>
  <c r="R129" i="9"/>
  <c r="S129" i="9"/>
  <c r="T129" i="9"/>
  <c r="U129" i="9"/>
  <c r="V129" i="9"/>
  <c r="W129" i="9"/>
  <c r="X129" i="9"/>
  <c r="Y129" i="9"/>
  <c r="Z129" i="9"/>
  <c r="AA129" i="9"/>
  <c r="AB129" i="9"/>
  <c r="I130" i="9"/>
  <c r="L130" i="9"/>
  <c r="M130" i="9"/>
  <c r="N130" i="9"/>
  <c r="P130" i="9"/>
  <c r="Q130" i="9"/>
  <c r="R130" i="9"/>
  <c r="S130" i="9"/>
  <c r="T130" i="9"/>
  <c r="U130" i="9"/>
  <c r="V130" i="9"/>
  <c r="W130" i="9"/>
  <c r="X130" i="9"/>
  <c r="Y130" i="9"/>
  <c r="Z130" i="9"/>
  <c r="AA130" i="9"/>
  <c r="AB130" i="9"/>
  <c r="I131" i="9"/>
  <c r="L131" i="9"/>
  <c r="M131" i="9"/>
  <c r="N131" i="9"/>
  <c r="P131" i="9"/>
  <c r="Q131" i="9"/>
  <c r="R131" i="9"/>
  <c r="S131" i="9"/>
  <c r="T131" i="9"/>
  <c r="U131" i="9"/>
  <c r="V131" i="9"/>
  <c r="W131" i="9"/>
  <c r="X131" i="9"/>
  <c r="Y131" i="9"/>
  <c r="Z131" i="9"/>
  <c r="AA131" i="9"/>
  <c r="AB131" i="9"/>
  <c r="I132" i="9"/>
  <c r="L132" i="9"/>
  <c r="M132" i="9"/>
  <c r="N132" i="9"/>
  <c r="P132" i="9"/>
  <c r="Q132" i="9"/>
  <c r="R132" i="9"/>
  <c r="S132" i="9"/>
  <c r="T132" i="9"/>
  <c r="U132" i="9"/>
  <c r="V132" i="9"/>
  <c r="W132" i="9"/>
  <c r="X132" i="9"/>
  <c r="Y132" i="9"/>
  <c r="Z132" i="9"/>
  <c r="AA132" i="9"/>
  <c r="AB132" i="9"/>
  <c r="I133" i="9"/>
  <c r="L133" i="9"/>
  <c r="M133" i="9"/>
  <c r="N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I134" i="9"/>
  <c r="L134" i="9"/>
  <c r="M134" i="9"/>
  <c r="N134" i="9"/>
  <c r="P134" i="9"/>
  <c r="Q134" i="9"/>
  <c r="R134" i="9"/>
  <c r="S134" i="9"/>
  <c r="T134" i="9"/>
  <c r="U134" i="9"/>
  <c r="V134" i="9"/>
  <c r="W134" i="9"/>
  <c r="X134" i="9"/>
  <c r="Y134" i="9"/>
  <c r="Z134" i="9"/>
  <c r="AA134" i="9"/>
  <c r="AB134" i="9"/>
  <c r="I135" i="9"/>
  <c r="L135" i="9"/>
  <c r="M135" i="9"/>
  <c r="N135" i="9"/>
  <c r="P135" i="9"/>
  <c r="Q135" i="9"/>
  <c r="R135" i="9"/>
  <c r="S135" i="9"/>
  <c r="T135" i="9"/>
  <c r="U135" i="9"/>
  <c r="V135" i="9"/>
  <c r="W135" i="9"/>
  <c r="X135" i="9"/>
  <c r="Y135" i="9"/>
  <c r="Z135" i="9"/>
  <c r="AA135" i="9"/>
  <c r="AB135" i="9"/>
  <c r="I136" i="9"/>
  <c r="L136" i="9"/>
  <c r="M136" i="9"/>
  <c r="N136" i="9"/>
  <c r="P136" i="9"/>
  <c r="Q136" i="9"/>
  <c r="R136" i="9"/>
  <c r="S136" i="9"/>
  <c r="T136" i="9"/>
  <c r="U136" i="9"/>
  <c r="V136" i="9"/>
  <c r="W136" i="9"/>
  <c r="X136" i="9"/>
  <c r="Y136" i="9"/>
  <c r="Z136" i="9"/>
  <c r="AA136" i="9"/>
  <c r="AB136" i="9"/>
  <c r="I137" i="9"/>
  <c r="L137" i="9"/>
  <c r="M137" i="9"/>
  <c r="N137" i="9"/>
  <c r="P137" i="9"/>
  <c r="Q137" i="9"/>
  <c r="R137" i="9"/>
  <c r="S137" i="9"/>
  <c r="T137" i="9"/>
  <c r="U137" i="9"/>
  <c r="V137" i="9"/>
  <c r="W137" i="9"/>
  <c r="X137" i="9"/>
  <c r="Y137" i="9"/>
  <c r="Z137" i="9"/>
  <c r="AA137" i="9"/>
  <c r="AB137" i="9"/>
  <c r="I138" i="9"/>
  <c r="L138" i="9"/>
  <c r="M138" i="9"/>
  <c r="N138" i="9"/>
  <c r="P138" i="9"/>
  <c r="Q138" i="9"/>
  <c r="R138" i="9"/>
  <c r="S138" i="9"/>
  <c r="T138" i="9"/>
  <c r="U138" i="9"/>
  <c r="V138" i="9"/>
  <c r="W138" i="9"/>
  <c r="X138" i="9"/>
  <c r="Y138" i="9"/>
  <c r="Z138" i="9"/>
  <c r="AA138" i="9"/>
  <c r="AB138" i="9"/>
  <c r="I139" i="9"/>
  <c r="L139" i="9"/>
  <c r="M139" i="9"/>
  <c r="N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I140" i="9"/>
  <c r="L140" i="9"/>
  <c r="M140" i="9"/>
  <c r="N140" i="9"/>
  <c r="P140" i="9"/>
  <c r="Q140" i="9"/>
  <c r="R140" i="9"/>
  <c r="S140" i="9"/>
  <c r="T140" i="9"/>
  <c r="U140" i="9"/>
  <c r="V140" i="9"/>
  <c r="W140" i="9"/>
  <c r="X140" i="9"/>
  <c r="Y140" i="9"/>
  <c r="Z140" i="9"/>
  <c r="AA140" i="9"/>
  <c r="AB140" i="9"/>
  <c r="I141" i="9"/>
  <c r="L141" i="9"/>
  <c r="M141" i="9"/>
  <c r="N141" i="9"/>
  <c r="P141" i="9"/>
  <c r="Q141" i="9"/>
  <c r="R141" i="9"/>
  <c r="S141" i="9"/>
  <c r="T141" i="9"/>
  <c r="U141" i="9"/>
  <c r="V141" i="9"/>
  <c r="W141" i="9"/>
  <c r="X141" i="9"/>
  <c r="Y141" i="9"/>
  <c r="Z141" i="9"/>
  <c r="AA141" i="9"/>
  <c r="AB141" i="9"/>
  <c r="I142" i="9"/>
  <c r="L142" i="9"/>
  <c r="M142" i="9"/>
  <c r="N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I143" i="9"/>
  <c r="L143" i="9"/>
  <c r="M143" i="9"/>
  <c r="N143" i="9"/>
  <c r="P143" i="9"/>
  <c r="Q143" i="9"/>
  <c r="R143" i="9"/>
  <c r="S143" i="9"/>
  <c r="T143" i="9"/>
  <c r="U143" i="9"/>
  <c r="V143" i="9"/>
  <c r="W143" i="9"/>
  <c r="X143" i="9"/>
  <c r="Y143" i="9"/>
  <c r="Z143" i="9"/>
  <c r="AA143" i="9"/>
  <c r="AB143" i="9"/>
  <c r="I144" i="9"/>
  <c r="L144" i="9"/>
  <c r="M144" i="9"/>
  <c r="N144" i="9"/>
  <c r="P144" i="9"/>
  <c r="Q144" i="9"/>
  <c r="R144" i="9"/>
  <c r="S144" i="9"/>
  <c r="T144" i="9"/>
  <c r="U144" i="9"/>
  <c r="V144" i="9"/>
  <c r="W144" i="9"/>
  <c r="X144" i="9"/>
  <c r="Y144" i="9"/>
  <c r="Z144" i="9"/>
  <c r="AA144" i="9"/>
  <c r="AB144" i="9"/>
  <c r="I145" i="9"/>
  <c r="L145" i="9"/>
  <c r="M145" i="9"/>
  <c r="N145" i="9"/>
  <c r="P145" i="9"/>
  <c r="Q145" i="9"/>
  <c r="R145" i="9"/>
  <c r="S145" i="9"/>
  <c r="T145" i="9"/>
  <c r="U145" i="9"/>
  <c r="V145" i="9"/>
  <c r="W145" i="9"/>
  <c r="X145" i="9"/>
  <c r="Y145" i="9"/>
  <c r="Z145" i="9"/>
  <c r="AA145" i="9"/>
  <c r="AB145" i="9"/>
  <c r="I146" i="9"/>
  <c r="L146" i="9"/>
  <c r="M146" i="9"/>
  <c r="N146" i="9"/>
  <c r="P146" i="9"/>
  <c r="Q146" i="9"/>
  <c r="R146" i="9"/>
  <c r="S146" i="9"/>
  <c r="T146" i="9"/>
  <c r="U146" i="9"/>
  <c r="V146" i="9"/>
  <c r="W146" i="9"/>
  <c r="X146" i="9"/>
  <c r="Y146" i="9"/>
  <c r="Z146" i="9"/>
  <c r="AA146" i="9"/>
  <c r="AB146" i="9"/>
  <c r="I147" i="9"/>
  <c r="L147" i="9"/>
  <c r="M147" i="9"/>
  <c r="N147" i="9"/>
  <c r="P147" i="9"/>
  <c r="Q147" i="9"/>
  <c r="R147" i="9"/>
  <c r="S147" i="9"/>
  <c r="T147" i="9"/>
  <c r="U147" i="9"/>
  <c r="V147" i="9"/>
  <c r="W147" i="9"/>
  <c r="X147" i="9"/>
  <c r="Y147" i="9"/>
  <c r="Z147" i="9"/>
  <c r="AA147" i="9"/>
  <c r="AB147" i="9"/>
  <c r="I148" i="9"/>
  <c r="L148" i="9"/>
  <c r="M148" i="9"/>
  <c r="N148" i="9"/>
  <c r="P148" i="9"/>
  <c r="Q148" i="9"/>
  <c r="R148" i="9"/>
  <c r="S148" i="9"/>
  <c r="T148" i="9"/>
  <c r="U148" i="9"/>
  <c r="V148" i="9"/>
  <c r="W148" i="9"/>
  <c r="X148" i="9"/>
  <c r="Y148" i="9"/>
  <c r="Z148" i="9"/>
  <c r="AA148" i="9"/>
  <c r="AB148" i="9"/>
  <c r="I149" i="9"/>
  <c r="L149" i="9"/>
  <c r="M149" i="9"/>
  <c r="N149" i="9"/>
  <c r="P149" i="9"/>
  <c r="Q149" i="9"/>
  <c r="R149" i="9"/>
  <c r="S149" i="9"/>
  <c r="T149" i="9"/>
  <c r="U149" i="9"/>
  <c r="V149" i="9"/>
  <c r="W149" i="9"/>
  <c r="X149" i="9"/>
  <c r="Y149" i="9"/>
  <c r="Z149" i="9"/>
  <c r="AA149" i="9"/>
  <c r="AB149" i="9"/>
  <c r="I150" i="9"/>
  <c r="L150" i="9"/>
  <c r="M150" i="9"/>
  <c r="N150" i="9"/>
  <c r="P150" i="9"/>
  <c r="Q150" i="9"/>
  <c r="R150" i="9"/>
  <c r="S150" i="9"/>
  <c r="T150" i="9"/>
  <c r="U150" i="9"/>
  <c r="V150" i="9"/>
  <c r="W150" i="9"/>
  <c r="X150" i="9"/>
  <c r="Y150" i="9"/>
  <c r="Z150" i="9"/>
  <c r="AA150" i="9"/>
  <c r="AB150" i="9"/>
  <c r="I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I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X152" i="9"/>
  <c r="Y152" i="9"/>
  <c r="Z152" i="9"/>
  <c r="AA152" i="9"/>
  <c r="AB152" i="9"/>
  <c r="I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X153" i="9"/>
  <c r="Y153" i="9"/>
  <c r="Z153" i="9"/>
  <c r="AA153" i="9"/>
  <c r="AB153" i="9"/>
  <c r="I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X154" i="9"/>
  <c r="Y154" i="9"/>
  <c r="Z154" i="9"/>
  <c r="AA154" i="9"/>
  <c r="AB154" i="9"/>
  <c r="I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X155" i="9"/>
  <c r="Y155" i="9"/>
  <c r="Z155" i="9"/>
  <c r="AA155" i="9"/>
  <c r="AB155" i="9"/>
  <c r="I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X156" i="9"/>
  <c r="Y156" i="9"/>
  <c r="Z156" i="9"/>
  <c r="AA156" i="9"/>
  <c r="AB156" i="9"/>
  <c r="I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X157" i="9"/>
  <c r="Y157" i="9"/>
  <c r="Z157" i="9"/>
  <c r="AA157" i="9"/>
  <c r="AB157" i="9"/>
  <c r="I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X158" i="9"/>
  <c r="Y158" i="9"/>
  <c r="Z158" i="9"/>
  <c r="AA158" i="9"/>
  <c r="AB158" i="9"/>
  <c r="I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X159" i="9"/>
  <c r="Y159" i="9"/>
  <c r="Z159" i="9"/>
  <c r="AA159" i="9"/>
  <c r="AB159" i="9"/>
  <c r="I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X160" i="9"/>
  <c r="Y160" i="9"/>
  <c r="Z160" i="9"/>
  <c r="AA160" i="9"/>
  <c r="AB160" i="9"/>
  <c r="I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X161" i="9"/>
  <c r="Y161" i="9"/>
  <c r="Z161" i="9"/>
  <c r="AA161" i="9"/>
  <c r="AB161" i="9"/>
  <c r="I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X162" i="9"/>
  <c r="Y162" i="9"/>
  <c r="Z162" i="9"/>
  <c r="AA162" i="9"/>
  <c r="AB162" i="9"/>
  <c r="I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I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X164" i="9"/>
  <c r="Y164" i="9"/>
  <c r="Z164" i="9"/>
  <c r="AA164" i="9"/>
  <c r="AB164" i="9"/>
  <c r="I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X165" i="9"/>
  <c r="Y165" i="9"/>
  <c r="Z165" i="9"/>
  <c r="AA165" i="9"/>
  <c r="AB165" i="9"/>
  <c r="I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X166" i="9"/>
  <c r="Y166" i="9"/>
  <c r="Z166" i="9"/>
  <c r="AA166" i="9"/>
  <c r="AB166" i="9"/>
  <c r="I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X167" i="9"/>
  <c r="Y167" i="9"/>
  <c r="Z167" i="9"/>
  <c r="AA167" i="9"/>
  <c r="AB167" i="9"/>
  <c r="I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X168" i="9"/>
  <c r="Y168" i="9"/>
  <c r="Z168" i="9"/>
  <c r="AA168" i="9"/>
  <c r="AB168" i="9"/>
  <c r="I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X169" i="9"/>
  <c r="Y169" i="9"/>
  <c r="Z169" i="9"/>
  <c r="AA169" i="9"/>
  <c r="AB169" i="9"/>
  <c r="I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X170" i="9"/>
  <c r="Y170" i="9"/>
  <c r="Z170" i="9"/>
  <c r="AA170" i="9"/>
  <c r="AB170" i="9"/>
  <c r="I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X171" i="9"/>
  <c r="Y171" i="9"/>
  <c r="Z171" i="9"/>
  <c r="AA171" i="9"/>
  <c r="AB171" i="9"/>
  <c r="I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X172" i="9"/>
  <c r="Y172" i="9"/>
  <c r="Z172" i="9"/>
  <c r="AA172" i="9"/>
  <c r="AB172" i="9"/>
  <c r="I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X173" i="9"/>
  <c r="Y173" i="9"/>
  <c r="Z173" i="9"/>
  <c r="AA173" i="9"/>
  <c r="AB173" i="9"/>
  <c r="I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X174" i="9"/>
  <c r="Y174" i="9"/>
  <c r="Z174" i="9"/>
  <c r="AA174" i="9"/>
  <c r="AB174" i="9"/>
  <c r="I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X175" i="9"/>
  <c r="Y175" i="9"/>
  <c r="Z175" i="9"/>
  <c r="AA175" i="9"/>
  <c r="AB175" i="9"/>
  <c r="I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X176" i="9"/>
  <c r="Y176" i="9"/>
  <c r="Z176" i="9"/>
  <c r="AA176" i="9"/>
  <c r="AB176" i="9"/>
  <c r="I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X177" i="9"/>
  <c r="Y177" i="9"/>
  <c r="Z177" i="9"/>
  <c r="AA177" i="9"/>
  <c r="AB177" i="9"/>
  <c r="I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X178" i="9"/>
  <c r="Y178" i="9"/>
  <c r="Z178" i="9"/>
  <c r="AA178" i="9"/>
  <c r="AB178" i="9"/>
  <c r="I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X179" i="9"/>
  <c r="Y179" i="9"/>
  <c r="Z179" i="9"/>
  <c r="AA179" i="9"/>
  <c r="AB179" i="9"/>
  <c r="I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X180" i="9"/>
  <c r="Y180" i="9"/>
  <c r="Z180" i="9"/>
  <c r="AA180" i="9"/>
  <c r="AB180" i="9"/>
  <c r="I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X181" i="9"/>
  <c r="Y181" i="9"/>
  <c r="Z181" i="9"/>
  <c r="AA181" i="9"/>
  <c r="AB181" i="9"/>
  <c r="I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X182" i="9"/>
  <c r="Y182" i="9"/>
  <c r="Z182" i="9"/>
  <c r="AA182" i="9"/>
  <c r="AB182" i="9"/>
  <c r="I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X183" i="9"/>
  <c r="Y183" i="9"/>
  <c r="Z183" i="9"/>
  <c r="AA183" i="9"/>
  <c r="AB183" i="9"/>
  <c r="I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X184" i="9"/>
  <c r="Y184" i="9"/>
  <c r="Z184" i="9"/>
  <c r="AA184" i="9"/>
  <c r="AB184" i="9"/>
  <c r="I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X185" i="9"/>
  <c r="Y185" i="9"/>
  <c r="Z185" i="9"/>
  <c r="AA185" i="9"/>
  <c r="AB185" i="9"/>
  <c r="I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X186" i="9"/>
  <c r="Y186" i="9"/>
  <c r="Z186" i="9"/>
  <c r="AA186" i="9"/>
  <c r="AB186" i="9"/>
  <c r="I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I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X188" i="9"/>
  <c r="Y188" i="9"/>
  <c r="Z188" i="9"/>
  <c r="AA188" i="9"/>
  <c r="AB188" i="9"/>
  <c r="I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X189" i="9"/>
  <c r="Y189" i="9"/>
  <c r="Z189" i="9"/>
  <c r="AA189" i="9"/>
  <c r="AB189" i="9"/>
  <c r="I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X190" i="9"/>
  <c r="Y190" i="9"/>
  <c r="Z190" i="9"/>
  <c r="AA190" i="9"/>
  <c r="AB190" i="9"/>
  <c r="I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X191" i="9"/>
  <c r="Y191" i="9"/>
  <c r="Z191" i="9"/>
  <c r="AA191" i="9"/>
  <c r="AB191" i="9"/>
  <c r="I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X192" i="9"/>
  <c r="Y192" i="9"/>
  <c r="Z192" i="9"/>
  <c r="AA192" i="9"/>
  <c r="AB192" i="9"/>
  <c r="I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X193" i="9"/>
  <c r="Y193" i="9"/>
  <c r="Z193" i="9"/>
  <c r="AA193" i="9"/>
  <c r="AB193" i="9"/>
  <c r="I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X194" i="9"/>
  <c r="Y194" i="9"/>
  <c r="Z194" i="9"/>
  <c r="AA194" i="9"/>
  <c r="AB194" i="9"/>
  <c r="I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X195" i="9"/>
  <c r="Y195" i="9"/>
  <c r="Z195" i="9"/>
  <c r="AA195" i="9"/>
  <c r="AB195" i="9"/>
  <c r="I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X196" i="9"/>
  <c r="Y196" i="9"/>
  <c r="Z196" i="9"/>
  <c r="AA196" i="9"/>
  <c r="AB196" i="9"/>
  <c r="I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X197" i="9"/>
  <c r="Y197" i="9"/>
  <c r="Z197" i="9"/>
  <c r="AA197" i="9"/>
  <c r="AB197" i="9"/>
  <c r="I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X198" i="9"/>
  <c r="Y198" i="9"/>
  <c r="Z198" i="9"/>
  <c r="AA198" i="9"/>
  <c r="AB198" i="9"/>
  <c r="I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X199" i="9"/>
  <c r="Y199" i="9"/>
  <c r="Z199" i="9"/>
  <c r="AA199" i="9"/>
  <c r="AB199" i="9"/>
  <c r="I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X200" i="9"/>
  <c r="Y200" i="9"/>
  <c r="Z200" i="9"/>
  <c r="AA200" i="9"/>
  <c r="AB200" i="9"/>
  <c r="I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X201" i="9"/>
  <c r="Y201" i="9"/>
  <c r="Z201" i="9"/>
  <c r="AA201" i="9"/>
  <c r="AB201" i="9"/>
  <c r="I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X202" i="9"/>
  <c r="Y202" i="9"/>
  <c r="Z202" i="9"/>
  <c r="AA202" i="9"/>
  <c r="AB202" i="9"/>
  <c r="I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X203" i="9"/>
  <c r="Y203" i="9"/>
  <c r="Z203" i="9"/>
  <c r="AA203" i="9"/>
  <c r="AB203" i="9"/>
  <c r="I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X204" i="9"/>
  <c r="Y204" i="9"/>
  <c r="Z204" i="9"/>
  <c r="AA204" i="9"/>
  <c r="AB204" i="9"/>
  <c r="I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X205" i="9"/>
  <c r="Y205" i="9"/>
  <c r="Z205" i="9"/>
  <c r="AA205" i="9"/>
  <c r="AB205" i="9"/>
  <c r="I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X206" i="9"/>
  <c r="Y206" i="9"/>
  <c r="Z206" i="9"/>
  <c r="AA206" i="9"/>
  <c r="AB206" i="9"/>
  <c r="I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I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I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X209" i="9"/>
  <c r="Y209" i="9"/>
  <c r="Z209" i="9"/>
  <c r="AA209" i="9"/>
  <c r="AB209" i="9"/>
  <c r="I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X210" i="9"/>
  <c r="Y210" i="9"/>
  <c r="Z210" i="9"/>
  <c r="AA210" i="9"/>
  <c r="AB210" i="9"/>
  <c r="I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X211" i="9"/>
  <c r="Y211" i="9"/>
  <c r="Z211" i="9"/>
  <c r="AA211" i="9"/>
  <c r="AB211" i="9"/>
  <c r="I212" i="9"/>
  <c r="L212" i="9"/>
  <c r="M212" i="9"/>
  <c r="N212" i="9"/>
  <c r="P212" i="9"/>
  <c r="Q212" i="9"/>
  <c r="R212" i="9"/>
  <c r="S212" i="9"/>
  <c r="T212" i="9"/>
  <c r="U212" i="9"/>
  <c r="V212" i="9"/>
  <c r="W212" i="9"/>
  <c r="X212" i="9"/>
  <c r="Y212" i="9"/>
  <c r="Z212" i="9"/>
  <c r="AA212" i="9"/>
  <c r="AB212" i="9"/>
  <c r="I213" i="9"/>
  <c r="L213" i="9"/>
  <c r="M213" i="9"/>
  <c r="N213" i="9"/>
  <c r="P213" i="9"/>
  <c r="Q213" i="9"/>
  <c r="R213" i="9"/>
  <c r="S213" i="9"/>
  <c r="T213" i="9"/>
  <c r="U213" i="9"/>
  <c r="V213" i="9"/>
  <c r="W213" i="9"/>
  <c r="X213" i="9"/>
  <c r="Y213" i="9"/>
  <c r="Z213" i="9"/>
  <c r="AA213" i="9"/>
  <c r="AB213" i="9"/>
  <c r="I214" i="9"/>
  <c r="L214" i="9"/>
  <c r="M214" i="9"/>
  <c r="N214" i="9"/>
  <c r="P214" i="9"/>
  <c r="Q214" i="9"/>
  <c r="R214" i="9"/>
  <c r="S214" i="9"/>
  <c r="T214" i="9"/>
  <c r="U214" i="9"/>
  <c r="V214" i="9"/>
  <c r="W214" i="9"/>
  <c r="X214" i="9"/>
  <c r="Y214" i="9"/>
  <c r="Z214" i="9"/>
  <c r="AA214" i="9"/>
  <c r="AB214" i="9"/>
  <c r="I215" i="9"/>
  <c r="L215" i="9"/>
  <c r="M215" i="9"/>
  <c r="N215" i="9"/>
  <c r="P215" i="9"/>
  <c r="Q215" i="9"/>
  <c r="R215" i="9"/>
  <c r="S215" i="9"/>
  <c r="T215" i="9"/>
  <c r="U215" i="9"/>
  <c r="V215" i="9"/>
  <c r="W215" i="9"/>
  <c r="X215" i="9"/>
  <c r="Y215" i="9"/>
  <c r="Z215" i="9"/>
  <c r="AA215" i="9"/>
  <c r="AB215" i="9"/>
  <c r="I216" i="9"/>
  <c r="L216" i="9"/>
  <c r="M216" i="9"/>
  <c r="N216" i="9"/>
  <c r="P216" i="9"/>
  <c r="Q216" i="9"/>
  <c r="R216" i="9"/>
  <c r="S216" i="9"/>
  <c r="T216" i="9"/>
  <c r="U216" i="9"/>
  <c r="V216" i="9"/>
  <c r="W216" i="9"/>
  <c r="X216" i="9"/>
  <c r="Y216" i="9"/>
  <c r="Z216" i="9"/>
  <c r="AA216" i="9"/>
  <c r="AB216" i="9"/>
  <c r="I217" i="9"/>
  <c r="L217" i="9"/>
  <c r="M217" i="9"/>
  <c r="N217" i="9"/>
  <c r="P217" i="9"/>
  <c r="Q217" i="9"/>
  <c r="R217" i="9"/>
  <c r="S217" i="9"/>
  <c r="T217" i="9"/>
  <c r="U217" i="9"/>
  <c r="V217" i="9"/>
  <c r="W217" i="9"/>
  <c r="X217" i="9"/>
  <c r="Y217" i="9"/>
  <c r="Z217" i="9"/>
  <c r="AA217" i="9"/>
  <c r="AB217" i="9"/>
  <c r="I218" i="9"/>
  <c r="L218" i="9"/>
  <c r="M218" i="9"/>
  <c r="N218" i="9"/>
  <c r="P218" i="9"/>
  <c r="Q218" i="9"/>
  <c r="R218" i="9"/>
  <c r="S218" i="9"/>
  <c r="T218" i="9"/>
  <c r="U218" i="9"/>
  <c r="V218" i="9"/>
  <c r="W218" i="9"/>
  <c r="X218" i="9"/>
  <c r="Y218" i="9"/>
  <c r="Z218" i="9"/>
  <c r="AA218" i="9"/>
  <c r="AB218" i="9"/>
  <c r="I219" i="9"/>
  <c r="L219" i="9"/>
  <c r="M219" i="9"/>
  <c r="N219" i="9"/>
  <c r="P219" i="9"/>
  <c r="Q219" i="9"/>
  <c r="R219" i="9"/>
  <c r="S219" i="9"/>
  <c r="T219" i="9"/>
  <c r="U219" i="9"/>
  <c r="V219" i="9"/>
  <c r="W219" i="9"/>
  <c r="X219" i="9"/>
  <c r="Y219" i="9"/>
  <c r="Z219" i="9"/>
  <c r="AA219" i="9"/>
  <c r="AB219" i="9"/>
  <c r="I220" i="9"/>
  <c r="L220" i="9"/>
  <c r="M220" i="9"/>
  <c r="N220" i="9"/>
  <c r="P220" i="9"/>
  <c r="Q220" i="9"/>
  <c r="R220" i="9"/>
  <c r="S220" i="9"/>
  <c r="T220" i="9"/>
  <c r="U220" i="9"/>
  <c r="V220" i="9"/>
  <c r="W220" i="9"/>
  <c r="X220" i="9"/>
  <c r="Y220" i="9"/>
  <c r="Z220" i="9"/>
  <c r="AA220" i="9"/>
  <c r="AB220" i="9"/>
  <c r="I221" i="9"/>
  <c r="L221" i="9"/>
  <c r="M221" i="9"/>
  <c r="N221" i="9"/>
  <c r="P221" i="9"/>
  <c r="Q221" i="9"/>
  <c r="R221" i="9"/>
  <c r="S221" i="9"/>
  <c r="T221" i="9"/>
  <c r="U221" i="9"/>
  <c r="V221" i="9"/>
  <c r="W221" i="9"/>
  <c r="X221" i="9"/>
  <c r="Y221" i="9"/>
  <c r="Z221" i="9"/>
  <c r="AA221" i="9"/>
  <c r="AB221" i="9"/>
  <c r="I222" i="9"/>
  <c r="L222" i="9"/>
  <c r="M222" i="9"/>
  <c r="N222" i="9"/>
  <c r="P222" i="9"/>
  <c r="Q222" i="9"/>
  <c r="R222" i="9"/>
  <c r="S222" i="9"/>
  <c r="T222" i="9"/>
  <c r="U222" i="9"/>
  <c r="V222" i="9"/>
  <c r="W222" i="9"/>
  <c r="X222" i="9"/>
  <c r="Y222" i="9"/>
  <c r="Z222" i="9"/>
  <c r="AA222" i="9"/>
  <c r="AB222" i="9"/>
  <c r="I223" i="9"/>
  <c r="L223" i="9"/>
  <c r="M223" i="9"/>
  <c r="N223" i="9"/>
  <c r="P223" i="9"/>
  <c r="Q223" i="9"/>
  <c r="R223" i="9"/>
  <c r="S223" i="9"/>
  <c r="T223" i="9"/>
  <c r="U223" i="9"/>
  <c r="V223" i="9"/>
  <c r="W223" i="9"/>
  <c r="X223" i="9"/>
  <c r="Y223" i="9"/>
  <c r="Z223" i="9"/>
  <c r="AA223" i="9"/>
  <c r="AB223" i="9"/>
  <c r="I224" i="9"/>
  <c r="L224" i="9"/>
  <c r="M224" i="9"/>
  <c r="N224" i="9"/>
  <c r="P224" i="9"/>
  <c r="Q224" i="9"/>
  <c r="R224" i="9"/>
  <c r="S224" i="9"/>
  <c r="T224" i="9"/>
  <c r="U224" i="9"/>
  <c r="V224" i="9"/>
  <c r="W224" i="9"/>
  <c r="X224" i="9"/>
  <c r="Y224" i="9"/>
  <c r="Z224" i="9"/>
  <c r="AA224" i="9"/>
  <c r="AB224" i="9"/>
  <c r="I225" i="9"/>
  <c r="L225" i="9"/>
  <c r="M225" i="9"/>
  <c r="N225" i="9"/>
  <c r="P225" i="9"/>
  <c r="Q225" i="9"/>
  <c r="R225" i="9"/>
  <c r="S225" i="9"/>
  <c r="T225" i="9"/>
  <c r="U225" i="9"/>
  <c r="V225" i="9"/>
  <c r="W225" i="9"/>
  <c r="X225" i="9"/>
  <c r="Y225" i="9"/>
  <c r="Z225" i="9"/>
  <c r="AA225" i="9"/>
  <c r="AB225" i="9"/>
  <c r="I226" i="9"/>
  <c r="L226" i="9"/>
  <c r="M226" i="9"/>
  <c r="N226" i="9"/>
  <c r="P226" i="9"/>
  <c r="Q226" i="9"/>
  <c r="R226" i="9"/>
  <c r="S226" i="9"/>
  <c r="T226" i="9"/>
  <c r="U226" i="9"/>
  <c r="V226" i="9"/>
  <c r="W226" i="9"/>
  <c r="X226" i="9"/>
  <c r="Y226" i="9"/>
  <c r="Z226" i="9"/>
  <c r="AA226" i="9"/>
  <c r="AB226" i="9"/>
  <c r="I227" i="9"/>
  <c r="L227" i="9"/>
  <c r="M227" i="9"/>
  <c r="N227" i="9"/>
  <c r="P227" i="9"/>
  <c r="Q227" i="9"/>
  <c r="R227" i="9"/>
  <c r="S227" i="9"/>
  <c r="T227" i="9"/>
  <c r="U227" i="9"/>
  <c r="V227" i="9"/>
  <c r="W227" i="9"/>
  <c r="X227" i="9"/>
  <c r="Y227" i="9"/>
  <c r="Z227" i="9"/>
  <c r="AA227" i="9"/>
  <c r="AB227" i="9"/>
  <c r="I228" i="9"/>
  <c r="L228" i="9"/>
  <c r="M228" i="9"/>
  <c r="N228" i="9"/>
  <c r="P228" i="9"/>
  <c r="Q228" i="9"/>
  <c r="R228" i="9"/>
  <c r="S228" i="9"/>
  <c r="T228" i="9"/>
  <c r="U228" i="9"/>
  <c r="V228" i="9"/>
  <c r="W228" i="9"/>
  <c r="X228" i="9"/>
  <c r="Y228" i="9"/>
  <c r="Z228" i="9"/>
  <c r="AA228" i="9"/>
  <c r="AB228" i="9"/>
  <c r="I229" i="9"/>
  <c r="L229" i="9"/>
  <c r="M229" i="9"/>
  <c r="N229" i="9"/>
  <c r="P229" i="9"/>
  <c r="Q229" i="9"/>
  <c r="R229" i="9"/>
  <c r="S229" i="9"/>
  <c r="T229" i="9"/>
  <c r="U229" i="9"/>
  <c r="V229" i="9"/>
  <c r="W229" i="9"/>
  <c r="X229" i="9"/>
  <c r="Y229" i="9"/>
  <c r="Z229" i="9"/>
  <c r="AA229" i="9"/>
  <c r="AB229" i="9"/>
  <c r="I230" i="9"/>
  <c r="L230" i="9"/>
  <c r="M230" i="9"/>
  <c r="N230" i="9"/>
  <c r="P230" i="9"/>
  <c r="Q230" i="9"/>
  <c r="R230" i="9"/>
  <c r="S230" i="9"/>
  <c r="T230" i="9"/>
  <c r="U230" i="9"/>
  <c r="V230" i="9"/>
  <c r="W230" i="9"/>
  <c r="X230" i="9"/>
  <c r="Y230" i="9"/>
  <c r="Z230" i="9"/>
  <c r="AA230" i="9"/>
  <c r="AB230" i="9"/>
  <c r="I231" i="9"/>
  <c r="L231" i="9"/>
  <c r="M231" i="9"/>
  <c r="N231" i="9"/>
  <c r="P231" i="9"/>
  <c r="Q231" i="9"/>
  <c r="R231" i="9"/>
  <c r="S231" i="9"/>
  <c r="T231" i="9"/>
  <c r="U231" i="9"/>
  <c r="V231" i="9"/>
  <c r="W231" i="9"/>
  <c r="X231" i="9"/>
  <c r="Y231" i="9"/>
  <c r="Z231" i="9"/>
  <c r="AA231" i="9"/>
  <c r="AB231" i="9"/>
  <c r="I232" i="9"/>
  <c r="L232" i="9"/>
  <c r="M232" i="9"/>
  <c r="N232" i="9"/>
  <c r="P232" i="9"/>
  <c r="Q232" i="9"/>
  <c r="R232" i="9"/>
  <c r="S232" i="9"/>
  <c r="T232" i="9"/>
  <c r="U232" i="9"/>
  <c r="V232" i="9"/>
  <c r="W232" i="9"/>
  <c r="X232" i="9"/>
  <c r="Y232" i="9"/>
  <c r="Z232" i="9"/>
  <c r="AA232" i="9"/>
  <c r="AB232" i="9"/>
  <c r="I233" i="9"/>
  <c r="L233" i="9"/>
  <c r="M233" i="9"/>
  <c r="N233" i="9"/>
  <c r="P233" i="9"/>
  <c r="Q233" i="9"/>
  <c r="R233" i="9"/>
  <c r="S233" i="9"/>
  <c r="T233" i="9"/>
  <c r="U233" i="9"/>
  <c r="V233" i="9"/>
  <c r="W233" i="9"/>
  <c r="X233" i="9"/>
  <c r="Y233" i="9"/>
  <c r="Z233" i="9"/>
  <c r="AA233" i="9"/>
  <c r="AB233" i="9"/>
  <c r="I234" i="9"/>
  <c r="L234" i="9"/>
  <c r="M234" i="9"/>
  <c r="N234" i="9"/>
  <c r="P234" i="9"/>
  <c r="Q234" i="9"/>
  <c r="R234" i="9"/>
  <c r="S234" i="9"/>
  <c r="T234" i="9"/>
  <c r="U234" i="9"/>
  <c r="V234" i="9"/>
  <c r="W234" i="9"/>
  <c r="X234" i="9"/>
  <c r="Y234" i="9"/>
  <c r="Z234" i="9"/>
  <c r="AA234" i="9"/>
  <c r="AB234" i="9"/>
  <c r="I235" i="9"/>
  <c r="L235" i="9"/>
  <c r="M235" i="9"/>
  <c r="N235" i="9"/>
  <c r="P235" i="9"/>
  <c r="Q235" i="9"/>
  <c r="R235" i="9"/>
  <c r="S235" i="9"/>
  <c r="T235" i="9"/>
  <c r="U235" i="9"/>
  <c r="V235" i="9"/>
  <c r="W235" i="9"/>
  <c r="X235" i="9"/>
  <c r="Y235" i="9"/>
  <c r="Z235" i="9"/>
  <c r="AA235" i="9"/>
  <c r="AB235" i="9"/>
  <c r="I236" i="9"/>
  <c r="L236" i="9"/>
  <c r="M236" i="9"/>
  <c r="N236" i="9"/>
  <c r="P236" i="9"/>
  <c r="Q236" i="9"/>
  <c r="R236" i="9"/>
  <c r="S236" i="9"/>
  <c r="T236" i="9"/>
  <c r="U236" i="9"/>
  <c r="V236" i="9"/>
  <c r="W236" i="9"/>
  <c r="X236" i="9"/>
  <c r="Y236" i="9"/>
  <c r="Z236" i="9"/>
  <c r="AA236" i="9"/>
  <c r="AB236" i="9"/>
  <c r="I237" i="9"/>
  <c r="L237" i="9"/>
  <c r="M237" i="9"/>
  <c r="N237" i="9"/>
  <c r="P237" i="9"/>
  <c r="Q237" i="9"/>
  <c r="R237" i="9"/>
  <c r="S237" i="9"/>
  <c r="T237" i="9"/>
  <c r="U237" i="9"/>
  <c r="V237" i="9"/>
  <c r="W237" i="9"/>
  <c r="X237" i="9"/>
  <c r="Y237" i="9"/>
  <c r="Z237" i="9"/>
  <c r="AA237" i="9"/>
  <c r="AB237" i="9"/>
  <c r="I238" i="9"/>
  <c r="L238" i="9"/>
  <c r="M238" i="9"/>
  <c r="N238" i="9"/>
  <c r="P238" i="9"/>
  <c r="Q238" i="9"/>
  <c r="R238" i="9"/>
  <c r="S238" i="9"/>
  <c r="T238" i="9"/>
  <c r="U238" i="9"/>
  <c r="V238" i="9"/>
  <c r="W238" i="9"/>
  <c r="X238" i="9"/>
  <c r="Y238" i="9"/>
  <c r="Z238" i="9"/>
  <c r="AA238" i="9"/>
  <c r="AB238" i="9"/>
  <c r="I239" i="9"/>
  <c r="L239" i="9"/>
  <c r="M239" i="9"/>
  <c r="N239" i="9"/>
  <c r="P239" i="9"/>
  <c r="Q239" i="9"/>
  <c r="R239" i="9"/>
  <c r="S239" i="9"/>
  <c r="T239" i="9"/>
  <c r="U239" i="9"/>
  <c r="V239" i="9"/>
  <c r="W239" i="9"/>
  <c r="X239" i="9"/>
  <c r="Y239" i="9"/>
  <c r="Z239" i="9"/>
  <c r="AA239" i="9"/>
  <c r="AB239" i="9"/>
  <c r="I240" i="9"/>
  <c r="L240" i="9"/>
  <c r="M240" i="9"/>
  <c r="N240" i="9"/>
  <c r="P240" i="9"/>
  <c r="Q240" i="9"/>
  <c r="R240" i="9"/>
  <c r="S240" i="9"/>
  <c r="T240" i="9"/>
  <c r="U240" i="9"/>
  <c r="V240" i="9"/>
  <c r="W240" i="9"/>
  <c r="X240" i="9"/>
  <c r="Y240" i="9"/>
  <c r="Z240" i="9"/>
  <c r="AA240" i="9"/>
  <c r="AB240" i="9"/>
  <c r="I241" i="9"/>
  <c r="L241" i="9"/>
  <c r="M241" i="9"/>
  <c r="N241" i="9"/>
  <c r="P241" i="9"/>
  <c r="Q241" i="9"/>
  <c r="R241" i="9"/>
  <c r="S241" i="9"/>
  <c r="T241" i="9"/>
  <c r="U241" i="9"/>
  <c r="V241" i="9"/>
  <c r="W241" i="9"/>
  <c r="X241" i="9"/>
  <c r="Y241" i="9"/>
  <c r="Z241" i="9"/>
  <c r="AA241" i="9"/>
  <c r="AB241" i="9"/>
  <c r="I242" i="9"/>
  <c r="L242" i="9"/>
  <c r="M242" i="9"/>
  <c r="N242" i="9"/>
  <c r="P242" i="9"/>
  <c r="Q242" i="9"/>
  <c r="R242" i="9"/>
  <c r="S242" i="9"/>
  <c r="T242" i="9"/>
  <c r="U242" i="9"/>
  <c r="V242" i="9"/>
  <c r="W242" i="9"/>
  <c r="X242" i="9"/>
  <c r="Y242" i="9"/>
  <c r="Z242" i="9"/>
  <c r="AA242" i="9"/>
  <c r="AB242" i="9"/>
  <c r="I243" i="9"/>
  <c r="L243" i="9"/>
  <c r="M243" i="9"/>
  <c r="N243" i="9"/>
  <c r="P243" i="9"/>
  <c r="Q243" i="9"/>
  <c r="R243" i="9"/>
  <c r="S243" i="9"/>
  <c r="T243" i="9"/>
  <c r="U243" i="9"/>
  <c r="V243" i="9"/>
  <c r="W243" i="9"/>
  <c r="X243" i="9"/>
  <c r="Y243" i="9"/>
  <c r="Z243" i="9"/>
  <c r="AA243" i="9"/>
  <c r="AB243" i="9"/>
  <c r="I244" i="9"/>
  <c r="L244" i="9"/>
  <c r="M244" i="9"/>
  <c r="N244" i="9"/>
  <c r="P244" i="9"/>
  <c r="Q244" i="9"/>
  <c r="R244" i="9"/>
  <c r="S244" i="9"/>
  <c r="T244" i="9"/>
  <c r="U244" i="9"/>
  <c r="V244" i="9"/>
  <c r="W244" i="9"/>
  <c r="X244" i="9"/>
  <c r="Y244" i="9"/>
  <c r="Z244" i="9"/>
  <c r="AA244" i="9"/>
  <c r="AB244" i="9"/>
  <c r="I245" i="9"/>
  <c r="L245" i="9"/>
  <c r="M245" i="9"/>
  <c r="N245" i="9"/>
  <c r="P245" i="9"/>
  <c r="Q245" i="9"/>
  <c r="R245" i="9"/>
  <c r="S245" i="9"/>
  <c r="T245" i="9"/>
  <c r="U245" i="9"/>
  <c r="V245" i="9"/>
  <c r="W245" i="9"/>
  <c r="X245" i="9"/>
  <c r="Y245" i="9"/>
  <c r="Z245" i="9"/>
  <c r="AA245" i="9"/>
  <c r="AB245" i="9"/>
  <c r="I246" i="9"/>
  <c r="L246" i="9"/>
  <c r="M246" i="9"/>
  <c r="N246" i="9"/>
  <c r="P246" i="9"/>
  <c r="Q246" i="9"/>
  <c r="R246" i="9"/>
  <c r="S246" i="9"/>
  <c r="T246" i="9"/>
  <c r="U246" i="9"/>
  <c r="V246" i="9"/>
  <c r="W246" i="9"/>
  <c r="X246" i="9"/>
  <c r="Y246" i="9"/>
  <c r="Z246" i="9"/>
  <c r="AA246" i="9"/>
  <c r="AB246" i="9"/>
  <c r="I247" i="9"/>
  <c r="L247" i="9"/>
  <c r="M247" i="9"/>
  <c r="N247" i="9"/>
  <c r="P247" i="9"/>
  <c r="Q247" i="9"/>
  <c r="R247" i="9"/>
  <c r="S247" i="9"/>
  <c r="T247" i="9"/>
  <c r="U247" i="9"/>
  <c r="V247" i="9"/>
  <c r="W247" i="9"/>
  <c r="X247" i="9"/>
  <c r="Y247" i="9"/>
  <c r="Z247" i="9"/>
  <c r="AA247" i="9"/>
  <c r="AB247" i="9"/>
  <c r="I248" i="9"/>
  <c r="L248" i="9"/>
  <c r="M248" i="9"/>
  <c r="N248" i="9"/>
  <c r="P248" i="9"/>
  <c r="Q248" i="9"/>
  <c r="R248" i="9"/>
  <c r="S248" i="9"/>
  <c r="T248" i="9"/>
  <c r="U248" i="9"/>
  <c r="V248" i="9"/>
  <c r="W248" i="9"/>
  <c r="X248" i="9"/>
  <c r="Y248" i="9"/>
  <c r="Z248" i="9"/>
  <c r="AA248" i="9"/>
  <c r="AB248" i="9"/>
  <c r="I249" i="9"/>
  <c r="L249" i="9"/>
  <c r="M249" i="9"/>
  <c r="N249" i="9"/>
  <c r="P249" i="9"/>
  <c r="Q249" i="9"/>
  <c r="R249" i="9"/>
  <c r="S249" i="9"/>
  <c r="T249" i="9"/>
  <c r="U249" i="9"/>
  <c r="V249" i="9"/>
  <c r="W249" i="9"/>
  <c r="X249" i="9"/>
  <c r="Y249" i="9"/>
  <c r="Z249" i="9"/>
  <c r="AA249" i="9"/>
  <c r="AB249" i="9"/>
  <c r="I250" i="9"/>
  <c r="L250" i="9"/>
  <c r="M250" i="9"/>
  <c r="N250" i="9"/>
  <c r="P250" i="9"/>
  <c r="Q250" i="9"/>
  <c r="R250" i="9"/>
  <c r="S250" i="9"/>
  <c r="T250" i="9"/>
  <c r="U250" i="9"/>
  <c r="V250" i="9"/>
  <c r="W250" i="9"/>
  <c r="X250" i="9"/>
  <c r="Y250" i="9"/>
  <c r="Z250" i="9"/>
  <c r="AA250" i="9"/>
  <c r="AB250" i="9"/>
  <c r="I251" i="9"/>
  <c r="L251" i="9"/>
  <c r="M251" i="9"/>
  <c r="N251" i="9"/>
  <c r="P251" i="9"/>
  <c r="Q251" i="9"/>
  <c r="R251" i="9"/>
  <c r="S251" i="9"/>
  <c r="T251" i="9"/>
  <c r="U251" i="9"/>
  <c r="V251" i="9"/>
  <c r="W251" i="9"/>
  <c r="X251" i="9"/>
  <c r="Y251" i="9"/>
  <c r="Z251" i="9"/>
  <c r="AA251" i="9"/>
  <c r="AB251" i="9"/>
  <c r="I252" i="9"/>
  <c r="L252" i="9"/>
  <c r="M252" i="9"/>
  <c r="N252" i="9"/>
  <c r="P252" i="9"/>
  <c r="Q252" i="9"/>
  <c r="R252" i="9"/>
  <c r="S252" i="9"/>
  <c r="T252" i="9"/>
  <c r="U252" i="9"/>
  <c r="V252" i="9"/>
  <c r="W252" i="9"/>
  <c r="X252" i="9"/>
  <c r="Y252" i="9"/>
  <c r="Z252" i="9"/>
  <c r="AA252" i="9"/>
  <c r="AB252" i="9"/>
  <c r="I253" i="9"/>
  <c r="L253" i="9"/>
  <c r="M253" i="9"/>
  <c r="N253" i="9"/>
  <c r="P253" i="9"/>
  <c r="Q253" i="9"/>
  <c r="R253" i="9"/>
  <c r="S253" i="9"/>
  <c r="T253" i="9"/>
  <c r="U253" i="9"/>
  <c r="V253" i="9"/>
  <c r="W253" i="9"/>
  <c r="X253" i="9"/>
  <c r="Y253" i="9"/>
  <c r="Z253" i="9"/>
  <c r="AA253" i="9"/>
  <c r="AB253" i="9"/>
  <c r="I254" i="9"/>
  <c r="L254" i="9"/>
  <c r="M254" i="9"/>
  <c r="N254" i="9"/>
  <c r="P254" i="9"/>
  <c r="Q254" i="9"/>
  <c r="R254" i="9"/>
  <c r="S254" i="9"/>
  <c r="T254" i="9"/>
  <c r="U254" i="9"/>
  <c r="V254" i="9"/>
  <c r="W254" i="9"/>
  <c r="X254" i="9"/>
  <c r="Y254" i="9"/>
  <c r="Z254" i="9"/>
  <c r="AA254" i="9"/>
  <c r="AB254" i="9"/>
  <c r="I255" i="9"/>
  <c r="L255" i="9"/>
  <c r="M255" i="9"/>
  <c r="N255" i="9"/>
  <c r="P255" i="9"/>
  <c r="Q255" i="9"/>
  <c r="R255" i="9"/>
  <c r="S255" i="9"/>
  <c r="T255" i="9"/>
  <c r="U255" i="9"/>
  <c r="V255" i="9"/>
  <c r="W255" i="9"/>
  <c r="X255" i="9"/>
  <c r="Y255" i="9"/>
  <c r="Z255" i="9"/>
  <c r="AA255" i="9"/>
  <c r="AB255" i="9"/>
  <c r="I256" i="9"/>
  <c r="L256" i="9"/>
  <c r="M256" i="9"/>
  <c r="N256" i="9"/>
  <c r="P256" i="9"/>
  <c r="Q256" i="9"/>
  <c r="R256" i="9"/>
  <c r="S256" i="9"/>
  <c r="T256" i="9"/>
  <c r="U256" i="9"/>
  <c r="V256" i="9"/>
  <c r="W256" i="9"/>
  <c r="X256" i="9"/>
  <c r="Y256" i="9"/>
  <c r="Z256" i="9"/>
  <c r="AA256" i="9"/>
  <c r="AB256" i="9"/>
  <c r="I257" i="9"/>
  <c r="L257" i="9"/>
  <c r="M257" i="9"/>
  <c r="N257" i="9"/>
  <c r="P257" i="9"/>
  <c r="Q257" i="9"/>
  <c r="R257" i="9"/>
  <c r="S257" i="9"/>
  <c r="T257" i="9"/>
  <c r="U257" i="9"/>
  <c r="V257" i="9"/>
  <c r="W257" i="9"/>
  <c r="X257" i="9"/>
  <c r="Y257" i="9"/>
  <c r="Z257" i="9"/>
  <c r="AA257" i="9"/>
  <c r="AB257" i="9"/>
  <c r="I258" i="9"/>
  <c r="L258" i="9"/>
  <c r="M258" i="9"/>
  <c r="N258" i="9"/>
  <c r="P258" i="9"/>
  <c r="Q258" i="9"/>
  <c r="R258" i="9"/>
  <c r="S258" i="9"/>
  <c r="T258" i="9"/>
  <c r="U258" i="9"/>
  <c r="V258" i="9"/>
  <c r="W258" i="9"/>
  <c r="X258" i="9"/>
  <c r="Y258" i="9"/>
  <c r="Z258" i="9"/>
  <c r="AA258" i="9"/>
  <c r="AB258" i="9"/>
  <c r="I259" i="9"/>
  <c r="L259" i="9"/>
  <c r="M259" i="9"/>
  <c r="N259" i="9"/>
  <c r="P259" i="9"/>
  <c r="Q259" i="9"/>
  <c r="R259" i="9"/>
  <c r="S259" i="9"/>
  <c r="T259" i="9"/>
  <c r="U259" i="9"/>
  <c r="V259" i="9"/>
  <c r="W259" i="9"/>
  <c r="X259" i="9"/>
  <c r="Y259" i="9"/>
  <c r="Z259" i="9"/>
  <c r="AA259" i="9"/>
  <c r="AB259" i="9"/>
  <c r="I260" i="9"/>
  <c r="L260" i="9"/>
  <c r="M260" i="9"/>
  <c r="N260" i="9"/>
  <c r="P260" i="9"/>
  <c r="Q260" i="9"/>
  <c r="R260" i="9"/>
  <c r="S260" i="9"/>
  <c r="T260" i="9"/>
  <c r="U260" i="9"/>
  <c r="V260" i="9"/>
  <c r="W260" i="9"/>
  <c r="X260" i="9"/>
  <c r="Y260" i="9"/>
  <c r="Z260" i="9"/>
  <c r="AA260" i="9"/>
  <c r="AB260" i="9"/>
  <c r="I261" i="9"/>
  <c r="L261" i="9"/>
  <c r="M261" i="9"/>
  <c r="N261" i="9"/>
  <c r="P261" i="9"/>
  <c r="Q261" i="9"/>
  <c r="R261" i="9"/>
  <c r="S261" i="9"/>
  <c r="T261" i="9"/>
  <c r="U261" i="9"/>
  <c r="V261" i="9"/>
  <c r="W261" i="9"/>
  <c r="X261" i="9"/>
  <c r="Y261" i="9"/>
  <c r="Z261" i="9"/>
  <c r="AA261" i="9"/>
  <c r="AB261" i="9"/>
  <c r="I262" i="9"/>
  <c r="L262" i="9"/>
  <c r="M262" i="9"/>
  <c r="N262" i="9"/>
  <c r="P262" i="9"/>
  <c r="Q262" i="9"/>
  <c r="R262" i="9"/>
  <c r="S262" i="9"/>
  <c r="T262" i="9"/>
  <c r="U262" i="9"/>
  <c r="V262" i="9"/>
  <c r="W262" i="9"/>
  <c r="X262" i="9"/>
  <c r="Y262" i="9"/>
  <c r="Z262" i="9"/>
  <c r="AA262" i="9"/>
  <c r="AB262" i="9"/>
  <c r="I263" i="9"/>
  <c r="L263" i="9"/>
  <c r="M263" i="9"/>
  <c r="N263" i="9"/>
  <c r="P263" i="9"/>
  <c r="Q263" i="9"/>
  <c r="R263" i="9"/>
  <c r="S263" i="9"/>
  <c r="T263" i="9"/>
  <c r="U263" i="9"/>
  <c r="V263" i="9"/>
  <c r="W263" i="9"/>
  <c r="X263" i="9"/>
  <c r="Y263" i="9"/>
  <c r="Z263" i="9"/>
  <c r="AA263" i="9"/>
  <c r="AB263" i="9"/>
  <c r="I264" i="9"/>
  <c r="L264" i="9"/>
  <c r="M264" i="9"/>
  <c r="N264" i="9"/>
  <c r="P264" i="9"/>
  <c r="Q264" i="9"/>
  <c r="R264" i="9"/>
  <c r="S264" i="9"/>
  <c r="T264" i="9"/>
  <c r="U264" i="9"/>
  <c r="V264" i="9"/>
  <c r="W264" i="9"/>
  <c r="X264" i="9"/>
  <c r="Y264" i="9"/>
  <c r="Z264" i="9"/>
  <c r="AA264" i="9"/>
  <c r="AB264" i="9"/>
  <c r="I265" i="9"/>
  <c r="L265" i="9"/>
  <c r="M265" i="9"/>
  <c r="N265" i="9"/>
  <c r="P265" i="9"/>
  <c r="Q265" i="9"/>
  <c r="R265" i="9"/>
  <c r="S265" i="9"/>
  <c r="T265" i="9"/>
  <c r="U265" i="9"/>
  <c r="V265" i="9"/>
  <c r="W265" i="9"/>
  <c r="X265" i="9"/>
  <c r="Y265" i="9"/>
  <c r="Z265" i="9"/>
  <c r="AA265" i="9"/>
  <c r="AB265" i="9"/>
  <c r="I266" i="9"/>
  <c r="L266" i="9"/>
  <c r="M266" i="9"/>
  <c r="N266" i="9"/>
  <c r="P266" i="9"/>
  <c r="Q266" i="9"/>
  <c r="R266" i="9"/>
  <c r="S266" i="9"/>
  <c r="T266" i="9"/>
  <c r="U266" i="9"/>
  <c r="V266" i="9"/>
  <c r="W266" i="9"/>
  <c r="X266" i="9"/>
  <c r="Y266" i="9"/>
  <c r="Z266" i="9"/>
  <c r="AA266" i="9"/>
  <c r="AB266" i="9"/>
  <c r="I267" i="9"/>
  <c r="L267" i="9"/>
  <c r="M267" i="9"/>
  <c r="N267" i="9"/>
  <c r="P267" i="9"/>
  <c r="Q267" i="9"/>
  <c r="R267" i="9"/>
  <c r="S267" i="9"/>
  <c r="T267" i="9"/>
  <c r="U267" i="9"/>
  <c r="V267" i="9"/>
  <c r="W267" i="9"/>
  <c r="X267" i="9"/>
  <c r="Y267" i="9"/>
  <c r="Z267" i="9"/>
  <c r="AA267" i="9"/>
  <c r="AB267" i="9"/>
  <c r="I268" i="9"/>
  <c r="L268" i="9"/>
  <c r="M268" i="9"/>
  <c r="N268" i="9"/>
  <c r="P268" i="9"/>
  <c r="Q268" i="9"/>
  <c r="R268" i="9"/>
  <c r="S268" i="9"/>
  <c r="T268" i="9"/>
  <c r="U268" i="9"/>
  <c r="V268" i="9"/>
  <c r="W268" i="9"/>
  <c r="X268" i="9"/>
  <c r="Y268" i="9"/>
  <c r="Z268" i="9"/>
  <c r="AA268" i="9"/>
  <c r="AB268" i="9"/>
  <c r="I269" i="9"/>
  <c r="L269" i="9"/>
  <c r="M269" i="9"/>
  <c r="N269" i="9"/>
  <c r="P269" i="9"/>
  <c r="Q269" i="9"/>
  <c r="R269" i="9"/>
  <c r="S269" i="9"/>
  <c r="T269" i="9"/>
  <c r="U269" i="9"/>
  <c r="V269" i="9"/>
  <c r="W269" i="9"/>
  <c r="X269" i="9"/>
  <c r="Y269" i="9"/>
  <c r="Z269" i="9"/>
  <c r="AA269" i="9"/>
  <c r="AB269" i="9"/>
  <c r="I270" i="9"/>
  <c r="L270" i="9"/>
  <c r="M270" i="9"/>
  <c r="N270" i="9"/>
  <c r="P270" i="9"/>
  <c r="Q270" i="9"/>
  <c r="R270" i="9"/>
  <c r="S270" i="9"/>
  <c r="T270" i="9"/>
  <c r="U270" i="9"/>
  <c r="V270" i="9"/>
  <c r="W270" i="9"/>
  <c r="X270" i="9"/>
  <c r="Y270" i="9"/>
  <c r="Z270" i="9"/>
  <c r="AA270" i="9"/>
  <c r="AB270" i="9"/>
  <c r="I271" i="9"/>
  <c r="L271" i="9"/>
  <c r="M271" i="9"/>
  <c r="N271" i="9"/>
  <c r="P271" i="9"/>
  <c r="Q271" i="9"/>
  <c r="R271" i="9"/>
  <c r="S271" i="9"/>
  <c r="T271" i="9"/>
  <c r="U271" i="9"/>
  <c r="V271" i="9"/>
  <c r="W271" i="9"/>
  <c r="X271" i="9"/>
  <c r="Y271" i="9"/>
  <c r="Z271" i="9"/>
  <c r="AA271" i="9"/>
  <c r="AB271" i="9"/>
  <c r="I272" i="9"/>
  <c r="L272" i="9"/>
  <c r="M272" i="9"/>
  <c r="N272" i="9"/>
  <c r="P272" i="9"/>
  <c r="Q272" i="9"/>
  <c r="R272" i="9"/>
  <c r="S272" i="9"/>
  <c r="T272" i="9"/>
  <c r="U272" i="9"/>
  <c r="V272" i="9"/>
  <c r="W272" i="9"/>
  <c r="X272" i="9"/>
  <c r="Y272" i="9"/>
  <c r="Z272" i="9"/>
  <c r="AA272" i="9"/>
  <c r="AB272" i="9"/>
  <c r="I273" i="9"/>
  <c r="L273" i="9"/>
  <c r="M273" i="9"/>
  <c r="N273" i="9"/>
  <c r="P273" i="9"/>
  <c r="Q273" i="9"/>
  <c r="R273" i="9"/>
  <c r="S273" i="9"/>
  <c r="T273" i="9"/>
  <c r="U273" i="9"/>
  <c r="V273" i="9"/>
  <c r="W273" i="9"/>
  <c r="X273" i="9"/>
  <c r="Y273" i="9"/>
  <c r="Z273" i="9"/>
  <c r="AA273" i="9"/>
  <c r="AB273" i="9"/>
  <c r="I274" i="9"/>
  <c r="L274" i="9"/>
  <c r="M274" i="9"/>
  <c r="N274" i="9"/>
  <c r="P274" i="9"/>
  <c r="Q274" i="9"/>
  <c r="R274" i="9"/>
  <c r="S274" i="9"/>
  <c r="T274" i="9"/>
  <c r="U274" i="9"/>
  <c r="V274" i="9"/>
  <c r="W274" i="9"/>
  <c r="X274" i="9"/>
  <c r="Y274" i="9"/>
  <c r="Z274" i="9"/>
  <c r="AA274" i="9"/>
  <c r="AB274" i="9"/>
  <c r="I275" i="9"/>
  <c r="L275" i="9"/>
  <c r="M275" i="9"/>
  <c r="N275" i="9"/>
  <c r="P275" i="9"/>
  <c r="Q275" i="9"/>
  <c r="R275" i="9"/>
  <c r="S275" i="9"/>
  <c r="T275" i="9"/>
  <c r="U275" i="9"/>
  <c r="V275" i="9"/>
  <c r="W275" i="9"/>
  <c r="X275" i="9"/>
  <c r="Y275" i="9"/>
  <c r="Z275" i="9"/>
  <c r="AA275" i="9"/>
  <c r="AB275" i="9"/>
  <c r="I276" i="9"/>
  <c r="L276" i="9"/>
  <c r="M276" i="9"/>
  <c r="N276" i="9"/>
  <c r="P276" i="9"/>
  <c r="Q276" i="9"/>
  <c r="R276" i="9"/>
  <c r="S276" i="9"/>
  <c r="T276" i="9"/>
  <c r="U276" i="9"/>
  <c r="V276" i="9"/>
  <c r="W276" i="9"/>
  <c r="X276" i="9"/>
  <c r="Y276" i="9"/>
  <c r="Z276" i="9"/>
  <c r="AA276" i="9"/>
  <c r="AB276" i="9"/>
  <c r="I277" i="9"/>
  <c r="L277" i="9"/>
  <c r="M277" i="9"/>
  <c r="N277" i="9"/>
  <c r="P277" i="9"/>
  <c r="Q277" i="9"/>
  <c r="R277" i="9"/>
  <c r="S277" i="9"/>
  <c r="T277" i="9"/>
  <c r="U277" i="9"/>
  <c r="V277" i="9"/>
  <c r="W277" i="9"/>
  <c r="X277" i="9"/>
  <c r="Y277" i="9"/>
  <c r="Z277" i="9"/>
  <c r="AA277" i="9"/>
  <c r="AB277" i="9"/>
  <c r="I278" i="9"/>
  <c r="L278" i="9"/>
  <c r="M278" i="9"/>
  <c r="N278" i="9"/>
  <c r="P278" i="9"/>
  <c r="Q278" i="9"/>
  <c r="R278" i="9"/>
  <c r="S278" i="9"/>
  <c r="T278" i="9"/>
  <c r="U278" i="9"/>
  <c r="V278" i="9"/>
  <c r="W278" i="9"/>
  <c r="X278" i="9"/>
  <c r="Y278" i="9"/>
  <c r="Z278" i="9"/>
  <c r="AA278" i="9"/>
  <c r="AB278" i="9"/>
  <c r="I279" i="9"/>
  <c r="L279" i="9"/>
  <c r="M279" i="9"/>
  <c r="N279" i="9"/>
  <c r="P279" i="9"/>
  <c r="Q279" i="9"/>
  <c r="R279" i="9"/>
  <c r="S279" i="9"/>
  <c r="T279" i="9"/>
  <c r="U279" i="9"/>
  <c r="V279" i="9"/>
  <c r="W279" i="9"/>
  <c r="X279" i="9"/>
  <c r="Y279" i="9"/>
  <c r="Z279" i="9"/>
  <c r="AA279" i="9"/>
  <c r="AB279" i="9"/>
  <c r="I280" i="9"/>
  <c r="L280" i="9"/>
  <c r="M280" i="9"/>
  <c r="N280" i="9"/>
  <c r="P280" i="9"/>
  <c r="Q280" i="9"/>
  <c r="R280" i="9"/>
  <c r="S280" i="9"/>
  <c r="T280" i="9"/>
  <c r="U280" i="9"/>
  <c r="V280" i="9"/>
  <c r="W280" i="9"/>
  <c r="X280" i="9"/>
  <c r="Y280" i="9"/>
  <c r="Z280" i="9"/>
  <c r="AA280" i="9"/>
  <c r="AB280" i="9"/>
  <c r="I281" i="9"/>
  <c r="L281" i="9"/>
  <c r="M281" i="9"/>
  <c r="N281" i="9"/>
  <c r="O281" i="9"/>
  <c r="P281" i="9"/>
  <c r="Q281" i="9"/>
  <c r="R281" i="9"/>
  <c r="S281" i="9"/>
  <c r="T281" i="9"/>
  <c r="U281" i="9"/>
  <c r="V281" i="9"/>
  <c r="W281" i="9"/>
  <c r="X281" i="9"/>
  <c r="Y281" i="9"/>
  <c r="Z281" i="9"/>
  <c r="AA281" i="9"/>
  <c r="AB281" i="9"/>
  <c r="I282" i="9"/>
  <c r="L282" i="9"/>
  <c r="M282" i="9"/>
  <c r="N282" i="9"/>
  <c r="O282" i="9"/>
  <c r="P282" i="9"/>
  <c r="Q282" i="9"/>
  <c r="R282" i="9"/>
  <c r="S282" i="9"/>
  <c r="T282" i="9"/>
  <c r="U282" i="9"/>
  <c r="V282" i="9"/>
  <c r="W282" i="9"/>
  <c r="X282" i="9"/>
  <c r="Y282" i="9"/>
  <c r="Z282" i="9"/>
  <c r="AA282" i="9"/>
  <c r="AB282" i="9"/>
  <c r="I283" i="9"/>
  <c r="L283" i="9"/>
  <c r="M283" i="9"/>
  <c r="N283" i="9"/>
  <c r="O283" i="9"/>
  <c r="P283" i="9"/>
  <c r="Q283" i="9"/>
  <c r="R283" i="9"/>
  <c r="S283" i="9"/>
  <c r="T283" i="9"/>
  <c r="U283" i="9"/>
  <c r="V283" i="9"/>
  <c r="W283" i="9"/>
  <c r="X283" i="9"/>
  <c r="Y283" i="9"/>
  <c r="Z283" i="9"/>
  <c r="AA283" i="9"/>
  <c r="AB283" i="9"/>
  <c r="I284" i="9"/>
  <c r="L284" i="9"/>
  <c r="M284" i="9"/>
  <c r="N284" i="9"/>
  <c r="O284" i="9"/>
  <c r="P284" i="9"/>
  <c r="Q284" i="9"/>
  <c r="R284" i="9"/>
  <c r="S284" i="9"/>
  <c r="T284" i="9"/>
  <c r="U284" i="9"/>
  <c r="V284" i="9"/>
  <c r="W284" i="9"/>
  <c r="X284" i="9"/>
  <c r="Y284" i="9"/>
  <c r="Z284" i="9"/>
  <c r="AA284" i="9"/>
  <c r="AB284" i="9"/>
  <c r="I285" i="9"/>
  <c r="L285" i="9"/>
  <c r="M285" i="9"/>
  <c r="N285" i="9"/>
  <c r="O285" i="9"/>
  <c r="P285" i="9"/>
  <c r="Q285" i="9"/>
  <c r="R285" i="9"/>
  <c r="S285" i="9"/>
  <c r="T285" i="9"/>
  <c r="U285" i="9"/>
  <c r="V285" i="9"/>
  <c r="W285" i="9"/>
  <c r="X285" i="9"/>
  <c r="Y285" i="9"/>
  <c r="Z285" i="9"/>
  <c r="AA285" i="9"/>
  <c r="AB285" i="9"/>
  <c r="I286" i="9"/>
  <c r="L286" i="9"/>
  <c r="M286" i="9"/>
  <c r="N286" i="9"/>
  <c r="O286" i="9"/>
  <c r="P286" i="9"/>
  <c r="Q286" i="9"/>
  <c r="R286" i="9"/>
  <c r="S286" i="9"/>
  <c r="T286" i="9"/>
  <c r="U286" i="9"/>
  <c r="V286" i="9"/>
  <c r="W286" i="9"/>
  <c r="X286" i="9"/>
  <c r="Y286" i="9"/>
  <c r="Z286" i="9"/>
  <c r="AA286" i="9"/>
  <c r="AB286" i="9"/>
  <c r="I287" i="9"/>
  <c r="L287" i="9"/>
  <c r="M287" i="9"/>
  <c r="N287" i="9"/>
  <c r="O287" i="9"/>
  <c r="P287" i="9"/>
  <c r="Q287" i="9"/>
  <c r="R287" i="9"/>
  <c r="S287" i="9"/>
  <c r="T287" i="9"/>
  <c r="U287" i="9"/>
  <c r="V287" i="9"/>
  <c r="W287" i="9"/>
  <c r="X287" i="9"/>
  <c r="Y287" i="9"/>
  <c r="Z287" i="9"/>
  <c r="AA287" i="9"/>
  <c r="AB287" i="9"/>
  <c r="I288" i="9"/>
  <c r="L288" i="9"/>
  <c r="M288" i="9"/>
  <c r="N288" i="9"/>
  <c r="O288" i="9"/>
  <c r="P288" i="9"/>
  <c r="Q288" i="9"/>
  <c r="R288" i="9"/>
  <c r="S288" i="9"/>
  <c r="T288" i="9"/>
  <c r="U288" i="9"/>
  <c r="V288" i="9"/>
  <c r="W288" i="9"/>
  <c r="X288" i="9"/>
  <c r="Y288" i="9"/>
  <c r="Z288" i="9"/>
  <c r="AA288" i="9"/>
  <c r="AB288" i="9"/>
  <c r="I289" i="9"/>
  <c r="L289" i="9"/>
  <c r="M289" i="9"/>
  <c r="N289" i="9"/>
  <c r="O289" i="9"/>
  <c r="P289" i="9"/>
  <c r="Q289" i="9"/>
  <c r="R289" i="9"/>
  <c r="S289" i="9"/>
  <c r="T289" i="9"/>
  <c r="U289" i="9"/>
  <c r="V289" i="9"/>
  <c r="W289" i="9"/>
  <c r="X289" i="9"/>
  <c r="Y289" i="9"/>
  <c r="Z289" i="9"/>
  <c r="AA289" i="9"/>
  <c r="AB289" i="9"/>
  <c r="I290" i="9"/>
  <c r="L290" i="9"/>
  <c r="M290" i="9"/>
  <c r="N290" i="9"/>
  <c r="O290" i="9"/>
  <c r="P290" i="9"/>
  <c r="Q290" i="9"/>
  <c r="R290" i="9"/>
  <c r="S290" i="9"/>
  <c r="T290" i="9"/>
  <c r="U290" i="9"/>
  <c r="V290" i="9"/>
  <c r="W290" i="9"/>
  <c r="X290" i="9"/>
  <c r="Y290" i="9"/>
  <c r="Z290" i="9"/>
  <c r="AA290" i="9"/>
  <c r="AB290" i="9"/>
  <c r="I291" i="9"/>
  <c r="L291" i="9"/>
  <c r="M291" i="9"/>
  <c r="N291" i="9"/>
  <c r="P291" i="9"/>
  <c r="Q291" i="9"/>
  <c r="R291" i="9"/>
  <c r="S291" i="9"/>
  <c r="T291" i="9"/>
  <c r="U291" i="9"/>
  <c r="V291" i="9"/>
  <c r="W291" i="9"/>
  <c r="X291" i="9"/>
  <c r="Y291" i="9"/>
  <c r="Z291" i="9"/>
  <c r="AA291" i="9"/>
  <c r="AB291" i="9"/>
  <c r="I292" i="9"/>
  <c r="L292" i="9"/>
  <c r="M292" i="9"/>
  <c r="N292" i="9"/>
  <c r="O292" i="9"/>
  <c r="P292" i="9"/>
  <c r="Q292" i="9"/>
  <c r="R292" i="9"/>
  <c r="S292" i="9"/>
  <c r="T292" i="9"/>
  <c r="U292" i="9"/>
  <c r="V292" i="9"/>
  <c r="W292" i="9"/>
  <c r="X292" i="9"/>
  <c r="Y292" i="9"/>
  <c r="Z292" i="9"/>
  <c r="AA292" i="9"/>
  <c r="AB292" i="9"/>
  <c r="I293" i="9"/>
  <c r="L293" i="9"/>
  <c r="M293" i="9"/>
  <c r="N293" i="9"/>
  <c r="O293" i="9"/>
  <c r="P293" i="9"/>
  <c r="Q293" i="9"/>
  <c r="R293" i="9"/>
  <c r="S293" i="9"/>
  <c r="T293" i="9"/>
  <c r="U293" i="9"/>
  <c r="V293" i="9"/>
  <c r="W293" i="9"/>
  <c r="X293" i="9"/>
  <c r="Y293" i="9"/>
  <c r="Z293" i="9"/>
  <c r="AA293" i="9"/>
  <c r="AB293" i="9"/>
  <c r="I294" i="9"/>
  <c r="L294" i="9"/>
  <c r="M294" i="9"/>
  <c r="N294" i="9"/>
  <c r="O294" i="9"/>
  <c r="P294" i="9"/>
  <c r="Q294" i="9"/>
  <c r="R294" i="9"/>
  <c r="S294" i="9"/>
  <c r="T294" i="9"/>
  <c r="U294" i="9"/>
  <c r="V294" i="9"/>
  <c r="W294" i="9"/>
  <c r="X294" i="9"/>
  <c r="Y294" i="9"/>
  <c r="Z294" i="9"/>
  <c r="AA294" i="9"/>
  <c r="AB294" i="9"/>
  <c r="I295" i="9"/>
  <c r="L295" i="9"/>
  <c r="M295" i="9"/>
  <c r="N295" i="9"/>
  <c r="O295" i="9"/>
  <c r="P295" i="9"/>
  <c r="Q295" i="9"/>
  <c r="R295" i="9"/>
  <c r="S295" i="9"/>
  <c r="T295" i="9"/>
  <c r="U295" i="9"/>
  <c r="V295" i="9"/>
  <c r="W295" i="9"/>
  <c r="X295" i="9"/>
  <c r="Y295" i="9"/>
  <c r="Z295" i="9"/>
  <c r="AA295" i="9"/>
  <c r="AB295" i="9"/>
  <c r="I296" i="9"/>
  <c r="L296" i="9"/>
  <c r="M296" i="9"/>
  <c r="N296" i="9"/>
  <c r="P296" i="9"/>
  <c r="Q296" i="9"/>
  <c r="R296" i="9"/>
  <c r="S296" i="9"/>
  <c r="T296" i="9"/>
  <c r="U296" i="9"/>
  <c r="V296" i="9"/>
  <c r="W296" i="9"/>
  <c r="X296" i="9"/>
  <c r="Y296" i="9"/>
  <c r="Z296" i="9"/>
  <c r="AA296" i="9"/>
  <c r="AB296" i="9"/>
  <c r="I297" i="9"/>
  <c r="L297" i="9"/>
  <c r="M297" i="9"/>
  <c r="N297" i="9"/>
  <c r="P297" i="9"/>
  <c r="Q297" i="9"/>
  <c r="R297" i="9"/>
  <c r="S297" i="9"/>
  <c r="T297" i="9"/>
  <c r="U297" i="9"/>
  <c r="V297" i="9"/>
  <c r="W297" i="9"/>
  <c r="X297" i="9"/>
  <c r="Y297" i="9"/>
  <c r="Z297" i="9"/>
  <c r="AA297" i="9"/>
  <c r="AB297" i="9"/>
  <c r="I298" i="9"/>
  <c r="L298" i="9"/>
  <c r="M298" i="9"/>
  <c r="N298" i="9"/>
  <c r="P298" i="9"/>
  <c r="Q298" i="9"/>
  <c r="R298" i="9"/>
  <c r="S298" i="9"/>
  <c r="T298" i="9"/>
  <c r="U298" i="9"/>
  <c r="V298" i="9"/>
  <c r="W298" i="9"/>
  <c r="X298" i="9"/>
  <c r="Y298" i="9"/>
  <c r="Z298" i="9"/>
  <c r="AA298" i="9"/>
  <c r="AB298" i="9"/>
  <c r="I299" i="9"/>
  <c r="L299" i="9"/>
  <c r="M299" i="9"/>
  <c r="N299" i="9"/>
  <c r="P299" i="9"/>
  <c r="Q299" i="9"/>
  <c r="R299" i="9"/>
  <c r="S299" i="9"/>
  <c r="T299" i="9"/>
  <c r="U299" i="9"/>
  <c r="V299" i="9"/>
  <c r="W299" i="9"/>
  <c r="X299" i="9"/>
  <c r="Y299" i="9"/>
  <c r="Z299" i="9"/>
  <c r="AA299" i="9"/>
  <c r="AB299" i="9"/>
  <c r="I300" i="9"/>
  <c r="L300" i="9"/>
  <c r="M300" i="9"/>
  <c r="N300" i="9"/>
  <c r="P300" i="9"/>
  <c r="Q300" i="9"/>
  <c r="R300" i="9"/>
  <c r="S300" i="9"/>
  <c r="T300" i="9"/>
  <c r="U300" i="9"/>
  <c r="V300" i="9"/>
  <c r="W300" i="9"/>
  <c r="X300" i="9"/>
  <c r="Y300" i="9"/>
  <c r="Z300" i="9"/>
  <c r="AA300" i="9"/>
  <c r="AB300" i="9"/>
  <c r="I301" i="9"/>
  <c r="L301" i="9"/>
  <c r="M301" i="9"/>
  <c r="N301" i="9"/>
  <c r="P301" i="9"/>
  <c r="Q301" i="9"/>
  <c r="R301" i="9"/>
  <c r="S301" i="9"/>
  <c r="T301" i="9"/>
  <c r="U301" i="9"/>
  <c r="V301" i="9"/>
  <c r="W301" i="9"/>
  <c r="X301" i="9"/>
  <c r="Y301" i="9"/>
  <c r="Z301" i="9"/>
  <c r="AA301" i="9"/>
  <c r="AB301" i="9"/>
  <c r="I302" i="9"/>
  <c r="L302" i="9"/>
  <c r="M302" i="9"/>
  <c r="N302" i="9"/>
  <c r="P302" i="9"/>
  <c r="Q302" i="9"/>
  <c r="R302" i="9"/>
  <c r="S302" i="9"/>
  <c r="T302" i="9"/>
  <c r="U302" i="9"/>
  <c r="V302" i="9"/>
  <c r="W302" i="9"/>
  <c r="X302" i="9"/>
  <c r="Y302" i="9"/>
  <c r="Z302" i="9"/>
  <c r="AA302" i="9"/>
  <c r="AB302" i="9"/>
  <c r="I303" i="9"/>
  <c r="L303" i="9"/>
  <c r="M303" i="9"/>
  <c r="N303" i="9"/>
  <c r="P303" i="9"/>
  <c r="Q303" i="9"/>
  <c r="R303" i="9"/>
  <c r="S303" i="9"/>
  <c r="T303" i="9"/>
  <c r="U303" i="9"/>
  <c r="V303" i="9"/>
  <c r="W303" i="9"/>
  <c r="X303" i="9"/>
  <c r="Y303" i="9"/>
  <c r="Z303" i="9"/>
  <c r="AA303" i="9"/>
  <c r="AB303" i="9"/>
  <c r="I304" i="9"/>
  <c r="L304" i="9"/>
  <c r="M304" i="9"/>
  <c r="N304" i="9"/>
  <c r="P304" i="9"/>
  <c r="Q304" i="9"/>
  <c r="R304" i="9"/>
  <c r="S304" i="9"/>
  <c r="T304" i="9"/>
  <c r="U304" i="9"/>
  <c r="V304" i="9"/>
  <c r="W304" i="9"/>
  <c r="X304" i="9"/>
  <c r="Y304" i="9"/>
  <c r="Z304" i="9"/>
  <c r="AA304" i="9"/>
  <c r="AB304" i="9"/>
  <c r="I305" i="9"/>
  <c r="L305" i="9"/>
  <c r="M305" i="9"/>
  <c r="N305" i="9"/>
  <c r="P305" i="9"/>
  <c r="Q305" i="9"/>
  <c r="R305" i="9"/>
  <c r="S305" i="9"/>
  <c r="T305" i="9"/>
  <c r="U305" i="9"/>
  <c r="V305" i="9"/>
  <c r="W305" i="9"/>
  <c r="X305" i="9"/>
  <c r="Y305" i="9"/>
  <c r="Z305" i="9"/>
  <c r="AA305" i="9"/>
  <c r="AB305" i="9"/>
  <c r="I306" i="9"/>
  <c r="L306" i="9"/>
  <c r="M306" i="9"/>
  <c r="N306" i="9"/>
  <c r="P306" i="9"/>
  <c r="Q306" i="9"/>
  <c r="R306" i="9"/>
  <c r="S306" i="9"/>
  <c r="T306" i="9"/>
  <c r="U306" i="9"/>
  <c r="V306" i="9"/>
  <c r="W306" i="9"/>
  <c r="X306" i="9"/>
  <c r="Y306" i="9"/>
  <c r="Z306" i="9"/>
  <c r="AA306" i="9"/>
  <c r="AB306" i="9"/>
  <c r="I307" i="9"/>
  <c r="L307" i="9"/>
  <c r="M307" i="9"/>
  <c r="N307" i="9"/>
  <c r="P307" i="9"/>
  <c r="Q307" i="9"/>
  <c r="R307" i="9"/>
  <c r="S307" i="9"/>
  <c r="T307" i="9"/>
  <c r="U307" i="9"/>
  <c r="V307" i="9"/>
  <c r="W307" i="9"/>
  <c r="X307" i="9"/>
  <c r="Y307" i="9"/>
  <c r="Z307" i="9"/>
  <c r="AA307" i="9"/>
  <c r="AB307" i="9"/>
  <c r="I308" i="9"/>
  <c r="L308" i="9"/>
  <c r="M308" i="9"/>
  <c r="N308" i="9"/>
  <c r="P308" i="9"/>
  <c r="Q308" i="9"/>
  <c r="R308" i="9"/>
  <c r="S308" i="9"/>
  <c r="T308" i="9"/>
  <c r="U308" i="9"/>
  <c r="V308" i="9"/>
  <c r="W308" i="9"/>
  <c r="X308" i="9"/>
  <c r="Y308" i="9"/>
  <c r="Z308" i="9"/>
  <c r="AA308" i="9"/>
  <c r="AB308" i="9"/>
  <c r="I309" i="9"/>
  <c r="L309" i="9"/>
  <c r="M309" i="9"/>
  <c r="N309" i="9"/>
  <c r="P309" i="9"/>
  <c r="Q309" i="9"/>
  <c r="R309" i="9"/>
  <c r="S309" i="9"/>
  <c r="T309" i="9"/>
  <c r="U309" i="9"/>
  <c r="V309" i="9"/>
  <c r="W309" i="9"/>
  <c r="X309" i="9"/>
  <c r="Y309" i="9"/>
  <c r="Z309" i="9"/>
  <c r="AA309" i="9"/>
  <c r="AB309" i="9"/>
  <c r="I310" i="9"/>
  <c r="L310" i="9"/>
  <c r="M310" i="9"/>
  <c r="N310" i="9"/>
  <c r="P310" i="9"/>
  <c r="Q310" i="9"/>
  <c r="R310" i="9"/>
  <c r="S310" i="9"/>
  <c r="T310" i="9"/>
  <c r="U310" i="9"/>
  <c r="V310" i="9"/>
  <c r="W310" i="9"/>
  <c r="X310" i="9"/>
  <c r="Y310" i="9"/>
  <c r="Z310" i="9"/>
  <c r="AA310" i="9"/>
  <c r="AB310" i="9"/>
  <c r="I311" i="9"/>
  <c r="L311" i="9"/>
  <c r="M311" i="9"/>
  <c r="N311" i="9"/>
  <c r="P311" i="9"/>
  <c r="Q311" i="9"/>
  <c r="R311" i="9"/>
  <c r="S311" i="9"/>
  <c r="T311" i="9"/>
  <c r="U311" i="9"/>
  <c r="V311" i="9"/>
  <c r="W311" i="9"/>
  <c r="X311" i="9"/>
  <c r="Y311" i="9"/>
  <c r="Z311" i="9"/>
  <c r="AA311" i="9"/>
  <c r="AB311" i="9"/>
  <c r="I312" i="9"/>
  <c r="L312" i="9"/>
  <c r="M312" i="9"/>
  <c r="N312" i="9"/>
  <c r="P312" i="9"/>
  <c r="Q312" i="9"/>
  <c r="R312" i="9"/>
  <c r="S312" i="9"/>
  <c r="T312" i="9"/>
  <c r="U312" i="9"/>
  <c r="V312" i="9"/>
  <c r="W312" i="9"/>
  <c r="X312" i="9"/>
  <c r="Y312" i="9"/>
  <c r="Z312" i="9"/>
  <c r="AA312" i="9"/>
  <c r="AB312" i="9"/>
  <c r="I313" i="9"/>
  <c r="L313" i="9"/>
  <c r="M313" i="9"/>
  <c r="N313" i="9"/>
  <c r="P313" i="9"/>
  <c r="Q313" i="9"/>
  <c r="R313" i="9"/>
  <c r="S313" i="9"/>
  <c r="T313" i="9"/>
  <c r="U313" i="9"/>
  <c r="V313" i="9"/>
  <c r="W313" i="9"/>
  <c r="X313" i="9"/>
  <c r="Y313" i="9"/>
  <c r="Z313" i="9"/>
  <c r="AA313" i="9"/>
  <c r="AB313" i="9"/>
  <c r="I314" i="9"/>
  <c r="L314" i="9"/>
  <c r="M314" i="9"/>
  <c r="N314" i="9"/>
  <c r="P314" i="9"/>
  <c r="Q314" i="9"/>
  <c r="R314" i="9"/>
  <c r="S314" i="9"/>
  <c r="T314" i="9"/>
  <c r="U314" i="9"/>
  <c r="V314" i="9"/>
  <c r="W314" i="9"/>
  <c r="X314" i="9"/>
  <c r="Y314" i="9"/>
  <c r="Z314" i="9"/>
  <c r="AA314" i="9"/>
  <c r="AB314" i="9"/>
  <c r="I315" i="9"/>
  <c r="L315" i="9"/>
  <c r="M315" i="9"/>
  <c r="N315" i="9"/>
  <c r="P315" i="9"/>
  <c r="Q315" i="9"/>
  <c r="R315" i="9"/>
  <c r="S315" i="9"/>
  <c r="T315" i="9"/>
  <c r="U315" i="9"/>
  <c r="V315" i="9"/>
  <c r="W315" i="9"/>
  <c r="X315" i="9"/>
  <c r="Y315" i="9"/>
  <c r="Z315" i="9"/>
  <c r="AA315" i="9"/>
  <c r="AB315" i="9"/>
  <c r="I316" i="9"/>
  <c r="L316" i="9"/>
  <c r="M316" i="9"/>
  <c r="N316" i="9"/>
  <c r="P316" i="9"/>
  <c r="Q316" i="9"/>
  <c r="R316" i="9"/>
  <c r="S316" i="9"/>
  <c r="T316" i="9"/>
  <c r="U316" i="9"/>
  <c r="V316" i="9"/>
  <c r="W316" i="9"/>
  <c r="X316" i="9"/>
  <c r="Y316" i="9"/>
  <c r="Z316" i="9"/>
  <c r="AA316" i="9"/>
  <c r="AB316" i="9"/>
  <c r="I317" i="9"/>
  <c r="L317" i="9"/>
  <c r="M317" i="9"/>
  <c r="N317" i="9"/>
  <c r="P317" i="9"/>
  <c r="Q317" i="9"/>
  <c r="R317" i="9"/>
  <c r="S317" i="9"/>
  <c r="T317" i="9"/>
  <c r="U317" i="9"/>
  <c r="V317" i="9"/>
  <c r="W317" i="9"/>
  <c r="X317" i="9"/>
  <c r="Y317" i="9"/>
  <c r="Z317" i="9"/>
  <c r="AA317" i="9"/>
  <c r="AB317" i="9"/>
  <c r="I318" i="9"/>
  <c r="L318" i="9"/>
  <c r="M318" i="9"/>
  <c r="N318" i="9"/>
  <c r="P318" i="9"/>
  <c r="Q318" i="9"/>
  <c r="R318" i="9"/>
  <c r="S318" i="9"/>
  <c r="T318" i="9"/>
  <c r="U318" i="9"/>
  <c r="V318" i="9"/>
  <c r="W318" i="9"/>
  <c r="X318" i="9"/>
  <c r="Y318" i="9"/>
  <c r="Z318" i="9"/>
  <c r="AA318" i="9"/>
  <c r="AB318" i="9"/>
  <c r="I319" i="9"/>
  <c r="L319" i="9"/>
  <c r="M319" i="9"/>
  <c r="N319" i="9"/>
  <c r="P319" i="9"/>
  <c r="Q319" i="9"/>
  <c r="R319" i="9"/>
  <c r="S319" i="9"/>
  <c r="T319" i="9"/>
  <c r="U319" i="9"/>
  <c r="V319" i="9"/>
  <c r="W319" i="9"/>
  <c r="X319" i="9"/>
  <c r="Y319" i="9"/>
  <c r="Z319" i="9"/>
  <c r="AA319" i="9"/>
  <c r="AB319" i="9"/>
  <c r="I320" i="9"/>
  <c r="L320" i="9"/>
  <c r="M320" i="9"/>
  <c r="N320" i="9"/>
  <c r="P320" i="9"/>
  <c r="Q320" i="9"/>
  <c r="R320" i="9"/>
  <c r="S320" i="9"/>
  <c r="T320" i="9"/>
  <c r="U320" i="9"/>
  <c r="V320" i="9"/>
  <c r="W320" i="9"/>
  <c r="X320" i="9"/>
  <c r="Y320" i="9"/>
  <c r="Z320" i="9"/>
  <c r="AA320" i="9"/>
  <c r="AB320" i="9"/>
  <c r="I321" i="9"/>
  <c r="L321" i="9"/>
  <c r="M321" i="9"/>
  <c r="N321" i="9"/>
  <c r="P321" i="9"/>
  <c r="Q321" i="9"/>
  <c r="R321" i="9"/>
  <c r="S321" i="9"/>
  <c r="T321" i="9"/>
  <c r="U321" i="9"/>
  <c r="V321" i="9"/>
  <c r="W321" i="9"/>
  <c r="X321" i="9"/>
  <c r="Y321" i="9"/>
  <c r="Z321" i="9"/>
  <c r="AA321" i="9"/>
  <c r="AB321" i="9"/>
  <c r="I322" i="9"/>
  <c r="L322" i="9"/>
  <c r="M322" i="9"/>
  <c r="N322" i="9"/>
  <c r="P322" i="9"/>
  <c r="Q322" i="9"/>
  <c r="R322" i="9"/>
  <c r="S322" i="9"/>
  <c r="T322" i="9"/>
  <c r="U322" i="9"/>
  <c r="V322" i="9"/>
  <c r="W322" i="9"/>
  <c r="X322" i="9"/>
  <c r="Y322" i="9"/>
  <c r="Z322" i="9"/>
  <c r="AA322" i="9"/>
  <c r="AB322" i="9"/>
  <c r="I323" i="9"/>
  <c r="L323" i="9"/>
  <c r="M323" i="9"/>
  <c r="N323" i="9"/>
  <c r="P323" i="9"/>
  <c r="Q323" i="9"/>
  <c r="R323" i="9"/>
  <c r="S323" i="9"/>
  <c r="T323" i="9"/>
  <c r="U323" i="9"/>
  <c r="V323" i="9"/>
  <c r="W323" i="9"/>
  <c r="X323" i="9"/>
  <c r="Y323" i="9"/>
  <c r="Z323" i="9"/>
  <c r="AA323" i="9"/>
  <c r="AB323" i="9"/>
  <c r="I324" i="9"/>
  <c r="L324" i="9"/>
  <c r="M324" i="9"/>
  <c r="N324" i="9"/>
  <c r="P324" i="9"/>
  <c r="Q324" i="9"/>
  <c r="R324" i="9"/>
  <c r="S324" i="9"/>
  <c r="T324" i="9"/>
  <c r="U324" i="9"/>
  <c r="V324" i="9"/>
  <c r="W324" i="9"/>
  <c r="X324" i="9"/>
  <c r="Y324" i="9"/>
  <c r="Z324" i="9"/>
  <c r="AA324" i="9"/>
  <c r="AB324" i="9"/>
  <c r="I325" i="9"/>
  <c r="L325" i="9"/>
  <c r="M325" i="9"/>
  <c r="N325" i="9"/>
  <c r="P325" i="9"/>
  <c r="Q325" i="9"/>
  <c r="R325" i="9"/>
  <c r="S325" i="9"/>
  <c r="T325" i="9"/>
  <c r="U325" i="9"/>
  <c r="V325" i="9"/>
  <c r="W325" i="9"/>
  <c r="X325" i="9"/>
  <c r="Y325" i="9"/>
  <c r="Z325" i="9"/>
  <c r="AA325" i="9"/>
  <c r="AB325" i="9"/>
  <c r="I326" i="9"/>
  <c r="L326" i="9"/>
  <c r="M326" i="9"/>
  <c r="N326" i="9"/>
  <c r="P326" i="9"/>
  <c r="Q326" i="9"/>
  <c r="R326" i="9"/>
  <c r="S326" i="9"/>
  <c r="T326" i="9"/>
  <c r="U326" i="9"/>
  <c r="V326" i="9"/>
  <c r="W326" i="9"/>
  <c r="X326" i="9"/>
  <c r="Y326" i="9"/>
  <c r="Z326" i="9"/>
  <c r="AA326" i="9"/>
  <c r="AB326" i="9"/>
  <c r="I327" i="9"/>
  <c r="L327" i="9"/>
  <c r="M327" i="9"/>
  <c r="N327" i="9"/>
  <c r="P327" i="9"/>
  <c r="Q327" i="9"/>
  <c r="R327" i="9"/>
  <c r="S327" i="9"/>
  <c r="T327" i="9"/>
  <c r="U327" i="9"/>
  <c r="V327" i="9"/>
  <c r="W327" i="9"/>
  <c r="X327" i="9"/>
  <c r="Y327" i="9"/>
  <c r="Z327" i="9"/>
  <c r="AA327" i="9"/>
  <c r="AB327" i="9"/>
  <c r="I328" i="9"/>
  <c r="L328" i="9"/>
  <c r="M328" i="9"/>
  <c r="N328" i="9"/>
  <c r="P328" i="9"/>
  <c r="Q328" i="9"/>
  <c r="R328" i="9"/>
  <c r="S328" i="9"/>
  <c r="T328" i="9"/>
  <c r="U328" i="9"/>
  <c r="V328" i="9"/>
  <c r="W328" i="9"/>
  <c r="X328" i="9"/>
  <c r="Y328" i="9"/>
  <c r="Z328" i="9"/>
  <c r="AA328" i="9"/>
  <c r="AB328" i="9"/>
  <c r="I329" i="9"/>
  <c r="L329" i="9"/>
  <c r="M329" i="9"/>
  <c r="N329" i="9"/>
  <c r="P329" i="9"/>
  <c r="Q329" i="9"/>
  <c r="R329" i="9"/>
  <c r="S329" i="9"/>
  <c r="T329" i="9"/>
  <c r="U329" i="9"/>
  <c r="V329" i="9"/>
  <c r="W329" i="9"/>
  <c r="X329" i="9"/>
  <c r="Y329" i="9"/>
  <c r="Z329" i="9"/>
  <c r="AA329" i="9"/>
  <c r="AB329" i="9"/>
  <c r="I330" i="9"/>
  <c r="L330" i="9"/>
  <c r="M330" i="9"/>
  <c r="N330" i="9"/>
  <c r="P330" i="9"/>
  <c r="Q330" i="9"/>
  <c r="R330" i="9"/>
  <c r="S330" i="9"/>
  <c r="T330" i="9"/>
  <c r="U330" i="9"/>
  <c r="V330" i="9"/>
  <c r="W330" i="9"/>
  <c r="X330" i="9"/>
  <c r="Y330" i="9"/>
  <c r="Z330" i="9"/>
  <c r="AA330" i="9"/>
  <c r="AB330" i="9"/>
  <c r="I331" i="9"/>
  <c r="L331" i="9"/>
  <c r="M331" i="9"/>
  <c r="N331" i="9"/>
  <c r="P331" i="9"/>
  <c r="Q331" i="9"/>
  <c r="R331" i="9"/>
  <c r="S331" i="9"/>
  <c r="T331" i="9"/>
  <c r="U331" i="9"/>
  <c r="V331" i="9"/>
  <c r="W331" i="9"/>
  <c r="X331" i="9"/>
  <c r="Y331" i="9"/>
  <c r="Z331" i="9"/>
  <c r="AA331" i="9"/>
  <c r="AB331" i="9"/>
  <c r="I332" i="9"/>
  <c r="L332" i="9"/>
  <c r="M332" i="9"/>
  <c r="N332" i="9"/>
  <c r="P332" i="9"/>
  <c r="Q332" i="9"/>
  <c r="R332" i="9"/>
  <c r="S332" i="9"/>
  <c r="T332" i="9"/>
  <c r="U332" i="9"/>
  <c r="V332" i="9"/>
  <c r="W332" i="9"/>
  <c r="X332" i="9"/>
  <c r="Y332" i="9"/>
  <c r="Z332" i="9"/>
  <c r="AA332" i="9"/>
  <c r="AB332" i="9"/>
  <c r="I333" i="9"/>
  <c r="L333" i="9"/>
  <c r="M333" i="9"/>
  <c r="N333" i="9"/>
  <c r="P333" i="9"/>
  <c r="Q333" i="9"/>
  <c r="R333" i="9"/>
  <c r="S333" i="9"/>
  <c r="T333" i="9"/>
  <c r="U333" i="9"/>
  <c r="V333" i="9"/>
  <c r="W333" i="9"/>
  <c r="X333" i="9"/>
  <c r="Y333" i="9"/>
  <c r="Z333" i="9"/>
  <c r="AA333" i="9"/>
  <c r="AB333" i="9"/>
  <c r="I334" i="9"/>
  <c r="L334" i="9"/>
  <c r="M334" i="9"/>
  <c r="N334" i="9"/>
  <c r="P334" i="9"/>
  <c r="Q334" i="9"/>
  <c r="R334" i="9"/>
  <c r="S334" i="9"/>
  <c r="T334" i="9"/>
  <c r="U334" i="9"/>
  <c r="V334" i="9"/>
  <c r="W334" i="9"/>
  <c r="X334" i="9"/>
  <c r="Y334" i="9"/>
  <c r="Z334" i="9"/>
  <c r="AA334" i="9"/>
  <c r="AB334" i="9"/>
  <c r="I335" i="9"/>
  <c r="L335" i="9"/>
  <c r="M335" i="9"/>
  <c r="N335" i="9"/>
  <c r="P335" i="9"/>
  <c r="Q335" i="9"/>
  <c r="R335" i="9"/>
  <c r="S335" i="9"/>
  <c r="T335" i="9"/>
  <c r="U335" i="9"/>
  <c r="V335" i="9"/>
  <c r="W335" i="9"/>
  <c r="X335" i="9"/>
  <c r="Y335" i="9"/>
  <c r="Z335" i="9"/>
  <c r="AA335" i="9"/>
  <c r="AB335" i="9"/>
  <c r="I336" i="9"/>
  <c r="L336" i="9"/>
  <c r="M336" i="9"/>
  <c r="N336" i="9"/>
  <c r="P336" i="9"/>
  <c r="Q336" i="9"/>
  <c r="R336" i="9"/>
  <c r="S336" i="9"/>
  <c r="T336" i="9"/>
  <c r="U336" i="9"/>
  <c r="V336" i="9"/>
  <c r="W336" i="9"/>
  <c r="X336" i="9"/>
  <c r="Y336" i="9"/>
  <c r="Z336" i="9"/>
  <c r="AA336" i="9"/>
  <c r="AB336" i="9"/>
  <c r="I337" i="9"/>
  <c r="L337" i="9"/>
  <c r="M337" i="9"/>
  <c r="N337" i="9"/>
  <c r="P337" i="9"/>
  <c r="Q337" i="9"/>
  <c r="R337" i="9"/>
  <c r="S337" i="9"/>
  <c r="T337" i="9"/>
  <c r="U337" i="9"/>
  <c r="V337" i="9"/>
  <c r="W337" i="9"/>
  <c r="X337" i="9"/>
  <c r="Y337" i="9"/>
  <c r="Z337" i="9"/>
  <c r="AA337" i="9"/>
  <c r="AB337" i="9"/>
  <c r="I338" i="9"/>
  <c r="L338" i="9"/>
  <c r="M338" i="9"/>
  <c r="N338" i="9"/>
  <c r="P338" i="9"/>
  <c r="Q338" i="9"/>
  <c r="R338" i="9"/>
  <c r="S338" i="9"/>
  <c r="T338" i="9"/>
  <c r="U338" i="9"/>
  <c r="V338" i="9"/>
  <c r="W338" i="9"/>
  <c r="X338" i="9"/>
  <c r="Y338" i="9"/>
  <c r="Z338" i="9"/>
  <c r="AA338" i="9"/>
  <c r="AB338" i="9"/>
  <c r="I339" i="9"/>
  <c r="L339" i="9"/>
  <c r="M339" i="9"/>
  <c r="N339" i="9"/>
  <c r="P339" i="9"/>
  <c r="Q339" i="9"/>
  <c r="R339" i="9"/>
  <c r="S339" i="9"/>
  <c r="T339" i="9"/>
  <c r="U339" i="9"/>
  <c r="V339" i="9"/>
  <c r="W339" i="9"/>
  <c r="X339" i="9"/>
  <c r="Y339" i="9"/>
  <c r="Z339" i="9"/>
  <c r="AA339" i="9"/>
  <c r="AB339" i="9"/>
  <c r="I340" i="9"/>
  <c r="L340" i="9"/>
  <c r="M340" i="9"/>
  <c r="N340" i="9"/>
  <c r="P340" i="9"/>
  <c r="Q340" i="9"/>
  <c r="R340" i="9"/>
  <c r="S340" i="9"/>
  <c r="T340" i="9"/>
  <c r="U340" i="9"/>
  <c r="V340" i="9"/>
  <c r="W340" i="9"/>
  <c r="X340" i="9"/>
  <c r="Y340" i="9"/>
  <c r="Z340" i="9"/>
  <c r="AA340" i="9"/>
  <c r="AB340" i="9"/>
  <c r="I341" i="9"/>
  <c r="L341" i="9"/>
  <c r="M341" i="9"/>
  <c r="N341" i="9"/>
  <c r="P341" i="9"/>
  <c r="Q341" i="9"/>
  <c r="R341" i="9"/>
  <c r="S341" i="9"/>
  <c r="T341" i="9"/>
  <c r="U341" i="9"/>
  <c r="V341" i="9"/>
  <c r="W341" i="9"/>
  <c r="X341" i="9"/>
  <c r="Y341" i="9"/>
  <c r="Z341" i="9"/>
  <c r="AA341" i="9"/>
  <c r="AB341" i="9"/>
  <c r="I342" i="9"/>
  <c r="L342" i="9"/>
  <c r="M342" i="9"/>
  <c r="N342" i="9"/>
  <c r="P342" i="9"/>
  <c r="Q342" i="9"/>
  <c r="R342" i="9"/>
  <c r="S342" i="9"/>
  <c r="T342" i="9"/>
  <c r="U342" i="9"/>
  <c r="V342" i="9"/>
  <c r="W342" i="9"/>
  <c r="X342" i="9"/>
  <c r="Y342" i="9"/>
  <c r="Z342" i="9"/>
  <c r="AA342" i="9"/>
  <c r="AB342" i="9"/>
  <c r="I343" i="9"/>
  <c r="L343" i="9"/>
  <c r="M343" i="9"/>
  <c r="N343" i="9"/>
  <c r="P343" i="9"/>
  <c r="Q343" i="9"/>
  <c r="R343" i="9"/>
  <c r="S343" i="9"/>
  <c r="T343" i="9"/>
  <c r="U343" i="9"/>
  <c r="V343" i="9"/>
  <c r="W343" i="9"/>
  <c r="X343" i="9"/>
  <c r="Y343" i="9"/>
  <c r="Z343" i="9"/>
  <c r="AA343" i="9"/>
  <c r="AB343" i="9"/>
  <c r="I344" i="9"/>
  <c r="L344" i="9"/>
  <c r="M344" i="9"/>
  <c r="N344" i="9"/>
  <c r="P344" i="9"/>
  <c r="Q344" i="9"/>
  <c r="R344" i="9"/>
  <c r="S344" i="9"/>
  <c r="T344" i="9"/>
  <c r="U344" i="9"/>
  <c r="V344" i="9"/>
  <c r="W344" i="9"/>
  <c r="X344" i="9"/>
  <c r="Y344" i="9"/>
  <c r="Z344" i="9"/>
  <c r="AA344" i="9"/>
  <c r="AB344" i="9"/>
  <c r="I345" i="9"/>
  <c r="L345" i="9"/>
  <c r="M345" i="9"/>
  <c r="N345" i="9"/>
  <c r="P345" i="9"/>
  <c r="Q345" i="9"/>
  <c r="R345" i="9"/>
  <c r="S345" i="9"/>
  <c r="T345" i="9"/>
  <c r="U345" i="9"/>
  <c r="V345" i="9"/>
  <c r="W345" i="9"/>
  <c r="X345" i="9"/>
  <c r="Y345" i="9"/>
  <c r="Z345" i="9"/>
  <c r="AA345" i="9"/>
  <c r="AB345" i="9"/>
  <c r="I346" i="9"/>
  <c r="L346" i="9"/>
  <c r="M346" i="9"/>
  <c r="N346" i="9"/>
  <c r="P346" i="9"/>
  <c r="Q346" i="9"/>
  <c r="R346" i="9"/>
  <c r="S346" i="9"/>
  <c r="T346" i="9"/>
  <c r="U346" i="9"/>
  <c r="V346" i="9"/>
  <c r="W346" i="9"/>
  <c r="X346" i="9"/>
  <c r="Y346" i="9"/>
  <c r="Z346" i="9"/>
  <c r="AA346" i="9"/>
  <c r="AB346" i="9"/>
  <c r="I347" i="9"/>
  <c r="L347" i="9"/>
  <c r="M347" i="9"/>
  <c r="N347" i="9"/>
  <c r="P347" i="9"/>
  <c r="Q347" i="9"/>
  <c r="R347" i="9"/>
  <c r="S347" i="9"/>
  <c r="T347" i="9"/>
  <c r="U347" i="9"/>
  <c r="V347" i="9"/>
  <c r="W347" i="9"/>
  <c r="X347" i="9"/>
  <c r="Y347" i="9"/>
  <c r="Z347" i="9"/>
  <c r="AA347" i="9"/>
  <c r="AB347" i="9"/>
  <c r="I348" i="9"/>
  <c r="L348" i="9"/>
  <c r="M348" i="9"/>
  <c r="N348" i="9"/>
  <c r="P348" i="9"/>
  <c r="Q348" i="9"/>
  <c r="R348" i="9"/>
  <c r="S348" i="9"/>
  <c r="T348" i="9"/>
  <c r="U348" i="9"/>
  <c r="V348" i="9"/>
  <c r="W348" i="9"/>
  <c r="X348" i="9"/>
  <c r="Y348" i="9"/>
  <c r="Z348" i="9"/>
  <c r="AA348" i="9"/>
  <c r="AB348" i="9"/>
  <c r="I349" i="9"/>
  <c r="L349" i="9"/>
  <c r="M349" i="9"/>
  <c r="N349" i="9"/>
  <c r="P349" i="9"/>
  <c r="Q349" i="9"/>
  <c r="R349" i="9"/>
  <c r="S349" i="9"/>
  <c r="T349" i="9"/>
  <c r="U349" i="9"/>
  <c r="V349" i="9"/>
  <c r="W349" i="9"/>
  <c r="X349" i="9"/>
  <c r="Y349" i="9"/>
  <c r="Z349" i="9"/>
  <c r="AA349" i="9"/>
  <c r="AB349" i="9"/>
  <c r="I350" i="9"/>
  <c r="L350" i="9"/>
  <c r="M350" i="9"/>
  <c r="N350" i="9"/>
  <c r="P350" i="9"/>
  <c r="Q350" i="9"/>
  <c r="R350" i="9"/>
  <c r="S350" i="9"/>
  <c r="T350" i="9"/>
  <c r="U350" i="9"/>
  <c r="V350" i="9"/>
  <c r="W350" i="9"/>
  <c r="X350" i="9"/>
  <c r="Y350" i="9"/>
  <c r="Z350" i="9"/>
  <c r="AA350" i="9"/>
  <c r="AB350" i="9"/>
  <c r="I351" i="9"/>
  <c r="L351" i="9"/>
  <c r="M351" i="9"/>
  <c r="N351" i="9"/>
  <c r="P351" i="9"/>
  <c r="Q351" i="9"/>
  <c r="R351" i="9"/>
  <c r="S351" i="9"/>
  <c r="T351" i="9"/>
  <c r="U351" i="9"/>
  <c r="V351" i="9"/>
  <c r="W351" i="9"/>
  <c r="X351" i="9"/>
  <c r="Y351" i="9"/>
  <c r="Z351" i="9"/>
  <c r="AA351" i="9"/>
  <c r="AB351" i="9"/>
  <c r="I352" i="9"/>
  <c r="L352" i="9"/>
  <c r="M352" i="9"/>
  <c r="N352" i="9"/>
  <c r="P352" i="9"/>
  <c r="Q352" i="9"/>
  <c r="R352" i="9"/>
  <c r="S352" i="9"/>
  <c r="T352" i="9"/>
  <c r="U352" i="9"/>
  <c r="V352" i="9"/>
  <c r="W352" i="9"/>
  <c r="X352" i="9"/>
  <c r="Y352" i="9"/>
  <c r="Z352" i="9"/>
  <c r="AA352" i="9"/>
  <c r="AB352" i="9"/>
  <c r="I353" i="9"/>
  <c r="L353" i="9"/>
  <c r="M353" i="9"/>
  <c r="N353" i="9"/>
  <c r="P353" i="9"/>
  <c r="Q353" i="9"/>
  <c r="R353" i="9"/>
  <c r="S353" i="9"/>
  <c r="T353" i="9"/>
  <c r="U353" i="9"/>
  <c r="V353" i="9"/>
  <c r="W353" i="9"/>
  <c r="X353" i="9"/>
  <c r="Y353" i="9"/>
  <c r="Z353" i="9"/>
  <c r="AA353" i="9"/>
  <c r="AB353" i="9"/>
  <c r="I354" i="9"/>
  <c r="L354" i="9"/>
  <c r="M354" i="9"/>
  <c r="N354" i="9"/>
  <c r="P354" i="9"/>
  <c r="Q354" i="9"/>
  <c r="R354" i="9"/>
  <c r="S354" i="9"/>
  <c r="T354" i="9"/>
  <c r="U354" i="9"/>
  <c r="V354" i="9"/>
  <c r="W354" i="9"/>
  <c r="X354" i="9"/>
  <c r="Y354" i="9"/>
  <c r="Z354" i="9"/>
  <c r="AA354" i="9"/>
  <c r="AB354" i="9"/>
  <c r="I355" i="9"/>
  <c r="L355" i="9"/>
  <c r="M355" i="9"/>
  <c r="N355" i="9"/>
  <c r="P355" i="9"/>
  <c r="Q355" i="9"/>
  <c r="R355" i="9"/>
  <c r="S355" i="9"/>
  <c r="T355" i="9"/>
  <c r="U355" i="9"/>
  <c r="V355" i="9"/>
  <c r="W355" i="9"/>
  <c r="X355" i="9"/>
  <c r="Y355" i="9"/>
  <c r="Z355" i="9"/>
  <c r="AA355" i="9"/>
  <c r="AB355" i="9"/>
  <c r="I356" i="9"/>
  <c r="L356" i="9"/>
  <c r="M356" i="9"/>
  <c r="N356" i="9"/>
  <c r="P356" i="9"/>
  <c r="Q356" i="9"/>
  <c r="R356" i="9"/>
  <c r="S356" i="9"/>
  <c r="T356" i="9"/>
  <c r="U356" i="9"/>
  <c r="V356" i="9"/>
  <c r="W356" i="9"/>
  <c r="X356" i="9"/>
  <c r="Y356" i="9"/>
  <c r="Z356" i="9"/>
  <c r="AA356" i="9"/>
  <c r="AB356" i="9"/>
  <c r="I357" i="9"/>
  <c r="L357" i="9"/>
  <c r="M357" i="9"/>
  <c r="N357" i="9"/>
  <c r="P357" i="9"/>
  <c r="Q357" i="9"/>
  <c r="R357" i="9"/>
  <c r="S357" i="9"/>
  <c r="T357" i="9"/>
  <c r="U357" i="9"/>
  <c r="V357" i="9"/>
  <c r="W357" i="9"/>
  <c r="X357" i="9"/>
  <c r="Y357" i="9"/>
  <c r="Z357" i="9"/>
  <c r="AA357" i="9"/>
  <c r="AB357" i="9"/>
  <c r="I358" i="9"/>
  <c r="L358" i="9"/>
  <c r="M358" i="9"/>
  <c r="N358" i="9"/>
  <c r="P358" i="9"/>
  <c r="Q358" i="9"/>
  <c r="R358" i="9"/>
  <c r="S358" i="9"/>
  <c r="T358" i="9"/>
  <c r="U358" i="9"/>
  <c r="V358" i="9"/>
  <c r="W358" i="9"/>
  <c r="X358" i="9"/>
  <c r="Y358" i="9"/>
  <c r="Z358" i="9"/>
  <c r="AA358" i="9"/>
  <c r="AB358" i="9"/>
  <c r="I359" i="9"/>
  <c r="L359" i="9"/>
  <c r="M359" i="9"/>
  <c r="N359" i="9"/>
  <c r="P359" i="9"/>
  <c r="Q359" i="9"/>
  <c r="R359" i="9"/>
  <c r="S359" i="9"/>
  <c r="T359" i="9"/>
  <c r="U359" i="9"/>
  <c r="V359" i="9"/>
  <c r="W359" i="9"/>
  <c r="X359" i="9"/>
  <c r="Y359" i="9"/>
  <c r="Z359" i="9"/>
  <c r="AA359" i="9"/>
  <c r="AB359" i="9"/>
  <c r="I360" i="9"/>
  <c r="L360" i="9"/>
  <c r="M360" i="9"/>
  <c r="N360" i="9"/>
  <c r="P360" i="9"/>
  <c r="Q360" i="9"/>
  <c r="R360" i="9"/>
  <c r="S360" i="9"/>
  <c r="T360" i="9"/>
  <c r="U360" i="9"/>
  <c r="V360" i="9"/>
  <c r="W360" i="9"/>
  <c r="X360" i="9"/>
  <c r="Y360" i="9"/>
  <c r="Z360" i="9"/>
  <c r="AA360" i="9"/>
  <c r="AB360" i="9"/>
  <c r="I361" i="9"/>
  <c r="L361" i="9"/>
  <c r="M361" i="9"/>
  <c r="N361" i="9"/>
  <c r="P361" i="9"/>
  <c r="Q361" i="9"/>
  <c r="R361" i="9"/>
  <c r="S361" i="9"/>
  <c r="T361" i="9"/>
  <c r="U361" i="9"/>
  <c r="V361" i="9"/>
  <c r="W361" i="9"/>
  <c r="X361" i="9"/>
  <c r="Y361" i="9"/>
  <c r="Z361" i="9"/>
  <c r="AA361" i="9"/>
  <c r="AB361" i="9"/>
  <c r="I362" i="9"/>
  <c r="L362" i="9"/>
  <c r="M362" i="9"/>
  <c r="N362" i="9"/>
  <c r="P362" i="9"/>
  <c r="Q362" i="9"/>
  <c r="R362" i="9"/>
  <c r="S362" i="9"/>
  <c r="T362" i="9"/>
  <c r="U362" i="9"/>
  <c r="V362" i="9"/>
  <c r="W362" i="9"/>
  <c r="X362" i="9"/>
  <c r="Y362" i="9"/>
  <c r="Z362" i="9"/>
  <c r="AA362" i="9"/>
  <c r="AB362" i="9"/>
  <c r="I363" i="9"/>
  <c r="L363" i="9"/>
  <c r="M363" i="9"/>
  <c r="N363" i="9"/>
  <c r="P363" i="9"/>
  <c r="Q363" i="9"/>
  <c r="R363" i="9"/>
  <c r="S363" i="9"/>
  <c r="T363" i="9"/>
  <c r="U363" i="9"/>
  <c r="V363" i="9"/>
  <c r="W363" i="9"/>
  <c r="X363" i="9"/>
  <c r="Y363" i="9"/>
  <c r="Z363" i="9"/>
  <c r="AA363" i="9"/>
  <c r="AB363" i="9"/>
  <c r="I364" i="9"/>
  <c r="L364" i="9"/>
  <c r="M364" i="9"/>
  <c r="N364" i="9"/>
  <c r="P364" i="9"/>
  <c r="Q364" i="9"/>
  <c r="R364" i="9"/>
  <c r="S364" i="9"/>
  <c r="T364" i="9"/>
  <c r="U364" i="9"/>
  <c r="V364" i="9"/>
  <c r="W364" i="9"/>
  <c r="X364" i="9"/>
  <c r="Y364" i="9"/>
  <c r="Z364" i="9"/>
  <c r="AA364" i="9"/>
  <c r="AB364" i="9"/>
  <c r="I365" i="9"/>
  <c r="L365" i="9"/>
  <c r="M365" i="9"/>
  <c r="N365" i="9"/>
  <c r="P365" i="9"/>
  <c r="Q365" i="9"/>
  <c r="R365" i="9"/>
  <c r="S365" i="9"/>
  <c r="T365" i="9"/>
  <c r="U365" i="9"/>
  <c r="V365" i="9"/>
  <c r="W365" i="9"/>
  <c r="X365" i="9"/>
  <c r="Y365" i="9"/>
  <c r="Z365" i="9"/>
  <c r="AA365" i="9"/>
  <c r="AB365" i="9"/>
  <c r="I366" i="9"/>
  <c r="L366" i="9"/>
  <c r="M366" i="9"/>
  <c r="N366" i="9"/>
  <c r="P366" i="9"/>
  <c r="Q366" i="9"/>
  <c r="R366" i="9"/>
  <c r="S366" i="9"/>
  <c r="T366" i="9"/>
  <c r="U366" i="9"/>
  <c r="V366" i="9"/>
  <c r="W366" i="9"/>
  <c r="X366" i="9"/>
  <c r="Y366" i="9"/>
  <c r="Z366" i="9"/>
  <c r="AA366" i="9"/>
  <c r="AB366" i="9"/>
  <c r="I367" i="9"/>
  <c r="L367" i="9"/>
  <c r="M367" i="9"/>
  <c r="N367" i="9"/>
  <c r="P367" i="9"/>
  <c r="Q367" i="9"/>
  <c r="R367" i="9"/>
  <c r="S367" i="9"/>
  <c r="T367" i="9"/>
  <c r="U367" i="9"/>
  <c r="V367" i="9"/>
  <c r="W367" i="9"/>
  <c r="X367" i="9"/>
  <c r="Y367" i="9"/>
  <c r="Z367" i="9"/>
  <c r="AA367" i="9"/>
  <c r="AB367" i="9"/>
  <c r="I368" i="9"/>
  <c r="L368" i="9"/>
  <c r="M368" i="9"/>
  <c r="N368" i="9"/>
  <c r="P368" i="9"/>
  <c r="Q368" i="9"/>
  <c r="R368" i="9"/>
  <c r="S368" i="9"/>
  <c r="T368" i="9"/>
  <c r="U368" i="9"/>
  <c r="V368" i="9"/>
  <c r="W368" i="9"/>
  <c r="X368" i="9"/>
  <c r="Y368" i="9"/>
  <c r="Z368" i="9"/>
  <c r="AA368" i="9"/>
  <c r="AB368" i="9"/>
  <c r="I369" i="9"/>
  <c r="L369" i="9"/>
  <c r="M369" i="9"/>
  <c r="N369" i="9"/>
  <c r="P369" i="9"/>
  <c r="Q369" i="9"/>
  <c r="R369" i="9"/>
  <c r="S369" i="9"/>
  <c r="T369" i="9"/>
  <c r="U369" i="9"/>
  <c r="V369" i="9"/>
  <c r="W369" i="9"/>
  <c r="X369" i="9"/>
  <c r="Y369" i="9"/>
  <c r="Z369" i="9"/>
  <c r="AA369" i="9"/>
  <c r="AB369" i="9"/>
  <c r="I370" i="9"/>
  <c r="L370" i="9"/>
  <c r="M370" i="9"/>
  <c r="N370" i="9"/>
  <c r="P370" i="9"/>
  <c r="Q370" i="9"/>
  <c r="R370" i="9"/>
  <c r="S370" i="9"/>
  <c r="T370" i="9"/>
  <c r="U370" i="9"/>
  <c r="V370" i="9"/>
  <c r="W370" i="9"/>
  <c r="X370" i="9"/>
  <c r="Y370" i="9"/>
  <c r="Z370" i="9"/>
  <c r="AA370" i="9"/>
  <c r="AB370" i="9"/>
  <c r="I371" i="9"/>
  <c r="L371" i="9"/>
  <c r="M371" i="9"/>
  <c r="N371" i="9"/>
  <c r="P371" i="9"/>
  <c r="Q371" i="9"/>
  <c r="R371" i="9"/>
  <c r="S371" i="9"/>
  <c r="T371" i="9"/>
  <c r="U371" i="9"/>
  <c r="V371" i="9"/>
  <c r="W371" i="9"/>
  <c r="X371" i="9"/>
  <c r="Y371" i="9"/>
  <c r="Z371" i="9"/>
  <c r="AA371" i="9"/>
  <c r="AB371" i="9"/>
  <c r="I372" i="9"/>
  <c r="L372" i="9"/>
  <c r="M372" i="9"/>
  <c r="N372" i="9"/>
  <c r="P372" i="9"/>
  <c r="Q372" i="9"/>
  <c r="R372" i="9"/>
  <c r="S372" i="9"/>
  <c r="T372" i="9"/>
  <c r="U372" i="9"/>
  <c r="V372" i="9"/>
  <c r="W372" i="9"/>
  <c r="X372" i="9"/>
  <c r="Y372" i="9"/>
  <c r="Z372" i="9"/>
  <c r="AA372" i="9"/>
  <c r="AB372" i="9"/>
  <c r="I373" i="9"/>
  <c r="L373" i="9"/>
  <c r="M373" i="9"/>
  <c r="N373" i="9"/>
  <c r="P373" i="9"/>
  <c r="Q373" i="9"/>
  <c r="R373" i="9"/>
  <c r="S373" i="9"/>
  <c r="T373" i="9"/>
  <c r="U373" i="9"/>
  <c r="V373" i="9"/>
  <c r="W373" i="9"/>
  <c r="X373" i="9"/>
  <c r="Y373" i="9"/>
  <c r="Z373" i="9"/>
  <c r="AA373" i="9"/>
  <c r="AB373" i="9"/>
  <c r="I374" i="9"/>
  <c r="L374" i="9"/>
  <c r="M374" i="9"/>
  <c r="N374" i="9"/>
  <c r="P374" i="9"/>
  <c r="Q374" i="9"/>
  <c r="R374" i="9"/>
  <c r="S374" i="9"/>
  <c r="T374" i="9"/>
  <c r="U374" i="9"/>
  <c r="V374" i="9"/>
  <c r="W374" i="9"/>
  <c r="X374" i="9"/>
  <c r="Y374" i="9"/>
  <c r="Z374" i="9"/>
  <c r="AA374" i="9"/>
  <c r="AB374" i="9"/>
  <c r="I375" i="9"/>
  <c r="L375" i="9"/>
  <c r="M375" i="9"/>
  <c r="N375" i="9"/>
  <c r="P375" i="9"/>
  <c r="Q375" i="9"/>
  <c r="R375" i="9"/>
  <c r="S375" i="9"/>
  <c r="T375" i="9"/>
  <c r="U375" i="9"/>
  <c r="V375" i="9"/>
  <c r="W375" i="9"/>
  <c r="X375" i="9"/>
  <c r="Y375" i="9"/>
  <c r="Z375" i="9"/>
  <c r="AA375" i="9"/>
  <c r="AB375" i="9"/>
  <c r="I376" i="9"/>
  <c r="L376" i="9"/>
  <c r="M376" i="9"/>
  <c r="N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I377" i="9"/>
  <c r="L377" i="9"/>
  <c r="M377" i="9"/>
  <c r="N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I378" i="9"/>
  <c r="L378" i="9"/>
  <c r="M378" i="9"/>
  <c r="N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I379" i="9"/>
  <c r="L379" i="9"/>
  <c r="M379" i="9"/>
  <c r="N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I380" i="9"/>
  <c r="L380" i="9"/>
  <c r="M380" i="9"/>
  <c r="N380" i="9"/>
  <c r="P380" i="9"/>
  <c r="Q380" i="9"/>
  <c r="R380" i="9"/>
  <c r="S380" i="9"/>
  <c r="T380" i="9"/>
  <c r="U380" i="9"/>
  <c r="V380" i="9"/>
  <c r="W380" i="9"/>
  <c r="X380" i="9"/>
  <c r="Y380" i="9"/>
  <c r="Z380" i="9"/>
  <c r="AA380" i="9"/>
  <c r="AB380" i="9"/>
  <c r="I381" i="9"/>
  <c r="L381" i="9"/>
  <c r="M381" i="9"/>
  <c r="N381" i="9"/>
  <c r="P381" i="9"/>
  <c r="Q381" i="9"/>
  <c r="R381" i="9"/>
  <c r="S381" i="9"/>
  <c r="T381" i="9"/>
  <c r="U381" i="9"/>
  <c r="V381" i="9"/>
  <c r="W381" i="9"/>
  <c r="X381" i="9"/>
  <c r="Y381" i="9"/>
  <c r="Z381" i="9"/>
  <c r="AA381" i="9"/>
  <c r="AB381" i="9"/>
  <c r="I382" i="9"/>
  <c r="L382" i="9"/>
  <c r="M382" i="9"/>
  <c r="N382" i="9"/>
  <c r="P382" i="9"/>
  <c r="Q382" i="9"/>
  <c r="R382" i="9"/>
  <c r="S382" i="9"/>
  <c r="T382" i="9"/>
  <c r="U382" i="9"/>
  <c r="V382" i="9"/>
  <c r="W382" i="9"/>
  <c r="X382" i="9"/>
  <c r="Y382" i="9"/>
  <c r="Z382" i="9"/>
  <c r="AA382" i="9"/>
  <c r="AB382" i="9"/>
  <c r="I383" i="9"/>
  <c r="L383" i="9"/>
  <c r="M383" i="9"/>
  <c r="N383" i="9"/>
  <c r="P383" i="9"/>
  <c r="Q383" i="9"/>
  <c r="R383" i="9"/>
  <c r="S383" i="9"/>
  <c r="T383" i="9"/>
  <c r="U383" i="9"/>
  <c r="V383" i="9"/>
  <c r="W383" i="9"/>
  <c r="X383" i="9"/>
  <c r="Y383" i="9"/>
  <c r="Z383" i="9"/>
  <c r="AA383" i="9"/>
  <c r="AB383" i="9"/>
  <c r="I384" i="9"/>
  <c r="L384" i="9"/>
  <c r="M384" i="9"/>
  <c r="N384" i="9"/>
  <c r="P384" i="9"/>
  <c r="Q384" i="9"/>
  <c r="R384" i="9"/>
  <c r="S384" i="9"/>
  <c r="T384" i="9"/>
  <c r="U384" i="9"/>
  <c r="V384" i="9"/>
  <c r="W384" i="9"/>
  <c r="X384" i="9"/>
  <c r="Y384" i="9"/>
  <c r="Z384" i="9"/>
  <c r="AA384" i="9"/>
  <c r="AB384" i="9"/>
  <c r="I385" i="9"/>
  <c r="L385" i="9"/>
  <c r="M385" i="9"/>
  <c r="N385" i="9"/>
  <c r="P385" i="9"/>
  <c r="Q385" i="9"/>
  <c r="R385" i="9"/>
  <c r="S385" i="9"/>
  <c r="T385" i="9"/>
  <c r="U385" i="9"/>
  <c r="V385" i="9"/>
  <c r="W385" i="9"/>
  <c r="X385" i="9"/>
  <c r="Y385" i="9"/>
  <c r="Z385" i="9"/>
  <c r="AA385" i="9"/>
  <c r="AB385" i="9"/>
  <c r="I386" i="9"/>
  <c r="L386" i="9"/>
  <c r="M386" i="9"/>
  <c r="N386" i="9"/>
  <c r="P386" i="9"/>
  <c r="Q386" i="9"/>
  <c r="R386" i="9"/>
  <c r="S386" i="9"/>
  <c r="T386" i="9"/>
  <c r="U386" i="9"/>
  <c r="V386" i="9"/>
  <c r="W386" i="9"/>
  <c r="X386" i="9"/>
  <c r="Y386" i="9"/>
  <c r="Z386" i="9"/>
  <c r="AA386" i="9"/>
  <c r="AB386" i="9"/>
  <c r="I387" i="9"/>
  <c r="L387" i="9"/>
  <c r="M387" i="9"/>
  <c r="N387" i="9"/>
  <c r="P387" i="9"/>
  <c r="Q387" i="9"/>
  <c r="R387" i="9"/>
  <c r="S387" i="9"/>
  <c r="T387" i="9"/>
  <c r="U387" i="9"/>
  <c r="V387" i="9"/>
  <c r="W387" i="9"/>
  <c r="X387" i="9"/>
  <c r="Y387" i="9"/>
  <c r="Z387" i="9"/>
  <c r="AA387" i="9"/>
  <c r="AB387" i="9"/>
  <c r="I388" i="9"/>
  <c r="L388" i="9"/>
  <c r="M388" i="9"/>
  <c r="N388" i="9"/>
  <c r="P388" i="9"/>
  <c r="Q388" i="9"/>
  <c r="R388" i="9"/>
  <c r="S388" i="9"/>
  <c r="T388" i="9"/>
  <c r="U388" i="9"/>
  <c r="V388" i="9"/>
  <c r="W388" i="9"/>
  <c r="X388" i="9"/>
  <c r="Y388" i="9"/>
  <c r="Z388" i="9"/>
  <c r="AA388" i="9"/>
  <c r="AB388" i="9"/>
  <c r="I389" i="9"/>
  <c r="L389" i="9"/>
  <c r="M389" i="9"/>
  <c r="N389" i="9"/>
  <c r="P389" i="9"/>
  <c r="Q389" i="9"/>
  <c r="R389" i="9"/>
  <c r="S389" i="9"/>
  <c r="T389" i="9"/>
  <c r="U389" i="9"/>
  <c r="V389" i="9"/>
  <c r="W389" i="9"/>
  <c r="X389" i="9"/>
  <c r="Y389" i="9"/>
  <c r="Z389" i="9"/>
  <c r="AA389" i="9"/>
  <c r="AB389" i="9"/>
  <c r="I390" i="9"/>
  <c r="L390" i="9"/>
  <c r="M390" i="9"/>
  <c r="N390" i="9"/>
  <c r="P390" i="9"/>
  <c r="Q390" i="9"/>
  <c r="R390" i="9"/>
  <c r="S390" i="9"/>
  <c r="T390" i="9"/>
  <c r="U390" i="9"/>
  <c r="V390" i="9"/>
  <c r="W390" i="9"/>
  <c r="X390" i="9"/>
  <c r="Y390" i="9"/>
  <c r="Z390" i="9"/>
  <c r="AA390" i="9"/>
  <c r="AB390" i="9"/>
  <c r="I391" i="9"/>
  <c r="L391" i="9"/>
  <c r="M391" i="9"/>
  <c r="N391" i="9"/>
  <c r="P391" i="9"/>
  <c r="Q391" i="9"/>
  <c r="R391" i="9"/>
  <c r="S391" i="9"/>
  <c r="T391" i="9"/>
  <c r="U391" i="9"/>
  <c r="V391" i="9"/>
  <c r="W391" i="9"/>
  <c r="X391" i="9"/>
  <c r="Y391" i="9"/>
  <c r="Z391" i="9"/>
  <c r="AA391" i="9"/>
  <c r="AB391" i="9"/>
  <c r="I392" i="9"/>
  <c r="L392" i="9"/>
  <c r="M392" i="9"/>
  <c r="N392" i="9"/>
  <c r="P392" i="9"/>
  <c r="Q392" i="9"/>
  <c r="R392" i="9"/>
  <c r="S392" i="9"/>
  <c r="T392" i="9"/>
  <c r="U392" i="9"/>
  <c r="V392" i="9"/>
  <c r="W392" i="9"/>
  <c r="X392" i="9"/>
  <c r="Y392" i="9"/>
  <c r="Z392" i="9"/>
  <c r="AA392" i="9"/>
  <c r="AB392" i="9"/>
  <c r="I393" i="9"/>
  <c r="L393" i="9"/>
  <c r="M393" i="9"/>
  <c r="N393" i="9"/>
  <c r="P393" i="9"/>
  <c r="Q393" i="9"/>
  <c r="R393" i="9"/>
  <c r="S393" i="9"/>
  <c r="T393" i="9"/>
  <c r="U393" i="9"/>
  <c r="V393" i="9"/>
  <c r="W393" i="9"/>
  <c r="X393" i="9"/>
  <c r="Y393" i="9"/>
  <c r="Z393" i="9"/>
  <c r="AA393" i="9"/>
  <c r="AB393" i="9"/>
  <c r="I394" i="9"/>
  <c r="L394" i="9"/>
  <c r="M394" i="9"/>
  <c r="N394" i="9"/>
  <c r="P394" i="9"/>
  <c r="Q394" i="9"/>
  <c r="R394" i="9"/>
  <c r="S394" i="9"/>
  <c r="T394" i="9"/>
  <c r="U394" i="9"/>
  <c r="V394" i="9"/>
  <c r="W394" i="9"/>
  <c r="X394" i="9"/>
  <c r="Y394" i="9"/>
  <c r="Z394" i="9"/>
  <c r="AA394" i="9"/>
  <c r="AB394" i="9"/>
  <c r="I395" i="9"/>
  <c r="L395" i="9"/>
  <c r="M395" i="9"/>
  <c r="N395" i="9"/>
  <c r="P395" i="9"/>
  <c r="Q395" i="9"/>
  <c r="R395" i="9"/>
  <c r="S395" i="9"/>
  <c r="T395" i="9"/>
  <c r="U395" i="9"/>
  <c r="V395" i="9"/>
  <c r="W395" i="9"/>
  <c r="X395" i="9"/>
  <c r="Y395" i="9"/>
  <c r="Z395" i="9"/>
  <c r="AA395" i="9"/>
  <c r="AB395" i="9"/>
  <c r="I396" i="9"/>
  <c r="L396" i="9"/>
  <c r="M396" i="9"/>
  <c r="N396" i="9"/>
  <c r="P396" i="9"/>
  <c r="Q396" i="9"/>
  <c r="R396" i="9"/>
  <c r="S396" i="9"/>
  <c r="T396" i="9"/>
  <c r="U396" i="9"/>
  <c r="V396" i="9"/>
  <c r="W396" i="9"/>
  <c r="X396" i="9"/>
  <c r="Y396" i="9"/>
  <c r="Z396" i="9"/>
  <c r="AA396" i="9"/>
  <c r="AB396" i="9"/>
  <c r="I397" i="9"/>
  <c r="L397" i="9"/>
  <c r="M397" i="9"/>
  <c r="N397" i="9"/>
  <c r="P397" i="9"/>
  <c r="Q397" i="9"/>
  <c r="R397" i="9"/>
  <c r="S397" i="9"/>
  <c r="T397" i="9"/>
  <c r="U397" i="9"/>
  <c r="V397" i="9"/>
  <c r="W397" i="9"/>
  <c r="X397" i="9"/>
  <c r="Y397" i="9"/>
  <c r="Z397" i="9"/>
  <c r="AA397" i="9"/>
  <c r="AB397" i="9"/>
  <c r="I398" i="9"/>
  <c r="L398" i="9"/>
  <c r="M398" i="9"/>
  <c r="N398" i="9"/>
  <c r="P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I399" i="9"/>
  <c r="L399" i="9"/>
  <c r="M399" i="9"/>
  <c r="N399" i="9"/>
  <c r="P399" i="9"/>
  <c r="Q399" i="9"/>
  <c r="R399" i="9"/>
  <c r="S399" i="9"/>
  <c r="T399" i="9"/>
  <c r="U399" i="9"/>
  <c r="V399" i="9"/>
  <c r="W399" i="9"/>
  <c r="X399" i="9"/>
  <c r="Y399" i="9"/>
  <c r="Z399" i="9"/>
  <c r="AA399" i="9"/>
  <c r="AB399" i="9"/>
  <c r="I400" i="9"/>
  <c r="L400" i="9"/>
  <c r="M400" i="9"/>
  <c r="N400" i="9"/>
  <c r="P400" i="9"/>
  <c r="Q400" i="9"/>
  <c r="R400" i="9"/>
  <c r="S400" i="9"/>
  <c r="T400" i="9"/>
  <c r="U400" i="9"/>
  <c r="V400" i="9"/>
  <c r="W400" i="9"/>
  <c r="X400" i="9"/>
  <c r="Y400" i="9"/>
  <c r="Z400" i="9"/>
  <c r="AA400" i="9"/>
  <c r="AB400" i="9"/>
  <c r="I401" i="9"/>
  <c r="L401" i="9"/>
  <c r="M401" i="9"/>
  <c r="N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I402" i="9"/>
  <c r="L402" i="9"/>
  <c r="M402" i="9"/>
  <c r="N402" i="9"/>
  <c r="P402" i="9"/>
  <c r="Q402" i="9"/>
  <c r="R402" i="9"/>
  <c r="S402" i="9"/>
  <c r="T402" i="9"/>
  <c r="U402" i="9"/>
  <c r="V402" i="9"/>
  <c r="W402" i="9"/>
  <c r="X402" i="9"/>
  <c r="Y402" i="9"/>
  <c r="Z402" i="9"/>
  <c r="AA402" i="9"/>
  <c r="AB402" i="9"/>
  <c r="I403" i="9"/>
  <c r="L403" i="9"/>
  <c r="M403" i="9"/>
  <c r="N403" i="9"/>
  <c r="P403" i="9"/>
  <c r="Q403" i="9"/>
  <c r="R403" i="9"/>
  <c r="S403" i="9"/>
  <c r="T403" i="9"/>
  <c r="U403" i="9"/>
  <c r="V403" i="9"/>
  <c r="W403" i="9"/>
  <c r="X403" i="9"/>
  <c r="Y403" i="9"/>
  <c r="Z403" i="9"/>
  <c r="AA403" i="9"/>
  <c r="AB403" i="9"/>
  <c r="I404" i="9"/>
  <c r="L404" i="9"/>
  <c r="M404" i="9"/>
  <c r="N404" i="9"/>
  <c r="P404" i="9"/>
  <c r="Q404" i="9"/>
  <c r="R404" i="9"/>
  <c r="S404" i="9"/>
  <c r="T404" i="9"/>
  <c r="U404" i="9"/>
  <c r="V404" i="9"/>
  <c r="W404" i="9"/>
  <c r="X404" i="9"/>
  <c r="Y404" i="9"/>
  <c r="Z404" i="9"/>
  <c r="AA404" i="9"/>
  <c r="AB404" i="9"/>
  <c r="I405" i="9"/>
  <c r="L405" i="9"/>
  <c r="M405" i="9"/>
  <c r="N405" i="9"/>
  <c r="P405" i="9"/>
  <c r="Q405" i="9"/>
  <c r="R405" i="9"/>
  <c r="S405" i="9"/>
  <c r="T405" i="9"/>
  <c r="U405" i="9"/>
  <c r="V405" i="9"/>
  <c r="W405" i="9"/>
  <c r="X405" i="9"/>
  <c r="Y405" i="9"/>
  <c r="Z405" i="9"/>
  <c r="AA405" i="9"/>
  <c r="AB405" i="9"/>
  <c r="I406" i="9"/>
  <c r="L406" i="9"/>
  <c r="M406" i="9"/>
  <c r="N406" i="9"/>
  <c r="P406" i="9"/>
  <c r="Q406" i="9"/>
  <c r="R406" i="9"/>
  <c r="S406" i="9"/>
  <c r="T406" i="9"/>
  <c r="U406" i="9"/>
  <c r="V406" i="9"/>
  <c r="W406" i="9"/>
  <c r="X406" i="9"/>
  <c r="Y406" i="9"/>
  <c r="Z406" i="9"/>
  <c r="AA406" i="9"/>
  <c r="AB406" i="9"/>
  <c r="I407" i="9"/>
  <c r="L407" i="9"/>
  <c r="M407" i="9"/>
  <c r="N407" i="9"/>
  <c r="P407" i="9"/>
  <c r="Q407" i="9"/>
  <c r="R407" i="9"/>
  <c r="S407" i="9"/>
  <c r="T407" i="9"/>
  <c r="U407" i="9"/>
  <c r="V407" i="9"/>
  <c r="W407" i="9"/>
  <c r="X407" i="9"/>
  <c r="Y407" i="9"/>
  <c r="Z407" i="9"/>
  <c r="AA407" i="9"/>
  <c r="AB407" i="9"/>
  <c r="I408" i="9"/>
  <c r="L408" i="9"/>
  <c r="M408" i="9"/>
  <c r="N408" i="9"/>
  <c r="P408" i="9"/>
  <c r="Q408" i="9"/>
  <c r="R408" i="9"/>
  <c r="S408" i="9"/>
  <c r="T408" i="9"/>
  <c r="U408" i="9"/>
  <c r="V408" i="9"/>
  <c r="W408" i="9"/>
  <c r="X408" i="9"/>
  <c r="Y408" i="9"/>
  <c r="Z408" i="9"/>
  <c r="AA408" i="9"/>
  <c r="AB408" i="9"/>
  <c r="I409" i="9"/>
  <c r="L409" i="9"/>
  <c r="M409" i="9"/>
  <c r="N409" i="9"/>
  <c r="P409" i="9"/>
  <c r="Q409" i="9"/>
  <c r="R409" i="9"/>
  <c r="S409" i="9"/>
  <c r="T409" i="9"/>
  <c r="U409" i="9"/>
  <c r="V409" i="9"/>
  <c r="W409" i="9"/>
  <c r="X409" i="9"/>
  <c r="Y409" i="9"/>
  <c r="Z409" i="9"/>
  <c r="AA409" i="9"/>
  <c r="AB409" i="9"/>
  <c r="I410" i="9"/>
  <c r="L410" i="9"/>
  <c r="M410" i="9"/>
  <c r="N410" i="9"/>
  <c r="P410" i="9"/>
  <c r="Q410" i="9"/>
  <c r="R410" i="9"/>
  <c r="S410" i="9"/>
  <c r="T410" i="9"/>
  <c r="U410" i="9"/>
  <c r="V410" i="9"/>
  <c r="W410" i="9"/>
  <c r="X410" i="9"/>
  <c r="Y410" i="9"/>
  <c r="Z410" i="9"/>
  <c r="AA410" i="9"/>
  <c r="AB410" i="9"/>
  <c r="I411" i="9"/>
  <c r="L411" i="9"/>
  <c r="M411" i="9"/>
  <c r="N411" i="9"/>
  <c r="P411" i="9"/>
  <c r="Q411" i="9"/>
  <c r="R411" i="9"/>
  <c r="S411" i="9"/>
  <c r="T411" i="9"/>
  <c r="U411" i="9"/>
  <c r="V411" i="9"/>
  <c r="W411" i="9"/>
  <c r="X411" i="9"/>
  <c r="Y411" i="9"/>
  <c r="Z411" i="9"/>
  <c r="AA411" i="9"/>
  <c r="AB411" i="9"/>
  <c r="I412" i="9"/>
  <c r="L412" i="9"/>
  <c r="M412" i="9"/>
  <c r="N412" i="9"/>
  <c r="P412" i="9"/>
  <c r="Q412" i="9"/>
  <c r="R412" i="9"/>
  <c r="S412" i="9"/>
  <c r="T412" i="9"/>
  <c r="U412" i="9"/>
  <c r="V412" i="9"/>
  <c r="W412" i="9"/>
  <c r="X412" i="9"/>
  <c r="Y412" i="9"/>
  <c r="Z412" i="9"/>
  <c r="AA412" i="9"/>
  <c r="AB412" i="9"/>
  <c r="I413" i="9"/>
  <c r="L413" i="9"/>
  <c r="M413" i="9"/>
  <c r="N413" i="9"/>
  <c r="P413" i="9"/>
  <c r="Q413" i="9"/>
  <c r="R413" i="9"/>
  <c r="S413" i="9"/>
  <c r="T413" i="9"/>
  <c r="U413" i="9"/>
  <c r="V413" i="9"/>
  <c r="W413" i="9"/>
  <c r="X413" i="9"/>
  <c r="Y413" i="9"/>
  <c r="Z413" i="9"/>
  <c r="AA413" i="9"/>
  <c r="AB413" i="9"/>
  <c r="I414" i="9"/>
  <c r="L414" i="9"/>
  <c r="M414" i="9"/>
  <c r="N414" i="9"/>
  <c r="P414" i="9"/>
  <c r="Q414" i="9"/>
  <c r="R414" i="9"/>
  <c r="S414" i="9"/>
  <c r="T414" i="9"/>
  <c r="U414" i="9"/>
  <c r="V414" i="9"/>
  <c r="W414" i="9"/>
  <c r="X414" i="9"/>
  <c r="Y414" i="9"/>
  <c r="Z414" i="9"/>
  <c r="AA414" i="9"/>
  <c r="AB414" i="9"/>
  <c r="I415" i="9"/>
  <c r="L415" i="9"/>
  <c r="M415" i="9"/>
  <c r="N415" i="9"/>
  <c r="P415" i="9"/>
  <c r="Q415" i="9"/>
  <c r="R415" i="9"/>
  <c r="S415" i="9"/>
  <c r="T415" i="9"/>
  <c r="U415" i="9"/>
  <c r="V415" i="9"/>
  <c r="W415" i="9"/>
  <c r="X415" i="9"/>
  <c r="Y415" i="9"/>
  <c r="Z415" i="9"/>
  <c r="AA415" i="9"/>
  <c r="AB415" i="9"/>
  <c r="I416" i="9"/>
  <c r="L416" i="9"/>
  <c r="M416" i="9"/>
  <c r="N416" i="9"/>
  <c r="P416" i="9"/>
  <c r="Q416" i="9"/>
  <c r="R416" i="9"/>
  <c r="S416" i="9"/>
  <c r="T416" i="9"/>
  <c r="U416" i="9"/>
  <c r="V416" i="9"/>
  <c r="W416" i="9"/>
  <c r="X416" i="9"/>
  <c r="Y416" i="9"/>
  <c r="Z416" i="9"/>
  <c r="AA416" i="9"/>
  <c r="AB416" i="9"/>
  <c r="I417" i="9"/>
  <c r="L417" i="9"/>
  <c r="M417" i="9"/>
  <c r="N417" i="9"/>
  <c r="P417" i="9"/>
  <c r="Q417" i="9"/>
  <c r="R417" i="9"/>
  <c r="S417" i="9"/>
  <c r="T417" i="9"/>
  <c r="U417" i="9"/>
  <c r="V417" i="9"/>
  <c r="W417" i="9"/>
  <c r="X417" i="9"/>
  <c r="Y417" i="9"/>
  <c r="Z417" i="9"/>
  <c r="AA417" i="9"/>
  <c r="AB417" i="9"/>
  <c r="I418" i="9"/>
  <c r="L418" i="9"/>
  <c r="M418" i="9"/>
  <c r="N418" i="9"/>
  <c r="P418" i="9"/>
  <c r="Q418" i="9"/>
  <c r="R418" i="9"/>
  <c r="S418" i="9"/>
  <c r="T418" i="9"/>
  <c r="U418" i="9"/>
  <c r="V418" i="9"/>
  <c r="W418" i="9"/>
  <c r="X418" i="9"/>
  <c r="Y418" i="9"/>
  <c r="Z418" i="9"/>
  <c r="AA418" i="9"/>
  <c r="AB418" i="9"/>
  <c r="I419" i="9"/>
  <c r="L419" i="9"/>
  <c r="M419" i="9"/>
  <c r="N419" i="9"/>
  <c r="P419" i="9"/>
  <c r="Q419" i="9"/>
  <c r="R419" i="9"/>
  <c r="S419" i="9"/>
  <c r="T419" i="9"/>
  <c r="U419" i="9"/>
  <c r="V419" i="9"/>
  <c r="W419" i="9"/>
  <c r="X419" i="9"/>
  <c r="Y419" i="9"/>
  <c r="Z419" i="9"/>
  <c r="AA419" i="9"/>
  <c r="AB419" i="9"/>
  <c r="I420" i="9"/>
  <c r="L420" i="9"/>
  <c r="M420" i="9"/>
  <c r="N420" i="9"/>
  <c r="P420" i="9"/>
  <c r="Q420" i="9"/>
  <c r="R420" i="9"/>
  <c r="S420" i="9"/>
  <c r="T420" i="9"/>
  <c r="U420" i="9"/>
  <c r="V420" i="9"/>
  <c r="W420" i="9"/>
  <c r="X420" i="9"/>
  <c r="Y420" i="9"/>
  <c r="Z420" i="9"/>
  <c r="AA420" i="9"/>
  <c r="AB420" i="9"/>
  <c r="I421" i="9"/>
  <c r="L421" i="9"/>
  <c r="M421" i="9"/>
  <c r="N421" i="9"/>
  <c r="P421" i="9"/>
  <c r="Q421" i="9"/>
  <c r="R421" i="9"/>
  <c r="S421" i="9"/>
  <c r="T421" i="9"/>
  <c r="U421" i="9"/>
  <c r="V421" i="9"/>
  <c r="W421" i="9"/>
  <c r="X421" i="9"/>
  <c r="Y421" i="9"/>
  <c r="Z421" i="9"/>
  <c r="AA421" i="9"/>
  <c r="AB421" i="9"/>
  <c r="I422" i="9"/>
  <c r="L422" i="9"/>
  <c r="M422" i="9"/>
  <c r="N422" i="9"/>
  <c r="P422" i="9"/>
  <c r="Q422" i="9"/>
  <c r="R422" i="9"/>
  <c r="S422" i="9"/>
  <c r="T422" i="9"/>
  <c r="U422" i="9"/>
  <c r="V422" i="9"/>
  <c r="W422" i="9"/>
  <c r="X422" i="9"/>
  <c r="Y422" i="9"/>
  <c r="Z422" i="9"/>
  <c r="AA422" i="9"/>
  <c r="AB422" i="9"/>
  <c r="I423" i="9"/>
  <c r="L423" i="9"/>
  <c r="M423" i="9"/>
  <c r="N423" i="9"/>
  <c r="P423" i="9"/>
  <c r="Q423" i="9"/>
  <c r="R423" i="9"/>
  <c r="S423" i="9"/>
  <c r="T423" i="9"/>
  <c r="U423" i="9"/>
  <c r="V423" i="9"/>
  <c r="W423" i="9"/>
  <c r="X423" i="9"/>
  <c r="Y423" i="9"/>
  <c r="Z423" i="9"/>
  <c r="AA423" i="9"/>
  <c r="AB423" i="9"/>
  <c r="I424" i="9"/>
  <c r="L424" i="9"/>
  <c r="M424" i="9"/>
  <c r="N424" i="9"/>
  <c r="P424" i="9"/>
  <c r="Q424" i="9"/>
  <c r="R424" i="9"/>
  <c r="S424" i="9"/>
  <c r="T424" i="9"/>
  <c r="U424" i="9"/>
  <c r="V424" i="9"/>
  <c r="W424" i="9"/>
  <c r="X424" i="9"/>
  <c r="Y424" i="9"/>
  <c r="Z424" i="9"/>
  <c r="AA424" i="9"/>
  <c r="AB424" i="9"/>
  <c r="I425" i="9"/>
  <c r="L425" i="9"/>
  <c r="M425" i="9"/>
  <c r="N425" i="9"/>
  <c r="P425" i="9"/>
  <c r="Q425" i="9"/>
  <c r="R425" i="9"/>
  <c r="S425" i="9"/>
  <c r="T425" i="9"/>
  <c r="U425" i="9"/>
  <c r="V425" i="9"/>
  <c r="W425" i="9"/>
  <c r="X425" i="9"/>
  <c r="Y425" i="9"/>
  <c r="Z425" i="9"/>
  <c r="AA425" i="9"/>
  <c r="AB425" i="9"/>
  <c r="I426" i="9"/>
  <c r="L426" i="9"/>
  <c r="M426" i="9"/>
  <c r="N426" i="9"/>
  <c r="P426" i="9"/>
  <c r="Q426" i="9"/>
  <c r="R426" i="9"/>
  <c r="S426" i="9"/>
  <c r="T426" i="9"/>
  <c r="U426" i="9"/>
  <c r="V426" i="9"/>
  <c r="W426" i="9"/>
  <c r="X426" i="9"/>
  <c r="Y426" i="9"/>
  <c r="Z426" i="9"/>
  <c r="AA426" i="9"/>
  <c r="AB426" i="9"/>
  <c r="I427" i="9"/>
  <c r="L427" i="9"/>
  <c r="M427" i="9"/>
  <c r="N427" i="9"/>
  <c r="P427" i="9"/>
  <c r="Q427" i="9"/>
  <c r="R427" i="9"/>
  <c r="S427" i="9"/>
  <c r="T427" i="9"/>
  <c r="U427" i="9"/>
  <c r="V427" i="9"/>
  <c r="W427" i="9"/>
  <c r="X427" i="9"/>
  <c r="Y427" i="9"/>
  <c r="Z427" i="9"/>
  <c r="AA427" i="9"/>
  <c r="AB427" i="9"/>
  <c r="I428" i="9"/>
  <c r="L428" i="9"/>
  <c r="M428" i="9"/>
  <c r="N428" i="9"/>
  <c r="P428" i="9"/>
  <c r="Q428" i="9"/>
  <c r="R428" i="9"/>
  <c r="S428" i="9"/>
  <c r="T428" i="9"/>
  <c r="U428" i="9"/>
  <c r="V428" i="9"/>
  <c r="W428" i="9"/>
  <c r="X428" i="9"/>
  <c r="Y428" i="9"/>
  <c r="Z428" i="9"/>
  <c r="AA428" i="9"/>
  <c r="AB428" i="9"/>
  <c r="I429" i="9"/>
  <c r="L429" i="9"/>
  <c r="M429" i="9"/>
  <c r="N429" i="9"/>
  <c r="P429" i="9"/>
  <c r="Q429" i="9"/>
  <c r="R429" i="9"/>
  <c r="S429" i="9"/>
  <c r="T429" i="9"/>
  <c r="U429" i="9"/>
  <c r="V429" i="9"/>
  <c r="W429" i="9"/>
  <c r="X429" i="9"/>
  <c r="Y429" i="9"/>
  <c r="Z429" i="9"/>
  <c r="AA429" i="9"/>
  <c r="AB429" i="9"/>
  <c r="I430" i="9"/>
  <c r="L430" i="9"/>
  <c r="M430" i="9"/>
  <c r="N430" i="9"/>
  <c r="P430" i="9"/>
  <c r="Q430" i="9"/>
  <c r="R430" i="9"/>
  <c r="S430" i="9"/>
  <c r="T430" i="9"/>
  <c r="U430" i="9"/>
  <c r="V430" i="9"/>
  <c r="W430" i="9"/>
  <c r="X430" i="9"/>
  <c r="Y430" i="9"/>
  <c r="Z430" i="9"/>
  <c r="AA430" i="9"/>
  <c r="AB430" i="9"/>
  <c r="I431" i="9"/>
  <c r="L431" i="9"/>
  <c r="M431" i="9"/>
  <c r="N431" i="9"/>
  <c r="P431" i="9"/>
  <c r="Q431" i="9"/>
  <c r="R431" i="9"/>
  <c r="S431" i="9"/>
  <c r="T431" i="9"/>
  <c r="U431" i="9"/>
  <c r="V431" i="9"/>
  <c r="W431" i="9"/>
  <c r="X431" i="9"/>
  <c r="Y431" i="9"/>
  <c r="Z431" i="9"/>
  <c r="AA431" i="9"/>
  <c r="AB431" i="9"/>
  <c r="I432" i="9"/>
  <c r="L432" i="9"/>
  <c r="M432" i="9"/>
  <c r="N432" i="9"/>
  <c r="P432" i="9"/>
  <c r="Q432" i="9"/>
  <c r="R432" i="9"/>
  <c r="S432" i="9"/>
  <c r="T432" i="9"/>
  <c r="U432" i="9"/>
  <c r="V432" i="9"/>
  <c r="W432" i="9"/>
  <c r="X432" i="9"/>
  <c r="Y432" i="9"/>
  <c r="Z432" i="9"/>
  <c r="AA432" i="9"/>
  <c r="AB432" i="9"/>
  <c r="I433" i="9"/>
  <c r="L433" i="9"/>
  <c r="M433" i="9"/>
  <c r="N433" i="9"/>
  <c r="P433" i="9"/>
  <c r="Q433" i="9"/>
  <c r="R433" i="9"/>
  <c r="S433" i="9"/>
  <c r="T433" i="9"/>
  <c r="U433" i="9"/>
  <c r="V433" i="9"/>
  <c r="W433" i="9"/>
  <c r="X433" i="9"/>
  <c r="Y433" i="9"/>
  <c r="Z433" i="9"/>
  <c r="AA433" i="9"/>
  <c r="AB433" i="9"/>
  <c r="I434" i="9"/>
  <c r="L434" i="9"/>
  <c r="M434" i="9"/>
  <c r="N434" i="9"/>
  <c r="P434" i="9"/>
  <c r="Q434" i="9"/>
  <c r="R434" i="9"/>
  <c r="S434" i="9"/>
  <c r="T434" i="9"/>
  <c r="U434" i="9"/>
  <c r="V434" i="9"/>
  <c r="W434" i="9"/>
  <c r="X434" i="9"/>
  <c r="Y434" i="9"/>
  <c r="Z434" i="9"/>
  <c r="AA434" i="9"/>
  <c r="AB434" i="9"/>
  <c r="I435" i="9"/>
  <c r="L435" i="9"/>
  <c r="M435" i="9"/>
  <c r="N435" i="9"/>
  <c r="P435" i="9"/>
  <c r="Q435" i="9"/>
  <c r="R435" i="9"/>
  <c r="S435" i="9"/>
  <c r="T435" i="9"/>
  <c r="U435" i="9"/>
  <c r="V435" i="9"/>
  <c r="W435" i="9"/>
  <c r="X435" i="9"/>
  <c r="Y435" i="9"/>
  <c r="Z435" i="9"/>
  <c r="AA435" i="9"/>
  <c r="AB435" i="9"/>
  <c r="I436" i="9"/>
  <c r="L436" i="9"/>
  <c r="M436" i="9"/>
  <c r="N436" i="9"/>
  <c r="P436" i="9"/>
  <c r="Q436" i="9"/>
  <c r="R436" i="9"/>
  <c r="S436" i="9"/>
  <c r="T436" i="9"/>
  <c r="U436" i="9"/>
  <c r="V436" i="9"/>
  <c r="W436" i="9"/>
  <c r="X436" i="9"/>
  <c r="Y436" i="9"/>
  <c r="Z436" i="9"/>
  <c r="AA436" i="9"/>
  <c r="AB436" i="9"/>
  <c r="I437" i="9"/>
  <c r="L437" i="9"/>
  <c r="M437" i="9"/>
  <c r="N437" i="9"/>
  <c r="P437" i="9"/>
  <c r="Q437" i="9"/>
  <c r="R437" i="9"/>
  <c r="S437" i="9"/>
  <c r="T437" i="9"/>
  <c r="U437" i="9"/>
  <c r="V437" i="9"/>
  <c r="W437" i="9"/>
  <c r="X437" i="9"/>
  <c r="Y437" i="9"/>
  <c r="Z437" i="9"/>
  <c r="AA437" i="9"/>
  <c r="AB437" i="9"/>
  <c r="I438" i="9"/>
  <c r="L438" i="9"/>
  <c r="M438" i="9"/>
  <c r="N438" i="9"/>
  <c r="P438" i="9"/>
  <c r="Q438" i="9"/>
  <c r="R438" i="9"/>
  <c r="S438" i="9"/>
  <c r="T438" i="9"/>
  <c r="U438" i="9"/>
  <c r="V438" i="9"/>
  <c r="W438" i="9"/>
  <c r="X438" i="9"/>
  <c r="Y438" i="9"/>
  <c r="Z438" i="9"/>
  <c r="AA438" i="9"/>
  <c r="AB438" i="9"/>
  <c r="I439" i="9"/>
  <c r="L439" i="9"/>
  <c r="M439" i="9"/>
  <c r="N439" i="9"/>
  <c r="P439" i="9"/>
  <c r="Q439" i="9"/>
  <c r="R439" i="9"/>
  <c r="S439" i="9"/>
  <c r="T439" i="9"/>
  <c r="U439" i="9"/>
  <c r="V439" i="9"/>
  <c r="W439" i="9"/>
  <c r="X439" i="9"/>
  <c r="Y439" i="9"/>
  <c r="Z439" i="9"/>
  <c r="AA439" i="9"/>
  <c r="AB439" i="9"/>
  <c r="I440" i="9"/>
  <c r="L440" i="9"/>
  <c r="M440" i="9"/>
  <c r="N440" i="9"/>
  <c r="P440" i="9"/>
  <c r="Q440" i="9"/>
  <c r="R440" i="9"/>
  <c r="S440" i="9"/>
  <c r="T440" i="9"/>
  <c r="U440" i="9"/>
  <c r="V440" i="9"/>
  <c r="W440" i="9"/>
  <c r="X440" i="9"/>
  <c r="Y440" i="9"/>
  <c r="Z440" i="9"/>
  <c r="AA440" i="9"/>
  <c r="AB440" i="9"/>
  <c r="I441" i="9"/>
  <c r="L441" i="9"/>
  <c r="M441" i="9"/>
  <c r="N441" i="9"/>
  <c r="P441" i="9"/>
  <c r="Q441" i="9"/>
  <c r="R441" i="9"/>
  <c r="S441" i="9"/>
  <c r="T441" i="9"/>
  <c r="U441" i="9"/>
  <c r="V441" i="9"/>
  <c r="W441" i="9"/>
  <c r="X441" i="9"/>
  <c r="Y441" i="9"/>
  <c r="Z441" i="9"/>
  <c r="AA441" i="9"/>
  <c r="AB441" i="9"/>
  <c r="I442" i="9"/>
  <c r="L442" i="9"/>
  <c r="M442" i="9"/>
  <c r="N442" i="9"/>
  <c r="P442" i="9"/>
  <c r="Q442" i="9"/>
  <c r="R442" i="9"/>
  <c r="S442" i="9"/>
  <c r="T442" i="9"/>
  <c r="U442" i="9"/>
  <c r="V442" i="9"/>
  <c r="W442" i="9"/>
  <c r="X442" i="9"/>
  <c r="Y442" i="9"/>
  <c r="Z442" i="9"/>
  <c r="AA442" i="9"/>
  <c r="AB442" i="9"/>
  <c r="I443" i="9"/>
  <c r="L443" i="9"/>
  <c r="M443" i="9"/>
  <c r="N443" i="9"/>
  <c r="P443" i="9"/>
  <c r="Q443" i="9"/>
  <c r="R443" i="9"/>
  <c r="S443" i="9"/>
  <c r="T443" i="9"/>
  <c r="U443" i="9"/>
  <c r="V443" i="9"/>
  <c r="W443" i="9"/>
  <c r="X443" i="9"/>
  <c r="Y443" i="9"/>
  <c r="Z443" i="9"/>
  <c r="AA443" i="9"/>
  <c r="AB443" i="9"/>
  <c r="I444" i="9"/>
  <c r="L444" i="9"/>
  <c r="M444" i="9"/>
  <c r="N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I445" i="9"/>
  <c r="L445" i="9"/>
  <c r="M445" i="9"/>
  <c r="N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I446" i="9"/>
  <c r="L446" i="9"/>
  <c r="M446" i="9"/>
  <c r="N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I447" i="9"/>
  <c r="L447" i="9"/>
  <c r="M447" i="9"/>
  <c r="N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I448" i="9"/>
  <c r="L448" i="9"/>
  <c r="M448" i="9"/>
  <c r="N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I449" i="9"/>
  <c r="L449" i="9"/>
  <c r="M449" i="9"/>
  <c r="N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I450" i="9"/>
  <c r="L450" i="9"/>
  <c r="M450" i="9"/>
  <c r="N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I451" i="9"/>
  <c r="L451" i="9"/>
  <c r="M451" i="9"/>
  <c r="N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I452" i="9"/>
  <c r="L452" i="9"/>
  <c r="M452" i="9"/>
  <c r="N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I453" i="9"/>
  <c r="L453" i="9"/>
  <c r="M453" i="9"/>
  <c r="N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I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I455" i="9"/>
  <c r="L455" i="9"/>
  <c r="M455" i="9"/>
  <c r="N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I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I457" i="9"/>
  <c r="L457" i="9"/>
  <c r="M457" i="9"/>
  <c r="N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I458" i="9"/>
  <c r="L458" i="9"/>
  <c r="M458" i="9"/>
  <c r="N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I459" i="9"/>
  <c r="L459" i="9"/>
  <c r="M459" i="9"/>
  <c r="N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I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I461" i="9"/>
  <c r="L461" i="9"/>
  <c r="M461" i="9"/>
  <c r="N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I462" i="9"/>
  <c r="L462" i="9"/>
  <c r="M462" i="9"/>
  <c r="N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I463" i="9"/>
  <c r="L463" i="9"/>
  <c r="M463" i="9"/>
  <c r="N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I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I465" i="9"/>
  <c r="L465" i="9"/>
  <c r="M465" i="9"/>
  <c r="N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I466" i="9"/>
  <c r="L466" i="9"/>
  <c r="M466" i="9"/>
  <c r="N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I467" i="9"/>
  <c r="L467" i="9"/>
  <c r="M467" i="9"/>
  <c r="N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I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I469" i="9"/>
  <c r="L469" i="9"/>
  <c r="M469" i="9"/>
  <c r="N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I470" i="9"/>
  <c r="L470" i="9"/>
  <c r="M470" i="9"/>
  <c r="N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I471" i="9"/>
  <c r="L471" i="9"/>
  <c r="M471" i="9"/>
  <c r="N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I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I473" i="9"/>
  <c r="L473" i="9"/>
  <c r="M473" i="9"/>
  <c r="N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I474" i="9"/>
  <c r="L474" i="9"/>
  <c r="M474" i="9"/>
  <c r="N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I475" i="9"/>
  <c r="L475" i="9"/>
  <c r="M475" i="9"/>
  <c r="N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I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I477" i="9"/>
  <c r="L477" i="9"/>
  <c r="M477" i="9"/>
  <c r="N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I478" i="9"/>
  <c r="L478" i="9"/>
  <c r="M478" i="9"/>
  <c r="N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I479" i="9"/>
  <c r="L479" i="9"/>
  <c r="M479" i="9"/>
  <c r="N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I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I481" i="9"/>
  <c r="L481" i="9"/>
  <c r="M481" i="9"/>
  <c r="N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I482" i="9"/>
  <c r="L482" i="9"/>
  <c r="M482" i="9"/>
  <c r="N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I483" i="9"/>
  <c r="L483" i="9"/>
  <c r="M483" i="9"/>
  <c r="N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I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I485" i="9"/>
  <c r="L485" i="9"/>
  <c r="M485" i="9"/>
  <c r="N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I486" i="9"/>
  <c r="L486" i="9"/>
  <c r="M486" i="9"/>
  <c r="N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I487" i="9"/>
  <c r="L487" i="9"/>
  <c r="M487" i="9"/>
  <c r="N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I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I489" i="9"/>
  <c r="L489" i="9"/>
  <c r="M489" i="9"/>
  <c r="N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I490" i="9"/>
  <c r="L490" i="9"/>
  <c r="M490" i="9"/>
  <c r="N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I491" i="9"/>
  <c r="L491" i="9"/>
  <c r="M491" i="9"/>
  <c r="N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I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I493" i="9"/>
  <c r="L493" i="9"/>
  <c r="M493" i="9"/>
  <c r="N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I494" i="9"/>
  <c r="L494" i="9"/>
  <c r="M494" i="9"/>
  <c r="N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I495" i="9"/>
  <c r="L495" i="9"/>
  <c r="M495" i="9"/>
  <c r="N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I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I497" i="9"/>
  <c r="L497" i="9"/>
  <c r="M497" i="9"/>
  <c r="N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I498" i="9"/>
  <c r="L498" i="9"/>
  <c r="M498" i="9"/>
  <c r="N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I499" i="9"/>
  <c r="L499" i="9"/>
  <c r="M499" i="9"/>
  <c r="N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1" i="11"/>
  <c r="U212" i="11"/>
  <c r="U213" i="11"/>
  <c r="U214" i="11"/>
  <c r="U215" i="11"/>
  <c r="U216" i="11"/>
  <c r="U217" i="11"/>
  <c r="U218" i="11"/>
  <c r="U219" i="11"/>
  <c r="U220" i="11"/>
  <c r="U221" i="11"/>
  <c r="U222" i="11"/>
  <c r="U223" i="11"/>
  <c r="U224" i="11"/>
  <c r="U225" i="11"/>
  <c r="U226" i="11"/>
  <c r="U227" i="11"/>
  <c r="U228" i="11"/>
  <c r="U229" i="11"/>
  <c r="U230" i="11"/>
  <c r="U231" i="11"/>
  <c r="U232" i="11"/>
  <c r="U233" i="11"/>
  <c r="U234" i="11"/>
  <c r="U235" i="11"/>
  <c r="U236" i="11"/>
  <c r="U237" i="11"/>
  <c r="U238" i="11"/>
  <c r="U239" i="11"/>
  <c r="U240" i="11"/>
  <c r="U241" i="11"/>
  <c r="U242" i="11"/>
  <c r="U243" i="11"/>
  <c r="U244" i="11"/>
  <c r="U245" i="11"/>
  <c r="U246" i="11"/>
  <c r="U247" i="11"/>
  <c r="U5" i="11"/>
  <c r="T6" i="11"/>
  <c r="T7" i="11"/>
  <c r="T8" i="11"/>
  <c r="T9" i="11"/>
  <c r="T10" i="11"/>
  <c r="X10" i="11" s="1"/>
  <c r="T11" i="11"/>
  <c r="X11" i="11" s="1"/>
  <c r="T12" i="11"/>
  <c r="X12" i="11" s="1"/>
  <c r="T13" i="11"/>
  <c r="X13" i="11" s="1"/>
  <c r="T14" i="11"/>
  <c r="T15" i="11"/>
  <c r="T16" i="11"/>
  <c r="T17" i="11"/>
  <c r="T18" i="11"/>
  <c r="X18" i="11" s="1"/>
  <c r="T19" i="11"/>
  <c r="T20" i="11"/>
  <c r="X20" i="11" s="1"/>
  <c r="T21" i="11"/>
  <c r="X21" i="11" s="1"/>
  <c r="T22" i="11"/>
  <c r="X22" i="11" s="1"/>
  <c r="T23" i="11"/>
  <c r="X23" i="11" s="1"/>
  <c r="T24" i="11"/>
  <c r="X24" i="11" s="1"/>
  <c r="T25" i="11"/>
  <c r="X25" i="11" s="1"/>
  <c r="T26" i="11"/>
  <c r="X26" i="11" s="1"/>
  <c r="T27" i="11"/>
  <c r="X27" i="11" s="1"/>
  <c r="T28" i="11"/>
  <c r="X28" i="11" s="1"/>
  <c r="T29" i="11"/>
  <c r="X29" i="11" s="1"/>
  <c r="T30" i="11"/>
  <c r="X30" i="11" s="1"/>
  <c r="T31" i="11"/>
  <c r="X31" i="11" s="1"/>
  <c r="T32" i="11"/>
  <c r="X32" i="11" s="1"/>
  <c r="T33" i="11"/>
  <c r="X33" i="11" s="1"/>
  <c r="T34" i="11"/>
  <c r="X34" i="11" s="1"/>
  <c r="T35" i="11"/>
  <c r="X35" i="11" s="1"/>
  <c r="T36" i="11"/>
  <c r="X36" i="11" s="1"/>
  <c r="T37" i="11"/>
  <c r="X37" i="11" s="1"/>
  <c r="T38" i="11"/>
  <c r="X38" i="11" s="1"/>
  <c r="T39" i="11"/>
  <c r="X39" i="11" s="1"/>
  <c r="T40" i="11"/>
  <c r="X40" i="11" s="1"/>
  <c r="T41" i="11"/>
  <c r="X41" i="11" s="1"/>
  <c r="T42" i="11"/>
  <c r="X42" i="11" s="1"/>
  <c r="T43" i="11"/>
  <c r="X43" i="11" s="1"/>
  <c r="T44" i="11"/>
  <c r="X44" i="11" s="1"/>
  <c r="T45" i="11"/>
  <c r="X45" i="11" s="1"/>
  <c r="T46" i="11"/>
  <c r="X46" i="11" s="1"/>
  <c r="T47" i="11"/>
  <c r="X47" i="11" s="1"/>
  <c r="T48" i="11"/>
  <c r="X48" i="11" s="1"/>
  <c r="T49" i="11"/>
  <c r="X49" i="11" s="1"/>
  <c r="T50" i="11"/>
  <c r="X50" i="11" s="1"/>
  <c r="T51" i="11"/>
  <c r="X51" i="11" s="1"/>
  <c r="T52" i="11"/>
  <c r="X52" i="11" s="1"/>
  <c r="T53" i="11"/>
  <c r="X53" i="11" s="1"/>
  <c r="T54" i="11"/>
  <c r="X54" i="11" s="1"/>
  <c r="T55" i="11"/>
  <c r="X55" i="11" s="1"/>
  <c r="T56" i="11"/>
  <c r="X56" i="11" s="1"/>
  <c r="T57" i="11"/>
  <c r="X57" i="11" s="1"/>
  <c r="T58" i="11"/>
  <c r="X58" i="11" s="1"/>
  <c r="T59" i="11"/>
  <c r="X59" i="11" s="1"/>
  <c r="T60" i="11"/>
  <c r="X60" i="11" s="1"/>
  <c r="T61" i="11"/>
  <c r="X61" i="11" s="1"/>
  <c r="T62" i="11"/>
  <c r="X62" i="11" s="1"/>
  <c r="T63" i="11"/>
  <c r="X63" i="11" s="1"/>
  <c r="T64" i="11"/>
  <c r="X64" i="11" s="1"/>
  <c r="T65" i="11"/>
  <c r="X65" i="11" s="1"/>
  <c r="T66" i="11"/>
  <c r="X66" i="11" s="1"/>
  <c r="T67" i="11"/>
  <c r="X67" i="11" s="1"/>
  <c r="T68" i="11"/>
  <c r="X68" i="11" s="1"/>
  <c r="T69" i="11"/>
  <c r="X69" i="11" s="1"/>
  <c r="T70" i="11"/>
  <c r="X70" i="11" s="1"/>
  <c r="T71" i="11"/>
  <c r="X71" i="11" s="1"/>
  <c r="T72" i="11"/>
  <c r="X72" i="11" s="1"/>
  <c r="T73" i="11"/>
  <c r="X73" i="11" s="1"/>
  <c r="T74" i="11"/>
  <c r="X74" i="11" s="1"/>
  <c r="T75" i="11"/>
  <c r="X75" i="11" s="1"/>
  <c r="T76" i="11"/>
  <c r="X76" i="11" s="1"/>
  <c r="T77" i="11"/>
  <c r="X77" i="11" s="1"/>
  <c r="T78" i="11"/>
  <c r="X78" i="11" s="1"/>
  <c r="T79" i="11"/>
  <c r="X79" i="11" s="1"/>
  <c r="T80" i="11"/>
  <c r="X80" i="11" s="1"/>
  <c r="T81" i="11"/>
  <c r="X81" i="11" s="1"/>
  <c r="T82" i="11"/>
  <c r="X82" i="11" s="1"/>
  <c r="T83" i="11"/>
  <c r="X83" i="11" s="1"/>
  <c r="T84" i="11"/>
  <c r="X84" i="11" s="1"/>
  <c r="T85" i="11"/>
  <c r="X85" i="11" s="1"/>
  <c r="T86" i="11"/>
  <c r="X86" i="11" s="1"/>
  <c r="T87" i="11"/>
  <c r="X87" i="11" s="1"/>
  <c r="T88" i="11"/>
  <c r="X88" i="11" s="1"/>
  <c r="T89" i="11"/>
  <c r="X89" i="11" s="1"/>
  <c r="T90" i="11"/>
  <c r="X90" i="11" s="1"/>
  <c r="T91" i="11"/>
  <c r="X91" i="11" s="1"/>
  <c r="T92" i="11"/>
  <c r="X92" i="11" s="1"/>
  <c r="T93" i="11"/>
  <c r="X93" i="11" s="1"/>
  <c r="T94" i="11"/>
  <c r="X94" i="11" s="1"/>
  <c r="T95" i="11"/>
  <c r="X95" i="11" s="1"/>
  <c r="T96" i="11"/>
  <c r="X96" i="11" s="1"/>
  <c r="T97" i="11"/>
  <c r="X97" i="11" s="1"/>
  <c r="T98" i="11"/>
  <c r="X98" i="11" s="1"/>
  <c r="T99" i="11"/>
  <c r="X99" i="11" s="1"/>
  <c r="T100" i="11"/>
  <c r="X100" i="11" s="1"/>
  <c r="T101" i="11"/>
  <c r="X101" i="11" s="1"/>
  <c r="T102" i="11"/>
  <c r="X102" i="11" s="1"/>
  <c r="T103" i="11"/>
  <c r="X103" i="11" s="1"/>
  <c r="T104" i="11"/>
  <c r="X104" i="11" s="1"/>
  <c r="T105" i="11"/>
  <c r="X105" i="11" s="1"/>
  <c r="T106" i="11"/>
  <c r="X106" i="11" s="1"/>
  <c r="T107" i="11"/>
  <c r="X107" i="11" s="1"/>
  <c r="T108" i="11"/>
  <c r="X108" i="11" s="1"/>
  <c r="T109" i="11"/>
  <c r="X109" i="11" s="1"/>
  <c r="T110" i="11"/>
  <c r="X110" i="11" s="1"/>
  <c r="T111" i="11"/>
  <c r="X111" i="11" s="1"/>
  <c r="T112" i="11"/>
  <c r="X112" i="11" s="1"/>
  <c r="T113" i="11"/>
  <c r="X113" i="11" s="1"/>
  <c r="T114" i="11"/>
  <c r="X114" i="11" s="1"/>
  <c r="T115" i="11"/>
  <c r="X115" i="11" s="1"/>
  <c r="T116" i="11"/>
  <c r="X116" i="11" s="1"/>
  <c r="T117" i="11"/>
  <c r="X117" i="11" s="1"/>
  <c r="T118" i="11"/>
  <c r="X118" i="11" s="1"/>
  <c r="T119" i="11"/>
  <c r="X119" i="11" s="1"/>
  <c r="T120" i="11"/>
  <c r="X120" i="11" s="1"/>
  <c r="T121" i="11"/>
  <c r="X121" i="11" s="1"/>
  <c r="T122" i="11"/>
  <c r="X122" i="11" s="1"/>
  <c r="T123" i="11"/>
  <c r="X123" i="11" s="1"/>
  <c r="T124" i="11"/>
  <c r="X124" i="11" s="1"/>
  <c r="T125" i="11"/>
  <c r="X125" i="11" s="1"/>
  <c r="T126" i="11"/>
  <c r="X126" i="11" s="1"/>
  <c r="T127" i="11"/>
  <c r="X127" i="11" s="1"/>
  <c r="T128" i="11"/>
  <c r="X128" i="11" s="1"/>
  <c r="T129" i="11"/>
  <c r="X129" i="11" s="1"/>
  <c r="T130" i="11"/>
  <c r="X130" i="11" s="1"/>
  <c r="T131" i="11"/>
  <c r="X131" i="11" s="1"/>
  <c r="T132" i="11"/>
  <c r="X132" i="11" s="1"/>
  <c r="T133" i="11"/>
  <c r="X133" i="11" s="1"/>
  <c r="T134" i="11"/>
  <c r="X134" i="11" s="1"/>
  <c r="T135" i="11"/>
  <c r="X135" i="11" s="1"/>
  <c r="T136" i="11"/>
  <c r="X136" i="11" s="1"/>
  <c r="T137" i="11"/>
  <c r="X137" i="11" s="1"/>
  <c r="T138" i="11"/>
  <c r="X138" i="11" s="1"/>
  <c r="T139" i="11"/>
  <c r="X139" i="11" s="1"/>
  <c r="T140" i="11"/>
  <c r="X140" i="11" s="1"/>
  <c r="T141" i="11"/>
  <c r="X141" i="11" s="1"/>
  <c r="T142" i="11"/>
  <c r="X142" i="11" s="1"/>
  <c r="T143" i="11"/>
  <c r="X143" i="11" s="1"/>
  <c r="T144" i="11"/>
  <c r="X144" i="11" s="1"/>
  <c r="T145" i="11"/>
  <c r="X145" i="11" s="1"/>
  <c r="T146" i="11"/>
  <c r="X146" i="11" s="1"/>
  <c r="T147" i="11"/>
  <c r="X147" i="11" s="1"/>
  <c r="T148" i="11"/>
  <c r="X148" i="11" s="1"/>
  <c r="T149" i="11"/>
  <c r="X149" i="11" s="1"/>
  <c r="T150" i="11"/>
  <c r="X150" i="11" s="1"/>
  <c r="T151" i="11"/>
  <c r="X151" i="11" s="1"/>
  <c r="T152" i="11"/>
  <c r="X152" i="11" s="1"/>
  <c r="T153" i="11"/>
  <c r="X153" i="11" s="1"/>
  <c r="T154" i="11"/>
  <c r="X154" i="11" s="1"/>
  <c r="T155" i="11"/>
  <c r="X155" i="11" s="1"/>
  <c r="T156" i="11"/>
  <c r="X156" i="11" s="1"/>
  <c r="T157" i="11"/>
  <c r="X157" i="11" s="1"/>
  <c r="T158" i="11"/>
  <c r="X158" i="11" s="1"/>
  <c r="T159" i="11"/>
  <c r="X159" i="11" s="1"/>
  <c r="T160" i="11"/>
  <c r="X160" i="11" s="1"/>
  <c r="T161" i="11"/>
  <c r="X161" i="11" s="1"/>
  <c r="T162" i="11"/>
  <c r="X162" i="11" s="1"/>
  <c r="T163" i="11"/>
  <c r="X163" i="11" s="1"/>
  <c r="T164" i="11"/>
  <c r="X164" i="11" s="1"/>
  <c r="T165" i="11"/>
  <c r="X165" i="11" s="1"/>
  <c r="T166" i="11"/>
  <c r="X166" i="11" s="1"/>
  <c r="T167" i="11"/>
  <c r="X167" i="11" s="1"/>
  <c r="T168" i="11"/>
  <c r="X168" i="11" s="1"/>
  <c r="T169" i="11"/>
  <c r="X169" i="11" s="1"/>
  <c r="T170" i="11"/>
  <c r="X170" i="11" s="1"/>
  <c r="T171" i="11"/>
  <c r="X171" i="11" s="1"/>
  <c r="T172" i="11"/>
  <c r="X172" i="11" s="1"/>
  <c r="T173" i="11"/>
  <c r="X173" i="11" s="1"/>
  <c r="T174" i="11"/>
  <c r="X174" i="11" s="1"/>
  <c r="T175" i="11"/>
  <c r="X175" i="11" s="1"/>
  <c r="T176" i="11"/>
  <c r="X176" i="11" s="1"/>
  <c r="T177" i="11"/>
  <c r="X177" i="11" s="1"/>
  <c r="T178" i="11"/>
  <c r="X178" i="11" s="1"/>
  <c r="T179" i="11"/>
  <c r="X179" i="11" s="1"/>
  <c r="T180" i="11"/>
  <c r="X180" i="11" s="1"/>
  <c r="T181" i="11"/>
  <c r="X181" i="11" s="1"/>
  <c r="T182" i="11"/>
  <c r="X182" i="11" s="1"/>
  <c r="T183" i="11"/>
  <c r="X183" i="11" s="1"/>
  <c r="T184" i="11"/>
  <c r="X184" i="11" s="1"/>
  <c r="T185" i="11"/>
  <c r="X185" i="11" s="1"/>
  <c r="T186" i="11"/>
  <c r="X186" i="11" s="1"/>
  <c r="T187" i="11"/>
  <c r="X187" i="11" s="1"/>
  <c r="T188" i="11"/>
  <c r="X188" i="11" s="1"/>
  <c r="T189" i="11"/>
  <c r="X189" i="11" s="1"/>
  <c r="T190" i="11"/>
  <c r="X190" i="11" s="1"/>
  <c r="T191" i="11"/>
  <c r="X191" i="11" s="1"/>
  <c r="T192" i="11"/>
  <c r="X192" i="11" s="1"/>
  <c r="T193" i="11"/>
  <c r="X193" i="11" s="1"/>
  <c r="T194" i="11"/>
  <c r="X194" i="11" s="1"/>
  <c r="T195" i="11"/>
  <c r="X195" i="11" s="1"/>
  <c r="T196" i="11"/>
  <c r="X196" i="11" s="1"/>
  <c r="T197" i="11"/>
  <c r="X197" i="11" s="1"/>
  <c r="T198" i="11"/>
  <c r="X198" i="11" s="1"/>
  <c r="T199" i="11"/>
  <c r="X199" i="11" s="1"/>
  <c r="T200" i="11"/>
  <c r="X200" i="11" s="1"/>
  <c r="T201" i="11"/>
  <c r="X201" i="11" s="1"/>
  <c r="T202" i="11"/>
  <c r="X202" i="11" s="1"/>
  <c r="T203" i="11"/>
  <c r="X203" i="11" s="1"/>
  <c r="T204" i="11"/>
  <c r="X204" i="11" s="1"/>
  <c r="T205" i="11"/>
  <c r="X205" i="11" s="1"/>
  <c r="T206" i="11"/>
  <c r="X206" i="11" s="1"/>
  <c r="T207" i="11"/>
  <c r="X207" i="11" s="1"/>
  <c r="T208" i="11"/>
  <c r="X208" i="11" s="1"/>
  <c r="T209" i="11"/>
  <c r="X209" i="11" s="1"/>
  <c r="T210" i="11"/>
  <c r="X210" i="11" s="1"/>
  <c r="T211" i="11"/>
  <c r="X211" i="11" s="1"/>
  <c r="T212" i="11"/>
  <c r="X212" i="11" s="1"/>
  <c r="T213" i="11"/>
  <c r="X213" i="11" s="1"/>
  <c r="T214" i="11"/>
  <c r="X214" i="11" s="1"/>
  <c r="T215" i="11"/>
  <c r="X215" i="11" s="1"/>
  <c r="T216" i="11"/>
  <c r="X216" i="11" s="1"/>
  <c r="T217" i="11"/>
  <c r="X217" i="11" s="1"/>
  <c r="T218" i="11"/>
  <c r="X218" i="11" s="1"/>
  <c r="T219" i="11"/>
  <c r="X219" i="11" s="1"/>
  <c r="T220" i="11"/>
  <c r="X220" i="11" s="1"/>
  <c r="T221" i="11"/>
  <c r="X221" i="11" s="1"/>
  <c r="T222" i="11"/>
  <c r="X222" i="11" s="1"/>
  <c r="T223" i="11"/>
  <c r="X223" i="11" s="1"/>
  <c r="T224" i="11"/>
  <c r="X224" i="11" s="1"/>
  <c r="T225" i="11"/>
  <c r="X225" i="11" s="1"/>
  <c r="T226" i="11"/>
  <c r="X226" i="11" s="1"/>
  <c r="T227" i="11"/>
  <c r="X227" i="11" s="1"/>
  <c r="T228" i="11"/>
  <c r="X228" i="11" s="1"/>
  <c r="T229" i="11"/>
  <c r="X229" i="11" s="1"/>
  <c r="T230" i="11"/>
  <c r="X230" i="11" s="1"/>
  <c r="T231" i="11"/>
  <c r="X231" i="11" s="1"/>
  <c r="T232" i="11"/>
  <c r="X232" i="11" s="1"/>
  <c r="T233" i="11"/>
  <c r="X233" i="11" s="1"/>
  <c r="T234" i="11"/>
  <c r="X234" i="11" s="1"/>
  <c r="T235" i="11"/>
  <c r="X235" i="11" s="1"/>
  <c r="T236" i="11"/>
  <c r="X236" i="11" s="1"/>
  <c r="T237" i="11"/>
  <c r="X237" i="11" s="1"/>
  <c r="T238" i="11"/>
  <c r="X238" i="11" s="1"/>
  <c r="T239" i="11"/>
  <c r="X239" i="11" s="1"/>
  <c r="T240" i="11"/>
  <c r="X240" i="11" s="1"/>
  <c r="T241" i="11"/>
  <c r="X241" i="11" s="1"/>
  <c r="T242" i="11"/>
  <c r="X242" i="11" s="1"/>
  <c r="T243" i="11"/>
  <c r="X243" i="11" s="1"/>
  <c r="T244" i="11"/>
  <c r="X244" i="11" s="1"/>
  <c r="T245" i="11"/>
  <c r="X245" i="11" s="1"/>
  <c r="T246" i="11"/>
  <c r="X246" i="11" s="1"/>
  <c r="T247" i="11"/>
  <c r="X247" i="11" s="1"/>
  <c r="T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5" i="11"/>
  <c r="M3" i="12"/>
  <c r="L191" i="11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3" i="10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" i="12"/>
  <c r="I165" i="11"/>
  <c r="I161" i="11"/>
  <c r="I162" i="11"/>
  <c r="I163" i="11"/>
  <c r="I164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L168" i="11" s="1"/>
  <c r="I66" i="11"/>
  <c r="I67" i="11"/>
  <c r="I68" i="11"/>
  <c r="L170" i="11" s="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5" i="1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3" i="10"/>
  <c r="V5" i="9"/>
  <c r="AB500" i="9"/>
  <c r="AA500" i="9"/>
  <c r="Z500" i="9"/>
  <c r="Y500" i="9"/>
  <c r="X500" i="9"/>
  <c r="W500" i="9"/>
  <c r="V500" i="9"/>
  <c r="U500" i="9"/>
  <c r="T500" i="9"/>
  <c r="S500" i="9"/>
  <c r="R500" i="9"/>
  <c r="Q500" i="9"/>
  <c r="P500" i="9"/>
  <c r="N500" i="9"/>
  <c r="M500" i="9"/>
  <c r="L500" i="9"/>
  <c r="I500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N11" i="9"/>
  <c r="M11" i="9"/>
  <c r="L11" i="9"/>
  <c r="I11" i="9"/>
  <c r="O11" i="9" s="1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N10" i="9"/>
  <c r="M10" i="9"/>
  <c r="L10" i="9"/>
  <c r="I10" i="9"/>
  <c r="O10" i="9" s="1"/>
  <c r="AB9" i="9"/>
  <c r="AA9" i="9"/>
  <c r="Z9" i="9"/>
  <c r="Y9" i="9"/>
  <c r="X9" i="9"/>
  <c r="W9" i="9"/>
  <c r="V9" i="9"/>
  <c r="U9" i="9"/>
  <c r="T9" i="9"/>
  <c r="S9" i="9"/>
  <c r="R9" i="9"/>
  <c r="Q9" i="9"/>
  <c r="P9" i="9"/>
  <c r="N9" i="9"/>
  <c r="M9" i="9"/>
  <c r="L9" i="9"/>
  <c r="I9" i="9"/>
  <c r="O9" i="9" s="1"/>
  <c r="AB8" i="9"/>
  <c r="Z8" i="9"/>
  <c r="Y8" i="9"/>
  <c r="X8" i="9"/>
  <c r="W8" i="9"/>
  <c r="V8" i="9"/>
  <c r="U8" i="9"/>
  <c r="T8" i="9"/>
  <c r="S8" i="9"/>
  <c r="R8" i="9"/>
  <c r="Q8" i="9"/>
  <c r="P8" i="9"/>
  <c r="N8" i="9"/>
  <c r="M8" i="9"/>
  <c r="L8" i="9"/>
  <c r="I8" i="9"/>
  <c r="AB7" i="9"/>
  <c r="Z7" i="9"/>
  <c r="Y7" i="9"/>
  <c r="X7" i="9"/>
  <c r="W7" i="9"/>
  <c r="V7" i="9"/>
  <c r="U7" i="9"/>
  <c r="T7" i="9"/>
  <c r="S7" i="9"/>
  <c r="R7" i="9"/>
  <c r="Q7" i="9"/>
  <c r="P7" i="9"/>
  <c r="N7" i="9"/>
  <c r="M7" i="9"/>
  <c r="L7" i="9"/>
  <c r="I7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N6" i="9"/>
  <c r="M6" i="9"/>
  <c r="L6" i="9"/>
  <c r="I6" i="9"/>
  <c r="O6" i="9" s="1"/>
  <c r="Z5" i="9"/>
  <c r="Y5" i="9"/>
  <c r="W5" i="9"/>
  <c r="U5" i="9"/>
  <c r="T5" i="9"/>
  <c r="S5" i="9"/>
  <c r="R5" i="9"/>
  <c r="N5" i="9"/>
  <c r="M5" i="9"/>
  <c r="L5" i="9"/>
  <c r="K499" i="9" l="1"/>
  <c r="J499" i="9"/>
  <c r="K480" i="9"/>
  <c r="J480" i="9"/>
  <c r="J447" i="9"/>
  <c r="K447" i="9"/>
  <c r="J439" i="9"/>
  <c r="K439" i="9"/>
  <c r="J415" i="9"/>
  <c r="K415" i="9"/>
  <c r="K403" i="9"/>
  <c r="J403" i="9"/>
  <c r="J395" i="9"/>
  <c r="K395" i="9"/>
  <c r="K371" i="9"/>
  <c r="J371" i="9"/>
  <c r="J363" i="9"/>
  <c r="K363" i="9"/>
  <c r="J343" i="9"/>
  <c r="K343" i="9"/>
  <c r="J327" i="9"/>
  <c r="K327" i="9"/>
  <c r="J319" i="9"/>
  <c r="K319" i="9"/>
  <c r="K307" i="9"/>
  <c r="J307" i="9"/>
  <c r="K289" i="9"/>
  <c r="J289" i="9"/>
  <c r="K285" i="9"/>
  <c r="J285" i="9"/>
  <c r="J283" i="9"/>
  <c r="K283" i="9"/>
  <c r="K269" i="9"/>
  <c r="J269" i="9"/>
  <c r="K257" i="9"/>
  <c r="J257" i="9"/>
  <c r="J245" i="9"/>
  <c r="K245" i="9"/>
  <c r="K233" i="9"/>
  <c r="J233" i="9"/>
  <c r="K217" i="9"/>
  <c r="J217" i="9"/>
  <c r="J150" i="9"/>
  <c r="K150" i="9"/>
  <c r="J138" i="9"/>
  <c r="K138" i="9"/>
  <c r="J118" i="9"/>
  <c r="K118" i="9"/>
  <c r="K102" i="9"/>
  <c r="J102" i="9"/>
  <c r="K91" i="9"/>
  <c r="J91" i="9"/>
  <c r="K88" i="9"/>
  <c r="J88" i="9"/>
  <c r="J85" i="9"/>
  <c r="K85" i="9"/>
  <c r="K71" i="9"/>
  <c r="J71" i="9"/>
  <c r="K34" i="9"/>
  <c r="J34" i="9"/>
  <c r="K28" i="9"/>
  <c r="J28" i="9"/>
  <c r="K26" i="9"/>
  <c r="J26" i="9"/>
  <c r="K20" i="9"/>
  <c r="J20" i="9"/>
  <c r="K18" i="9"/>
  <c r="J18" i="9"/>
  <c r="K5" i="9"/>
  <c r="J5" i="9"/>
  <c r="O500" i="9"/>
  <c r="K500" i="9"/>
  <c r="J500" i="9"/>
  <c r="K498" i="9"/>
  <c r="J498" i="9"/>
  <c r="K492" i="9"/>
  <c r="J492" i="9"/>
  <c r="K485" i="9"/>
  <c r="J485" i="9"/>
  <c r="J479" i="9"/>
  <c r="K479" i="9"/>
  <c r="K476" i="9"/>
  <c r="J476" i="9"/>
  <c r="K466" i="9"/>
  <c r="J466" i="9"/>
  <c r="K454" i="9"/>
  <c r="J454" i="9"/>
  <c r="K446" i="9"/>
  <c r="J446" i="9"/>
  <c r="K442" i="9"/>
  <c r="J442" i="9"/>
  <c r="K438" i="9"/>
  <c r="J438" i="9"/>
  <c r="K430" i="9"/>
  <c r="J430" i="9"/>
  <c r="K414" i="9"/>
  <c r="J414" i="9"/>
  <c r="J410" i="9"/>
  <c r="K410" i="9"/>
  <c r="K406" i="9"/>
  <c r="J406" i="9"/>
  <c r="J402" i="9"/>
  <c r="K402" i="9"/>
  <c r="K398" i="9"/>
  <c r="J398" i="9"/>
  <c r="J394" i="9"/>
  <c r="K394" i="9"/>
  <c r="K390" i="9"/>
  <c r="J390" i="9"/>
  <c r="J386" i="9"/>
  <c r="K386" i="9"/>
  <c r="K382" i="9"/>
  <c r="J382" i="9"/>
  <c r="K378" i="9"/>
  <c r="J378" i="9"/>
  <c r="K374" i="9"/>
  <c r="J374" i="9"/>
  <c r="K370" i="9"/>
  <c r="J370" i="9"/>
  <c r="K366" i="9"/>
  <c r="J366" i="9"/>
  <c r="J362" i="9"/>
  <c r="K362" i="9"/>
  <c r="J358" i="9"/>
  <c r="K358" i="9"/>
  <c r="K354" i="9"/>
  <c r="J354" i="9"/>
  <c r="K350" i="9"/>
  <c r="J350" i="9"/>
  <c r="J346" i="9"/>
  <c r="K346" i="9"/>
  <c r="K342" i="9"/>
  <c r="J342" i="9"/>
  <c r="K338" i="9"/>
  <c r="J338" i="9"/>
  <c r="K334" i="9"/>
  <c r="J334" i="9"/>
  <c r="J330" i="9"/>
  <c r="K330" i="9"/>
  <c r="K326" i="9"/>
  <c r="J326" i="9"/>
  <c r="K322" i="9"/>
  <c r="J322" i="9"/>
  <c r="K318" i="9"/>
  <c r="J318" i="9"/>
  <c r="K314" i="9"/>
  <c r="J314" i="9"/>
  <c r="K310" i="9"/>
  <c r="J310" i="9"/>
  <c r="K306" i="9"/>
  <c r="J306" i="9"/>
  <c r="K302" i="9"/>
  <c r="J302" i="9"/>
  <c r="J298" i="9"/>
  <c r="K298" i="9"/>
  <c r="J295" i="9"/>
  <c r="K295" i="9"/>
  <c r="K293" i="9"/>
  <c r="J293" i="9"/>
  <c r="K280" i="9"/>
  <c r="J280" i="9"/>
  <c r="K276" i="9"/>
  <c r="J276" i="9"/>
  <c r="K272" i="9"/>
  <c r="J272" i="9"/>
  <c r="K268" i="9"/>
  <c r="J268" i="9"/>
  <c r="K264" i="9"/>
  <c r="J264" i="9"/>
  <c r="K260" i="9"/>
  <c r="J260" i="9"/>
  <c r="K256" i="9"/>
  <c r="J256" i="9"/>
  <c r="K252" i="9"/>
  <c r="J252" i="9"/>
  <c r="K248" i="9"/>
  <c r="J248" i="9"/>
  <c r="K244" i="9"/>
  <c r="J244" i="9"/>
  <c r="K240" i="9"/>
  <c r="J240" i="9"/>
  <c r="K236" i="9"/>
  <c r="J236" i="9"/>
  <c r="K232" i="9"/>
  <c r="J232" i="9"/>
  <c r="K228" i="9"/>
  <c r="J228" i="9"/>
  <c r="K224" i="9"/>
  <c r="J224" i="9"/>
  <c r="K220" i="9"/>
  <c r="J220" i="9"/>
  <c r="K216" i="9"/>
  <c r="J216" i="9"/>
  <c r="K212" i="9"/>
  <c r="J212" i="9"/>
  <c r="K210" i="9"/>
  <c r="J210" i="9"/>
  <c r="K208" i="9"/>
  <c r="J208" i="9"/>
  <c r="K206" i="9"/>
  <c r="J206" i="9"/>
  <c r="K204" i="9"/>
  <c r="J204" i="9"/>
  <c r="K202" i="9"/>
  <c r="J202" i="9"/>
  <c r="K200" i="9"/>
  <c r="J200" i="9"/>
  <c r="K198" i="9"/>
  <c r="J198" i="9"/>
  <c r="K196" i="9"/>
  <c r="J196" i="9"/>
  <c r="K194" i="9"/>
  <c r="J194" i="9"/>
  <c r="K192" i="9"/>
  <c r="J192" i="9"/>
  <c r="K190" i="9"/>
  <c r="J190" i="9"/>
  <c r="K188" i="9"/>
  <c r="J188" i="9"/>
  <c r="K186" i="9"/>
  <c r="J186" i="9"/>
  <c r="K184" i="9"/>
  <c r="J184" i="9"/>
  <c r="K182" i="9"/>
  <c r="J182" i="9"/>
  <c r="K180" i="9"/>
  <c r="J180" i="9"/>
  <c r="K178" i="9"/>
  <c r="J178" i="9"/>
  <c r="K176" i="9"/>
  <c r="J176" i="9"/>
  <c r="K174" i="9"/>
  <c r="J174" i="9"/>
  <c r="K172" i="9"/>
  <c r="J172" i="9"/>
  <c r="K170" i="9"/>
  <c r="J170" i="9"/>
  <c r="K168" i="9"/>
  <c r="J168" i="9"/>
  <c r="K166" i="9"/>
  <c r="J166" i="9"/>
  <c r="K164" i="9"/>
  <c r="J164" i="9"/>
  <c r="K162" i="9"/>
  <c r="J162" i="9"/>
  <c r="J160" i="9"/>
  <c r="K160" i="9"/>
  <c r="K158" i="9"/>
  <c r="J158" i="9"/>
  <c r="J156" i="9"/>
  <c r="K156" i="9"/>
  <c r="K154" i="9"/>
  <c r="J154" i="9"/>
  <c r="K152" i="9"/>
  <c r="J152" i="9"/>
  <c r="J149" i="9"/>
  <c r="K149" i="9"/>
  <c r="J145" i="9"/>
  <c r="K145" i="9"/>
  <c r="J141" i="9"/>
  <c r="K141" i="9"/>
  <c r="K137" i="9"/>
  <c r="J137" i="9"/>
  <c r="J133" i="9"/>
  <c r="K133" i="9"/>
  <c r="J129" i="9"/>
  <c r="K129" i="9"/>
  <c r="J125" i="9"/>
  <c r="K125" i="9"/>
  <c r="K121" i="9"/>
  <c r="J121" i="9"/>
  <c r="J117" i="9"/>
  <c r="K117" i="9"/>
  <c r="J113" i="9"/>
  <c r="K113" i="9"/>
  <c r="J109" i="9"/>
  <c r="K109" i="9"/>
  <c r="K105" i="9"/>
  <c r="J105" i="9"/>
  <c r="J101" i="9"/>
  <c r="K101" i="9"/>
  <c r="J97" i="9"/>
  <c r="K97" i="9"/>
  <c r="K94" i="9"/>
  <c r="J94" i="9"/>
  <c r="K87" i="9"/>
  <c r="J87" i="9"/>
  <c r="K84" i="9"/>
  <c r="J84" i="9"/>
  <c r="K82" i="9"/>
  <c r="J82" i="9"/>
  <c r="K73" i="9"/>
  <c r="J73" i="9"/>
  <c r="K68" i="9"/>
  <c r="J68" i="9"/>
  <c r="K66" i="9"/>
  <c r="J66" i="9"/>
  <c r="K63" i="9"/>
  <c r="J63" i="9"/>
  <c r="K60" i="9"/>
  <c r="J60" i="9"/>
  <c r="K58" i="9"/>
  <c r="J58" i="9"/>
  <c r="K55" i="9"/>
  <c r="J55" i="9"/>
  <c r="K52" i="9"/>
  <c r="J52" i="9"/>
  <c r="K50" i="9"/>
  <c r="J50" i="9"/>
  <c r="K47" i="9"/>
  <c r="J47" i="9"/>
  <c r="J44" i="9"/>
  <c r="K44" i="9"/>
  <c r="K42" i="9"/>
  <c r="J42" i="9"/>
  <c r="K39" i="9"/>
  <c r="J39" i="9"/>
  <c r="K36" i="9"/>
  <c r="J36" i="9"/>
  <c r="J33" i="9"/>
  <c r="K33" i="9"/>
  <c r="K25" i="9"/>
  <c r="J25" i="9"/>
  <c r="K496" i="9"/>
  <c r="J496" i="9"/>
  <c r="J486" i="9"/>
  <c r="K486" i="9"/>
  <c r="K467" i="9"/>
  <c r="J467" i="9"/>
  <c r="K464" i="9"/>
  <c r="J464" i="9"/>
  <c r="K457" i="9"/>
  <c r="J457" i="9"/>
  <c r="K451" i="9"/>
  <c r="J451" i="9"/>
  <c r="K435" i="9"/>
  <c r="J435" i="9"/>
  <c r="J431" i="9"/>
  <c r="K431" i="9"/>
  <c r="J427" i="9"/>
  <c r="K427" i="9"/>
  <c r="K419" i="9"/>
  <c r="J419" i="9"/>
  <c r="J411" i="9"/>
  <c r="K411" i="9"/>
  <c r="J399" i="9"/>
  <c r="K399" i="9"/>
  <c r="J391" i="9"/>
  <c r="K391" i="9"/>
  <c r="K387" i="9"/>
  <c r="J387" i="9"/>
  <c r="J383" i="9"/>
  <c r="K383" i="9"/>
  <c r="J375" i="9"/>
  <c r="K375" i="9"/>
  <c r="K355" i="9"/>
  <c r="J355" i="9"/>
  <c r="J347" i="9"/>
  <c r="K347" i="9"/>
  <c r="K339" i="9"/>
  <c r="J339" i="9"/>
  <c r="J335" i="9"/>
  <c r="K335" i="9"/>
  <c r="K323" i="9"/>
  <c r="J323" i="9"/>
  <c r="J303" i="9"/>
  <c r="K303" i="9"/>
  <c r="J277" i="9"/>
  <c r="K277" i="9"/>
  <c r="J273" i="9"/>
  <c r="K273" i="9"/>
  <c r="K253" i="9"/>
  <c r="J253" i="9"/>
  <c r="K241" i="9"/>
  <c r="J241" i="9"/>
  <c r="K229" i="9"/>
  <c r="J229" i="9"/>
  <c r="K142" i="9"/>
  <c r="J142" i="9"/>
  <c r="K130" i="9"/>
  <c r="J130" i="9"/>
  <c r="K122" i="9"/>
  <c r="J122" i="9"/>
  <c r="K110" i="9"/>
  <c r="J110" i="9"/>
  <c r="J61" i="9"/>
  <c r="K61" i="9"/>
  <c r="J53" i="9"/>
  <c r="K53" i="9"/>
  <c r="K23" i="9"/>
  <c r="J23" i="9"/>
  <c r="K16" i="9"/>
  <c r="J16" i="9"/>
  <c r="K14" i="9"/>
  <c r="J14" i="9"/>
  <c r="J469" i="9"/>
  <c r="K469" i="9"/>
  <c r="K434" i="9"/>
  <c r="J434" i="9"/>
  <c r="J426" i="9"/>
  <c r="K426" i="9"/>
  <c r="K422" i="9"/>
  <c r="J422" i="9"/>
  <c r="K418" i="9"/>
  <c r="J418" i="9"/>
  <c r="O7" i="9"/>
  <c r="K7" i="9"/>
  <c r="J7" i="9"/>
  <c r="O8" i="9"/>
  <c r="K8" i="9"/>
  <c r="J8" i="9"/>
  <c r="K497" i="9"/>
  <c r="J497" i="9"/>
  <c r="K494" i="9"/>
  <c r="J494" i="9"/>
  <c r="J491" i="9"/>
  <c r="K491" i="9"/>
  <c r="K488" i="9"/>
  <c r="J488" i="9"/>
  <c r="K481" i="9"/>
  <c r="J481" i="9"/>
  <c r="K478" i="9"/>
  <c r="J478" i="9"/>
  <c r="J475" i="9"/>
  <c r="K475" i="9"/>
  <c r="K472" i="9"/>
  <c r="J472" i="9"/>
  <c r="K465" i="9"/>
  <c r="J465" i="9"/>
  <c r="K462" i="9"/>
  <c r="J462" i="9"/>
  <c r="J459" i="9"/>
  <c r="K459" i="9"/>
  <c r="K456" i="9"/>
  <c r="J456" i="9"/>
  <c r="J453" i="9"/>
  <c r="K453" i="9"/>
  <c r="K449" i="9"/>
  <c r="J449" i="9"/>
  <c r="J445" i="9"/>
  <c r="K445" i="9"/>
  <c r="K441" i="9"/>
  <c r="J441" i="9"/>
  <c r="J437" i="9"/>
  <c r="K437" i="9"/>
  <c r="K433" i="9"/>
  <c r="J433" i="9"/>
  <c r="J429" i="9"/>
  <c r="K429" i="9"/>
  <c r="K425" i="9"/>
  <c r="J425" i="9"/>
  <c r="K421" i="9"/>
  <c r="J421" i="9"/>
  <c r="K417" i="9"/>
  <c r="J417" i="9"/>
  <c r="K413" i="9"/>
  <c r="J413" i="9"/>
  <c r="K409" i="9"/>
  <c r="J409" i="9"/>
  <c r="J405" i="9"/>
  <c r="K405" i="9"/>
  <c r="J401" i="9"/>
  <c r="K401" i="9"/>
  <c r="K397" i="9"/>
  <c r="J397" i="9"/>
  <c r="K393" i="9"/>
  <c r="J393" i="9"/>
  <c r="J389" i="9"/>
  <c r="K389" i="9"/>
  <c r="K385" i="9"/>
  <c r="J385" i="9"/>
  <c r="K381" i="9"/>
  <c r="J381" i="9"/>
  <c r="K377" i="9"/>
  <c r="J377" i="9"/>
  <c r="J373" i="9"/>
  <c r="K373" i="9"/>
  <c r="K369" i="9"/>
  <c r="J369" i="9"/>
  <c r="K365" i="9"/>
  <c r="J365" i="9"/>
  <c r="K361" i="9"/>
  <c r="J361" i="9"/>
  <c r="K357" i="9"/>
  <c r="J357" i="9"/>
  <c r="K353" i="9"/>
  <c r="J353" i="9"/>
  <c r="K349" i="9"/>
  <c r="J349" i="9"/>
  <c r="K345" i="9"/>
  <c r="J345" i="9"/>
  <c r="J341" i="9"/>
  <c r="K341" i="9"/>
  <c r="K337" i="9"/>
  <c r="J337" i="9"/>
  <c r="K333" i="9"/>
  <c r="J333" i="9"/>
  <c r="K329" i="9"/>
  <c r="J329" i="9"/>
  <c r="J325" i="9"/>
  <c r="K325" i="9"/>
  <c r="K321" i="9"/>
  <c r="J321" i="9"/>
  <c r="J317" i="9"/>
  <c r="K317" i="9"/>
  <c r="K313" i="9"/>
  <c r="J313" i="9"/>
  <c r="J309" i="9"/>
  <c r="K309" i="9"/>
  <c r="K305" i="9"/>
  <c r="J305" i="9"/>
  <c r="J301" i="9"/>
  <c r="K301" i="9"/>
  <c r="K297" i="9"/>
  <c r="J297" i="9"/>
  <c r="K290" i="9"/>
  <c r="J290" i="9"/>
  <c r="K288" i="9"/>
  <c r="J288" i="9"/>
  <c r="K286" i="9"/>
  <c r="J286" i="9"/>
  <c r="K284" i="9"/>
  <c r="J284" i="9"/>
  <c r="J282" i="9"/>
  <c r="K282" i="9"/>
  <c r="J279" i="9"/>
  <c r="K279" i="9"/>
  <c r="K275" i="9"/>
  <c r="J275" i="9"/>
  <c r="J271" i="9"/>
  <c r="K271" i="9"/>
  <c r="J267" i="9"/>
  <c r="K267" i="9"/>
  <c r="J263" i="9"/>
  <c r="K263" i="9"/>
  <c r="K259" i="9"/>
  <c r="J259" i="9"/>
  <c r="J255" i="9"/>
  <c r="K255" i="9"/>
  <c r="J251" i="9"/>
  <c r="K251" i="9"/>
  <c r="J247" i="9"/>
  <c r="K247" i="9"/>
  <c r="K243" i="9"/>
  <c r="J243" i="9"/>
  <c r="J239" i="9"/>
  <c r="K239" i="9"/>
  <c r="J235" i="9"/>
  <c r="K235" i="9"/>
  <c r="J231" i="9"/>
  <c r="K231" i="9"/>
  <c r="K227" i="9"/>
  <c r="J227" i="9"/>
  <c r="J223" i="9"/>
  <c r="K223" i="9"/>
  <c r="K219" i="9"/>
  <c r="J219" i="9"/>
  <c r="J215" i="9"/>
  <c r="K215" i="9"/>
  <c r="K148" i="9"/>
  <c r="J148" i="9"/>
  <c r="J144" i="9"/>
  <c r="K144" i="9"/>
  <c r="J140" i="9"/>
  <c r="K140" i="9"/>
  <c r="K136" i="9"/>
  <c r="J136" i="9"/>
  <c r="K132" i="9"/>
  <c r="J132" i="9"/>
  <c r="J128" i="9"/>
  <c r="K128" i="9"/>
  <c r="J124" i="9"/>
  <c r="K124" i="9"/>
  <c r="K120" i="9"/>
  <c r="J120" i="9"/>
  <c r="K116" i="9"/>
  <c r="J116" i="9"/>
  <c r="J112" i="9"/>
  <c r="K112" i="9"/>
  <c r="J108" i="9"/>
  <c r="K108" i="9"/>
  <c r="K104" i="9"/>
  <c r="J104" i="9"/>
  <c r="K100" i="9"/>
  <c r="J100" i="9"/>
  <c r="J96" i="9"/>
  <c r="K96" i="9"/>
  <c r="J93" i="9"/>
  <c r="K93" i="9"/>
  <c r="K90" i="9"/>
  <c r="J90" i="9"/>
  <c r="J81" i="9"/>
  <c r="K81" i="9"/>
  <c r="K78" i="9"/>
  <c r="J78" i="9"/>
  <c r="K75" i="9"/>
  <c r="J75" i="9"/>
  <c r="K72" i="9"/>
  <c r="J72" i="9"/>
  <c r="K70" i="9"/>
  <c r="J70" i="9"/>
  <c r="J65" i="9"/>
  <c r="K65" i="9"/>
  <c r="K57" i="9"/>
  <c r="J57" i="9"/>
  <c r="J49" i="9"/>
  <c r="K49" i="9"/>
  <c r="K41" i="9"/>
  <c r="J41" i="9"/>
  <c r="K35" i="9"/>
  <c r="J35" i="9"/>
  <c r="J32" i="9"/>
  <c r="K32" i="9"/>
  <c r="K30" i="9"/>
  <c r="J30" i="9"/>
  <c r="K27" i="9"/>
  <c r="J27" i="9"/>
  <c r="K24" i="9"/>
  <c r="J24" i="9"/>
  <c r="K22" i="9"/>
  <c r="J22" i="9"/>
  <c r="K19" i="9"/>
  <c r="J19" i="9"/>
  <c r="J17" i="9"/>
  <c r="K17" i="9"/>
  <c r="K15" i="9"/>
  <c r="J15" i="9"/>
  <c r="J13" i="9"/>
  <c r="K13" i="9"/>
  <c r="K489" i="9"/>
  <c r="J489" i="9"/>
  <c r="K483" i="9"/>
  <c r="J483" i="9"/>
  <c r="K473" i="9"/>
  <c r="J473" i="9"/>
  <c r="K470" i="9"/>
  <c r="J470" i="9"/>
  <c r="J443" i="9"/>
  <c r="K443" i="9"/>
  <c r="J423" i="9"/>
  <c r="K423" i="9"/>
  <c r="J407" i="9"/>
  <c r="K407" i="9"/>
  <c r="J379" i="9"/>
  <c r="K379" i="9"/>
  <c r="J367" i="9"/>
  <c r="K367" i="9"/>
  <c r="J359" i="9"/>
  <c r="K359" i="9"/>
  <c r="J351" i="9"/>
  <c r="K351" i="9"/>
  <c r="J331" i="9"/>
  <c r="K331" i="9"/>
  <c r="J315" i="9"/>
  <c r="K315" i="9"/>
  <c r="J311" i="9"/>
  <c r="K311" i="9"/>
  <c r="J299" i="9"/>
  <c r="K299" i="9"/>
  <c r="O291" i="9"/>
  <c r="K291" i="9"/>
  <c r="J291" i="9"/>
  <c r="J287" i="9"/>
  <c r="K287" i="9"/>
  <c r="K281" i="9"/>
  <c r="J281" i="9"/>
  <c r="K265" i="9"/>
  <c r="J265" i="9"/>
  <c r="J261" i="9"/>
  <c r="K261" i="9"/>
  <c r="K249" i="9"/>
  <c r="J249" i="9"/>
  <c r="K237" i="9"/>
  <c r="J237" i="9"/>
  <c r="J225" i="9"/>
  <c r="K225" i="9"/>
  <c r="K221" i="9"/>
  <c r="J221" i="9"/>
  <c r="J213" i="9"/>
  <c r="K213" i="9"/>
  <c r="K146" i="9"/>
  <c r="J146" i="9"/>
  <c r="K134" i="9"/>
  <c r="J134" i="9"/>
  <c r="K126" i="9"/>
  <c r="J126" i="9"/>
  <c r="K114" i="9"/>
  <c r="J114" i="9"/>
  <c r="K106" i="9"/>
  <c r="J106" i="9"/>
  <c r="K98" i="9"/>
  <c r="J98" i="9"/>
  <c r="K79" i="9"/>
  <c r="J79" i="9"/>
  <c r="J76" i="9"/>
  <c r="K76" i="9"/>
  <c r="J74" i="9"/>
  <c r="K74" i="9"/>
  <c r="J69" i="9"/>
  <c r="K69" i="9"/>
  <c r="J45" i="9"/>
  <c r="K45" i="9"/>
  <c r="J37" i="9"/>
  <c r="K37" i="9"/>
  <c r="K31" i="9"/>
  <c r="J31" i="9"/>
  <c r="J495" i="9"/>
  <c r="K495" i="9"/>
  <c r="K482" i="9"/>
  <c r="J482" i="9"/>
  <c r="J463" i="9"/>
  <c r="K463" i="9"/>
  <c r="K460" i="9"/>
  <c r="J460" i="9"/>
  <c r="K450" i="9"/>
  <c r="J450" i="9"/>
  <c r="K493" i="9"/>
  <c r="J493" i="9"/>
  <c r="J490" i="9"/>
  <c r="K490" i="9"/>
  <c r="J487" i="9"/>
  <c r="K487" i="9"/>
  <c r="K484" i="9"/>
  <c r="J484" i="9"/>
  <c r="K477" i="9"/>
  <c r="J477" i="9"/>
  <c r="J474" i="9"/>
  <c r="K474" i="9"/>
  <c r="J471" i="9"/>
  <c r="K471" i="9"/>
  <c r="K468" i="9"/>
  <c r="J468" i="9"/>
  <c r="K461" i="9"/>
  <c r="J461" i="9"/>
  <c r="J458" i="9"/>
  <c r="K458" i="9"/>
  <c r="J455" i="9"/>
  <c r="K455" i="9"/>
  <c r="K452" i="9"/>
  <c r="J452" i="9"/>
  <c r="K448" i="9"/>
  <c r="J448" i="9"/>
  <c r="K444" i="9"/>
  <c r="J444" i="9"/>
  <c r="K440" i="9"/>
  <c r="J440" i="9"/>
  <c r="K436" i="9"/>
  <c r="J436" i="9"/>
  <c r="K432" i="9"/>
  <c r="J432" i="9"/>
  <c r="K428" i="9"/>
  <c r="J428" i="9"/>
  <c r="K424" i="9"/>
  <c r="J424" i="9"/>
  <c r="K420" i="9"/>
  <c r="J420" i="9"/>
  <c r="K416" i="9"/>
  <c r="J416" i="9"/>
  <c r="K412" i="9"/>
  <c r="J412" i="9"/>
  <c r="K408" i="9"/>
  <c r="J408" i="9"/>
  <c r="K404" i="9"/>
  <c r="J404" i="9"/>
  <c r="K400" i="9"/>
  <c r="J400" i="9"/>
  <c r="K396" i="9"/>
  <c r="J396" i="9"/>
  <c r="K392" i="9"/>
  <c r="J392" i="9"/>
  <c r="K388" i="9"/>
  <c r="J388" i="9"/>
  <c r="K384" i="9"/>
  <c r="J384" i="9"/>
  <c r="K380" i="9"/>
  <c r="J380" i="9"/>
  <c r="K376" i="9"/>
  <c r="J376" i="9"/>
  <c r="K372" i="9"/>
  <c r="J372" i="9"/>
  <c r="K368" i="9"/>
  <c r="J368" i="9"/>
  <c r="K364" i="9"/>
  <c r="J364" i="9"/>
  <c r="K360" i="9"/>
  <c r="J360" i="9"/>
  <c r="K356" i="9"/>
  <c r="J356" i="9"/>
  <c r="K352" i="9"/>
  <c r="J352" i="9"/>
  <c r="K348" i="9"/>
  <c r="J348" i="9"/>
  <c r="K344" i="9"/>
  <c r="J344" i="9"/>
  <c r="K340" i="9"/>
  <c r="J340" i="9"/>
  <c r="K336" i="9"/>
  <c r="J336" i="9"/>
  <c r="K332" i="9"/>
  <c r="J332" i="9"/>
  <c r="K328" i="9"/>
  <c r="J328" i="9"/>
  <c r="K324" i="9"/>
  <c r="J324" i="9"/>
  <c r="K320" i="9"/>
  <c r="J320" i="9"/>
  <c r="K316" i="9"/>
  <c r="J316" i="9"/>
  <c r="K312" i="9"/>
  <c r="J312" i="9"/>
  <c r="K308" i="9"/>
  <c r="J308" i="9"/>
  <c r="K304" i="9"/>
  <c r="J304" i="9"/>
  <c r="K300" i="9"/>
  <c r="J300" i="9"/>
  <c r="K296" i="9"/>
  <c r="J296" i="9"/>
  <c r="K294" i="9"/>
  <c r="J294" i="9"/>
  <c r="K292" i="9"/>
  <c r="J292" i="9"/>
  <c r="K278" i="9"/>
  <c r="J278" i="9"/>
  <c r="J274" i="9"/>
  <c r="K274" i="9"/>
  <c r="K270" i="9"/>
  <c r="J270" i="9"/>
  <c r="J266" i="9"/>
  <c r="K266" i="9"/>
  <c r="K262" i="9"/>
  <c r="J262" i="9"/>
  <c r="J258" i="9"/>
  <c r="K258" i="9"/>
  <c r="K254" i="9"/>
  <c r="J254" i="9"/>
  <c r="K250" i="9"/>
  <c r="J250" i="9"/>
  <c r="K246" i="9"/>
  <c r="J246" i="9"/>
  <c r="K242" i="9"/>
  <c r="J242" i="9"/>
  <c r="K238" i="9"/>
  <c r="J238" i="9"/>
  <c r="J234" i="9"/>
  <c r="K234" i="9"/>
  <c r="J230" i="9"/>
  <c r="K230" i="9"/>
  <c r="K226" i="9"/>
  <c r="J226" i="9"/>
  <c r="K222" i="9"/>
  <c r="J222" i="9"/>
  <c r="K218" i="9"/>
  <c r="J218" i="9"/>
  <c r="K214" i="9"/>
  <c r="J214" i="9"/>
  <c r="K211" i="9"/>
  <c r="J211" i="9"/>
  <c r="J209" i="9"/>
  <c r="K209" i="9"/>
  <c r="K207" i="9"/>
  <c r="J207" i="9"/>
  <c r="J205" i="9"/>
  <c r="K205" i="9"/>
  <c r="K203" i="9"/>
  <c r="J203" i="9"/>
  <c r="K201" i="9"/>
  <c r="J201" i="9"/>
  <c r="K199" i="9"/>
  <c r="J199" i="9"/>
  <c r="J197" i="9"/>
  <c r="K197" i="9"/>
  <c r="K195" i="9"/>
  <c r="J195" i="9"/>
  <c r="K193" i="9"/>
  <c r="J193" i="9"/>
  <c r="K191" i="9"/>
  <c r="J191" i="9"/>
  <c r="J189" i="9"/>
  <c r="K189" i="9"/>
  <c r="J187" i="9"/>
  <c r="K187" i="9"/>
  <c r="K185" i="9"/>
  <c r="J185" i="9"/>
  <c r="K183" i="9"/>
  <c r="J183" i="9"/>
  <c r="J181" i="9"/>
  <c r="K181" i="9"/>
  <c r="K179" i="9"/>
  <c r="J179" i="9"/>
  <c r="J177" i="9"/>
  <c r="K177" i="9"/>
  <c r="J175" i="9"/>
  <c r="K175" i="9"/>
  <c r="J173" i="9"/>
  <c r="K173" i="9"/>
  <c r="K171" i="9"/>
  <c r="J171" i="9"/>
  <c r="K169" i="9"/>
  <c r="J169" i="9"/>
  <c r="K167" i="9"/>
  <c r="J167" i="9"/>
  <c r="K165" i="9"/>
  <c r="J165" i="9"/>
  <c r="K163" i="9"/>
  <c r="J163" i="9"/>
  <c r="J161" i="9"/>
  <c r="K161" i="9"/>
  <c r="K159" i="9"/>
  <c r="J159" i="9"/>
  <c r="J157" i="9"/>
  <c r="K157" i="9"/>
  <c r="K155" i="9"/>
  <c r="J155" i="9"/>
  <c r="K153" i="9"/>
  <c r="J153" i="9"/>
  <c r="K151" i="9"/>
  <c r="J151" i="9"/>
  <c r="K147" i="9"/>
  <c r="J147" i="9"/>
  <c r="K143" i="9"/>
  <c r="J143" i="9"/>
  <c r="K139" i="9"/>
  <c r="J139" i="9"/>
  <c r="K135" i="9"/>
  <c r="J135" i="9"/>
  <c r="K131" i="9"/>
  <c r="J131" i="9"/>
  <c r="K127" i="9"/>
  <c r="J127" i="9"/>
  <c r="K123" i="9"/>
  <c r="J123" i="9"/>
  <c r="K119" i="9"/>
  <c r="J119" i="9"/>
  <c r="K115" i="9"/>
  <c r="J115" i="9"/>
  <c r="K111" i="9"/>
  <c r="J111" i="9"/>
  <c r="K107" i="9"/>
  <c r="J107" i="9"/>
  <c r="K103" i="9"/>
  <c r="J103" i="9"/>
  <c r="K99" i="9"/>
  <c r="J99" i="9"/>
  <c r="K95" i="9"/>
  <c r="J95" i="9"/>
  <c r="K92" i="9"/>
  <c r="J92" i="9"/>
  <c r="K89" i="9"/>
  <c r="J89" i="9"/>
  <c r="K86" i="9"/>
  <c r="J86" i="9"/>
  <c r="K83" i="9"/>
  <c r="J83" i="9"/>
  <c r="K80" i="9"/>
  <c r="J80" i="9"/>
  <c r="J77" i="9"/>
  <c r="K77" i="9"/>
  <c r="K67" i="9"/>
  <c r="J67" i="9"/>
  <c r="J64" i="9"/>
  <c r="K64" i="9"/>
  <c r="K62" i="9"/>
  <c r="J62" i="9"/>
  <c r="K59" i="9"/>
  <c r="J59" i="9"/>
  <c r="K56" i="9"/>
  <c r="J56" i="9"/>
  <c r="K54" i="9"/>
  <c r="J54" i="9"/>
  <c r="K51" i="9"/>
  <c r="J51" i="9"/>
  <c r="K48" i="9"/>
  <c r="J48" i="9"/>
  <c r="K46" i="9"/>
  <c r="J46" i="9"/>
  <c r="K43" i="9"/>
  <c r="J43" i="9"/>
  <c r="K40" i="9"/>
  <c r="J40" i="9"/>
  <c r="K38" i="9"/>
  <c r="J38" i="9"/>
  <c r="J29" i="9"/>
  <c r="K29" i="9"/>
  <c r="J21" i="9"/>
  <c r="K21" i="9"/>
  <c r="J12" i="9"/>
  <c r="K12" i="9"/>
  <c r="AB245" i="11"/>
  <c r="AA245" i="11"/>
  <c r="Y245" i="11"/>
  <c r="AB237" i="11"/>
  <c r="AA237" i="11"/>
  <c r="Y237" i="11"/>
  <c r="AB229" i="11"/>
  <c r="AA229" i="11"/>
  <c r="Y229" i="11"/>
  <c r="AB221" i="11"/>
  <c r="AA221" i="11"/>
  <c r="Y221" i="11"/>
  <c r="AB213" i="11"/>
  <c r="AA213" i="11"/>
  <c r="Y213" i="11"/>
  <c r="AB205" i="11"/>
  <c r="AA205" i="11"/>
  <c r="Y205" i="11"/>
  <c r="AB197" i="11"/>
  <c r="AA197" i="11"/>
  <c r="Y197" i="11"/>
  <c r="AB189" i="11"/>
  <c r="AA189" i="11"/>
  <c r="Y189" i="11"/>
  <c r="AB185" i="11"/>
  <c r="AA185" i="11"/>
  <c r="Y185" i="11"/>
  <c r="AB177" i="11"/>
  <c r="AA177" i="11"/>
  <c r="Y177" i="11"/>
  <c r="AB169" i="11"/>
  <c r="AA169" i="11"/>
  <c r="Y169" i="11"/>
  <c r="AB161" i="11"/>
  <c r="AA161" i="11"/>
  <c r="Y161" i="11"/>
  <c r="AB153" i="11"/>
  <c r="AA153" i="11"/>
  <c r="Y153" i="11"/>
  <c r="AB145" i="11"/>
  <c r="AA145" i="11"/>
  <c r="Y145" i="11"/>
  <c r="AB137" i="11"/>
  <c r="AA137" i="11"/>
  <c r="Y137" i="11"/>
  <c r="AB125" i="11"/>
  <c r="AA125" i="11"/>
  <c r="Y125" i="11"/>
  <c r="AB117" i="11"/>
  <c r="AA117" i="11"/>
  <c r="Y117" i="11"/>
  <c r="AB109" i="11"/>
  <c r="AA109" i="11"/>
  <c r="Y109" i="11"/>
  <c r="AB101" i="11"/>
  <c r="AA101" i="11"/>
  <c r="Y101" i="11"/>
  <c r="AB93" i="11"/>
  <c r="AA93" i="11"/>
  <c r="Y93" i="11"/>
  <c r="AB89" i="11"/>
  <c r="AA89" i="11"/>
  <c r="Y89" i="11"/>
  <c r="AB77" i="11"/>
  <c r="AA77" i="11"/>
  <c r="Y77" i="11"/>
  <c r="AB65" i="11"/>
  <c r="AA65" i="11"/>
  <c r="Y65" i="11"/>
  <c r="AB57" i="11"/>
  <c r="AA57" i="11"/>
  <c r="Y57" i="11"/>
  <c r="AB49" i="11"/>
  <c r="AA49" i="11"/>
  <c r="Y49" i="11"/>
  <c r="AB41" i="11"/>
  <c r="AA41" i="11"/>
  <c r="Y41" i="11"/>
  <c r="AB33" i="11"/>
  <c r="AA33" i="11"/>
  <c r="Y33" i="11"/>
  <c r="AB25" i="11"/>
  <c r="AA25" i="11"/>
  <c r="Y25" i="11"/>
  <c r="AB5" i="11"/>
  <c r="Y5" i="11"/>
  <c r="AB244" i="11"/>
  <c r="AA244" i="11"/>
  <c r="Y244" i="11"/>
  <c r="AA240" i="11"/>
  <c r="AB240" i="11"/>
  <c r="Y240" i="11"/>
  <c r="AB236" i="11"/>
  <c r="AA236" i="11"/>
  <c r="Y236" i="11"/>
  <c r="AA232" i="11"/>
  <c r="AB232" i="11"/>
  <c r="Y232" i="11"/>
  <c r="AB228" i="11"/>
  <c r="AA228" i="11"/>
  <c r="Y228" i="11"/>
  <c r="AA224" i="11"/>
  <c r="AB224" i="11"/>
  <c r="Y224" i="11"/>
  <c r="AB220" i="11"/>
  <c r="AA220" i="11"/>
  <c r="Y220" i="11"/>
  <c r="AA216" i="11"/>
  <c r="AB216" i="11"/>
  <c r="Y216" i="11"/>
  <c r="AB212" i="11"/>
  <c r="AA212" i="11"/>
  <c r="Y212" i="11"/>
  <c r="AA208" i="11"/>
  <c r="AB208" i="11"/>
  <c r="Y208" i="11"/>
  <c r="AB204" i="11"/>
  <c r="AA204" i="11"/>
  <c r="Y204" i="11"/>
  <c r="AA200" i="11"/>
  <c r="AB200" i="11"/>
  <c r="Y200" i="11"/>
  <c r="AB196" i="11"/>
  <c r="AA196" i="11"/>
  <c r="Y196" i="11"/>
  <c r="AA192" i="11"/>
  <c r="AB192" i="11"/>
  <c r="Y192" i="11"/>
  <c r="AB188" i="11"/>
  <c r="AA188" i="11"/>
  <c r="Y188" i="11"/>
  <c r="AA184" i="11"/>
  <c r="AB184" i="11"/>
  <c r="Y184" i="11"/>
  <c r="AB180" i="11"/>
  <c r="AA180" i="11"/>
  <c r="Y180" i="11"/>
  <c r="AA176" i="11"/>
  <c r="AB176" i="11"/>
  <c r="Y176" i="11"/>
  <c r="AB172" i="11"/>
  <c r="AA172" i="11"/>
  <c r="Y172" i="11"/>
  <c r="AA168" i="11"/>
  <c r="AB168" i="11"/>
  <c r="Y168" i="11"/>
  <c r="AB164" i="11"/>
  <c r="AA164" i="11"/>
  <c r="Y164" i="11"/>
  <c r="AA160" i="11"/>
  <c r="AB160" i="11"/>
  <c r="Y160" i="11"/>
  <c r="AB156" i="11"/>
  <c r="AA156" i="11"/>
  <c r="Y156" i="11"/>
  <c r="AA152" i="11"/>
  <c r="AB152" i="11"/>
  <c r="Y152" i="11"/>
  <c r="AB148" i="11"/>
  <c r="AA148" i="11"/>
  <c r="Y148" i="11"/>
  <c r="AA144" i="11"/>
  <c r="AB144" i="11"/>
  <c r="Y144" i="11"/>
  <c r="AB140" i="11"/>
  <c r="AA140" i="11"/>
  <c r="Y140" i="11"/>
  <c r="AA136" i="11"/>
  <c r="AB136" i="11"/>
  <c r="Y136" i="11"/>
  <c r="AB132" i="11"/>
  <c r="AA132" i="11"/>
  <c r="Y132" i="11"/>
  <c r="AB128" i="11"/>
  <c r="AA128" i="11"/>
  <c r="Y128" i="11"/>
  <c r="AB124" i="11"/>
  <c r="AA124" i="11"/>
  <c r="Y124" i="11"/>
  <c r="AA120" i="11"/>
  <c r="AB120" i="11"/>
  <c r="Y120" i="11"/>
  <c r="AB116" i="11"/>
  <c r="AA116" i="11"/>
  <c r="Y116" i="11"/>
  <c r="AA112" i="11"/>
  <c r="AB112" i="11"/>
  <c r="Y112" i="11"/>
  <c r="AA108" i="11"/>
  <c r="AB108" i="11"/>
  <c r="Y108" i="11"/>
  <c r="AA104" i="11"/>
  <c r="AB104" i="11"/>
  <c r="Y104" i="11"/>
  <c r="AA100" i="11"/>
  <c r="AB100" i="11"/>
  <c r="Y100" i="11"/>
  <c r="AA96" i="11"/>
  <c r="AB96" i="11"/>
  <c r="Y96" i="11"/>
  <c r="AA92" i="11"/>
  <c r="AB92" i="11"/>
  <c r="Y92" i="11"/>
  <c r="AA88" i="11"/>
  <c r="AB88" i="11"/>
  <c r="Y88" i="11"/>
  <c r="AA84" i="11"/>
  <c r="AB84" i="11"/>
  <c r="Y84" i="11"/>
  <c r="AA80" i="11"/>
  <c r="AB80" i="11"/>
  <c r="Y80" i="11"/>
  <c r="AA76" i="11"/>
  <c r="AB76" i="11"/>
  <c r="Y76" i="11"/>
  <c r="AA72" i="11"/>
  <c r="AB72" i="11"/>
  <c r="Y72" i="11"/>
  <c r="AA68" i="11"/>
  <c r="AB68" i="11"/>
  <c r="Y68" i="11"/>
  <c r="AA64" i="11"/>
  <c r="AB64" i="11"/>
  <c r="Y64" i="11"/>
  <c r="AA60" i="11"/>
  <c r="AB60" i="11"/>
  <c r="Y60" i="11"/>
  <c r="AA56" i="11"/>
  <c r="AB56" i="11"/>
  <c r="Y56" i="11"/>
  <c r="AA52" i="11"/>
  <c r="AB52" i="11"/>
  <c r="Y52" i="11"/>
  <c r="AA48" i="11"/>
  <c r="AB48" i="11"/>
  <c r="Y48" i="11"/>
  <c r="AA44" i="11"/>
  <c r="AB44" i="11"/>
  <c r="Y44" i="11"/>
  <c r="AA40" i="11"/>
  <c r="AB40" i="11"/>
  <c r="Y40" i="11"/>
  <c r="AA36" i="11"/>
  <c r="AB36" i="11"/>
  <c r="Y36" i="11"/>
  <c r="AB32" i="11"/>
  <c r="AA32" i="11"/>
  <c r="Y32" i="11"/>
  <c r="AB28" i="11"/>
  <c r="AA28" i="11"/>
  <c r="Y28" i="11"/>
  <c r="AB24" i="11"/>
  <c r="AA24" i="11"/>
  <c r="Y24" i="11"/>
  <c r="AB20" i="11"/>
  <c r="AA20" i="11"/>
  <c r="Y20" i="11"/>
  <c r="AB12" i="11"/>
  <c r="AA12" i="11"/>
  <c r="Y12" i="11"/>
  <c r="AB241" i="11"/>
  <c r="AA241" i="11"/>
  <c r="Y241" i="11"/>
  <c r="AB233" i="11"/>
  <c r="AA233" i="11"/>
  <c r="Y233" i="11"/>
  <c r="AB225" i="11"/>
  <c r="AA225" i="11"/>
  <c r="Y225" i="11"/>
  <c r="AB217" i="11"/>
  <c r="AA217" i="11"/>
  <c r="Y217" i="11"/>
  <c r="AB209" i="11"/>
  <c r="AA209" i="11"/>
  <c r="Y209" i="11"/>
  <c r="AB201" i="11"/>
  <c r="AA201" i="11"/>
  <c r="Y201" i="11"/>
  <c r="AB193" i="11"/>
  <c r="AA193" i="11"/>
  <c r="Y193" i="11"/>
  <c r="AB181" i="11"/>
  <c r="AA181" i="11"/>
  <c r="Y181" i="11"/>
  <c r="AB173" i="11"/>
  <c r="AA173" i="11"/>
  <c r="Y173" i="11"/>
  <c r="AB165" i="11"/>
  <c r="AA165" i="11"/>
  <c r="Y165" i="11"/>
  <c r="AB157" i="11"/>
  <c r="AA157" i="11"/>
  <c r="Y157" i="11"/>
  <c r="AB149" i="11"/>
  <c r="AA149" i="11"/>
  <c r="Y149" i="11"/>
  <c r="AB141" i="11"/>
  <c r="AA141" i="11"/>
  <c r="Y141" i="11"/>
  <c r="AB133" i="11"/>
  <c r="AA133" i="11"/>
  <c r="Y133" i="11"/>
  <c r="AB129" i="11"/>
  <c r="AA129" i="11"/>
  <c r="Y129" i="11"/>
  <c r="AB121" i="11"/>
  <c r="AA121" i="11"/>
  <c r="Y121" i="11"/>
  <c r="AB113" i="11"/>
  <c r="AA113" i="11"/>
  <c r="Y113" i="11"/>
  <c r="AB105" i="11"/>
  <c r="AA105" i="11"/>
  <c r="Y105" i="11"/>
  <c r="AB97" i="11"/>
  <c r="AA97" i="11"/>
  <c r="Y97" i="11"/>
  <c r="AB85" i="11"/>
  <c r="AA85" i="11"/>
  <c r="Y85" i="11"/>
  <c r="AB81" i="11"/>
  <c r="AA81" i="11"/>
  <c r="Y81" i="11"/>
  <c r="AB73" i="11"/>
  <c r="AA73" i="11"/>
  <c r="Y73" i="11"/>
  <c r="AB69" i="11"/>
  <c r="AA69" i="11"/>
  <c r="Y69" i="11"/>
  <c r="AB61" i="11"/>
  <c r="AA61" i="11"/>
  <c r="Y61" i="11"/>
  <c r="AB53" i="11"/>
  <c r="AA53" i="11"/>
  <c r="Y53" i="11"/>
  <c r="AB45" i="11"/>
  <c r="AA45" i="11"/>
  <c r="Y45" i="11"/>
  <c r="AB37" i="11"/>
  <c r="AA37" i="11"/>
  <c r="Y37" i="11"/>
  <c r="AB29" i="11"/>
  <c r="AA29" i="11"/>
  <c r="Y29" i="11"/>
  <c r="AB21" i="11"/>
  <c r="AA21" i="11"/>
  <c r="Y21" i="11"/>
  <c r="AB13" i="11"/>
  <c r="AA13" i="11"/>
  <c r="Y13" i="11"/>
  <c r="AA247" i="11"/>
  <c r="AB247" i="11"/>
  <c r="Y247" i="11"/>
  <c r="AB243" i="11"/>
  <c r="AA243" i="11"/>
  <c r="Y243" i="11"/>
  <c r="AB239" i="11"/>
  <c r="AA239" i="11"/>
  <c r="Y239" i="11"/>
  <c r="AB235" i="11"/>
  <c r="AA235" i="11"/>
  <c r="Y235" i="11"/>
  <c r="AB231" i="11"/>
  <c r="AA231" i="11"/>
  <c r="Y231" i="11"/>
  <c r="AB227" i="11"/>
  <c r="AA227" i="11"/>
  <c r="Y227" i="11"/>
  <c r="AA223" i="11"/>
  <c r="AB223" i="11"/>
  <c r="Y223" i="11"/>
  <c r="AB219" i="11"/>
  <c r="AA219" i="11"/>
  <c r="Y219" i="11"/>
  <c r="AA215" i="11"/>
  <c r="AB215" i="11"/>
  <c r="Y215" i="11"/>
  <c r="AB211" i="11"/>
  <c r="AA211" i="11"/>
  <c r="Y211" i="11"/>
  <c r="AB207" i="11"/>
  <c r="AA207" i="11"/>
  <c r="Y207" i="11"/>
  <c r="AB203" i="11"/>
  <c r="AA203" i="11"/>
  <c r="Y203" i="11"/>
  <c r="AB199" i="11"/>
  <c r="AA199" i="11"/>
  <c r="Y199" i="11"/>
  <c r="AB195" i="11"/>
  <c r="AA195" i="11"/>
  <c r="Y195" i="11"/>
  <c r="AA191" i="11"/>
  <c r="AB191" i="11"/>
  <c r="Y191" i="11"/>
  <c r="AB187" i="11"/>
  <c r="AA187" i="11"/>
  <c r="Y187" i="11"/>
  <c r="AA183" i="11"/>
  <c r="Y183" i="11"/>
  <c r="AB183" i="11"/>
  <c r="AB179" i="11"/>
  <c r="AA179" i="11"/>
  <c r="Y179" i="11"/>
  <c r="AB175" i="11"/>
  <c r="AA175" i="11"/>
  <c r="Y175" i="11"/>
  <c r="AB171" i="11"/>
  <c r="AA171" i="11"/>
  <c r="Y171" i="11"/>
  <c r="AB167" i="11"/>
  <c r="AA167" i="11"/>
  <c r="Y167" i="11"/>
  <c r="AB163" i="11"/>
  <c r="AA163" i="11"/>
  <c r="Y163" i="11"/>
  <c r="AA159" i="11"/>
  <c r="AB159" i="11"/>
  <c r="Y159" i="11"/>
  <c r="AB155" i="11"/>
  <c r="AA155" i="11"/>
  <c r="Y155" i="11"/>
  <c r="AA151" i="11"/>
  <c r="Y151" i="11"/>
  <c r="AB151" i="11"/>
  <c r="AB147" i="11"/>
  <c r="AA147" i="11"/>
  <c r="Y147" i="11"/>
  <c r="AB143" i="11"/>
  <c r="AA143" i="11"/>
  <c r="Y143" i="11"/>
  <c r="AB139" i="11"/>
  <c r="Y139" i="11"/>
  <c r="AA139" i="11"/>
  <c r="AA135" i="11"/>
  <c r="AB135" i="11"/>
  <c r="Y135" i="11"/>
  <c r="AB131" i="11"/>
  <c r="AA131" i="11"/>
  <c r="Y131" i="11"/>
  <c r="AA127" i="11"/>
  <c r="AB127" i="11"/>
  <c r="Y127" i="11"/>
  <c r="AB123" i="11"/>
  <c r="AA123" i="11"/>
  <c r="Y123" i="11"/>
  <c r="AA119" i="11"/>
  <c r="Y119" i="11"/>
  <c r="AB119" i="11"/>
  <c r="AB115" i="11"/>
  <c r="AA115" i="11"/>
  <c r="Y115" i="11"/>
  <c r="AB111" i="11"/>
  <c r="AA111" i="11"/>
  <c r="Y111" i="11"/>
  <c r="AB107" i="11"/>
  <c r="AA107" i="11"/>
  <c r="Y107" i="11"/>
  <c r="AB103" i="11"/>
  <c r="AA103" i="11"/>
  <c r="Y103" i="11"/>
  <c r="AB99" i="11"/>
  <c r="AA99" i="11"/>
  <c r="Y99" i="11"/>
  <c r="AA95" i="11"/>
  <c r="AB95" i="11"/>
  <c r="Y95" i="11"/>
  <c r="AB91" i="11"/>
  <c r="AA91" i="11"/>
  <c r="Y91" i="11"/>
  <c r="AB87" i="11"/>
  <c r="AA87" i="11"/>
  <c r="Y87" i="11"/>
  <c r="AB83" i="11"/>
  <c r="AA83" i="11"/>
  <c r="Y83" i="11"/>
  <c r="AB79" i="11"/>
  <c r="AA79" i="11"/>
  <c r="Y79" i="11"/>
  <c r="AB75" i="11"/>
  <c r="AA75" i="11"/>
  <c r="Y75" i="11"/>
  <c r="AB71" i="11"/>
  <c r="AA71" i="11"/>
  <c r="Y71" i="11"/>
  <c r="AB67" i="11"/>
  <c r="AA67" i="11"/>
  <c r="Y67" i="11"/>
  <c r="AA63" i="11"/>
  <c r="AB63" i="11"/>
  <c r="Y63" i="11"/>
  <c r="AB59" i="11"/>
  <c r="AA59" i="11"/>
  <c r="Y59" i="11"/>
  <c r="Y55" i="11"/>
  <c r="AB55" i="11"/>
  <c r="AA55" i="11"/>
  <c r="AB51" i="11"/>
  <c r="AA51" i="11"/>
  <c r="Y51" i="11"/>
  <c r="AB47" i="11"/>
  <c r="AA47" i="11"/>
  <c r="Y47" i="11"/>
  <c r="AB43" i="11"/>
  <c r="AA43" i="11"/>
  <c r="Y43" i="11"/>
  <c r="AB39" i="11"/>
  <c r="AA39" i="11"/>
  <c r="Y39" i="11"/>
  <c r="AB35" i="11"/>
  <c r="AA35" i="11"/>
  <c r="Y35" i="11"/>
  <c r="AA31" i="11"/>
  <c r="AB31" i="11"/>
  <c r="Y31" i="11"/>
  <c r="AB27" i="11"/>
  <c r="AA27" i="11"/>
  <c r="Y27" i="11"/>
  <c r="AA23" i="11"/>
  <c r="Y23" i="11"/>
  <c r="AB23" i="11"/>
  <c r="AB11" i="11"/>
  <c r="AA11" i="11"/>
  <c r="Y11" i="11"/>
  <c r="AB246" i="11"/>
  <c r="AA246" i="11"/>
  <c r="Y246" i="11"/>
  <c r="AB242" i="11"/>
  <c r="AA242" i="11"/>
  <c r="Y242" i="11"/>
  <c r="AB238" i="11"/>
  <c r="AA238" i="11"/>
  <c r="Y238" i="11"/>
  <c r="AB234" i="11"/>
  <c r="AA234" i="11"/>
  <c r="Y234" i="11"/>
  <c r="AB230" i="11"/>
  <c r="AA230" i="11"/>
  <c r="Y230" i="11"/>
  <c r="AB226" i="11"/>
  <c r="AA226" i="11"/>
  <c r="Y226" i="11"/>
  <c r="AB222" i="11"/>
  <c r="AA222" i="11"/>
  <c r="Y222" i="11"/>
  <c r="AB218" i="11"/>
  <c r="AA218" i="11"/>
  <c r="Y218" i="11"/>
  <c r="AB214" i="11"/>
  <c r="AA214" i="11"/>
  <c r="Y214" i="11"/>
  <c r="AB210" i="11"/>
  <c r="AA210" i="11"/>
  <c r="Y210" i="11"/>
  <c r="AB206" i="11"/>
  <c r="AA206" i="11"/>
  <c r="Y206" i="11"/>
  <c r="AB202" i="11"/>
  <c r="AA202" i="11"/>
  <c r="Y202" i="11"/>
  <c r="AB198" i="11"/>
  <c r="AA198" i="11"/>
  <c r="Y198" i="11"/>
  <c r="AB194" i="11"/>
  <c r="AA194" i="11"/>
  <c r="Y194" i="11"/>
  <c r="AB190" i="11"/>
  <c r="AA190" i="11"/>
  <c r="Y190" i="11"/>
  <c r="AB186" i="11"/>
  <c r="AA186" i="11"/>
  <c r="Y186" i="11"/>
  <c r="AB182" i="11"/>
  <c r="AA182" i="11"/>
  <c r="Y182" i="11"/>
  <c r="AB178" i="11"/>
  <c r="AA178" i="11"/>
  <c r="Y178" i="11"/>
  <c r="AB174" i="11"/>
  <c r="AA174" i="11"/>
  <c r="Y174" i="11"/>
  <c r="AB170" i="11"/>
  <c r="AA170" i="11"/>
  <c r="Y170" i="11"/>
  <c r="AB166" i="11"/>
  <c r="AA166" i="11"/>
  <c r="Y166" i="11"/>
  <c r="AB162" i="11"/>
  <c r="AA162" i="11"/>
  <c r="Y162" i="11"/>
  <c r="AB158" i="11"/>
  <c r="AA158" i="11"/>
  <c r="Y158" i="11"/>
  <c r="AB154" i="11"/>
  <c r="AA154" i="11"/>
  <c r="Y154" i="11"/>
  <c r="AB150" i="11"/>
  <c r="AA150" i="11"/>
  <c r="Y150" i="11"/>
  <c r="AB146" i="11"/>
  <c r="AA146" i="11"/>
  <c r="Y146" i="11"/>
  <c r="AB142" i="11"/>
  <c r="AA142" i="11"/>
  <c r="Y142" i="11"/>
  <c r="AB138" i="11"/>
  <c r="AA138" i="11"/>
  <c r="Y138" i="11"/>
  <c r="AB134" i="11"/>
  <c r="AA134" i="11"/>
  <c r="Y134" i="11"/>
  <c r="AB130" i="11"/>
  <c r="AA130" i="11"/>
  <c r="Y130" i="11"/>
  <c r="AB126" i="11"/>
  <c r="AA126" i="11"/>
  <c r="Y126" i="11"/>
  <c r="AB122" i="11"/>
  <c r="AA122" i="11"/>
  <c r="Y122" i="11"/>
  <c r="AB118" i="11"/>
  <c r="AA118" i="11"/>
  <c r="Y118" i="11"/>
  <c r="AB114" i="11"/>
  <c r="AA114" i="11"/>
  <c r="Y114" i="11"/>
  <c r="AB110" i="11"/>
  <c r="AA110" i="11"/>
  <c r="Y110" i="11"/>
  <c r="AB106" i="11"/>
  <c r="AA106" i="11"/>
  <c r="Y106" i="11"/>
  <c r="AB102" i="11"/>
  <c r="AA102" i="11"/>
  <c r="Y102" i="11"/>
  <c r="AB98" i="11"/>
  <c r="AA98" i="11"/>
  <c r="Y98" i="11"/>
  <c r="AB94" i="11"/>
  <c r="AA94" i="11"/>
  <c r="Y94" i="11"/>
  <c r="AB90" i="11"/>
  <c r="AA90" i="11"/>
  <c r="Y90" i="11"/>
  <c r="AB86" i="11"/>
  <c r="AA86" i="11"/>
  <c r="Y86" i="11"/>
  <c r="AB82" i="11"/>
  <c r="AA82" i="11"/>
  <c r="Y82" i="11"/>
  <c r="AB78" i="11"/>
  <c r="AA78" i="11"/>
  <c r="Y78" i="11"/>
  <c r="AB74" i="11"/>
  <c r="AA74" i="11"/>
  <c r="Y74" i="11"/>
  <c r="AB70" i="11"/>
  <c r="AA70" i="11"/>
  <c r="Y70" i="11"/>
  <c r="AB66" i="11"/>
  <c r="AA66" i="11"/>
  <c r="Y66" i="11"/>
  <c r="AB62" i="11"/>
  <c r="AA62" i="11"/>
  <c r="Y62" i="11"/>
  <c r="AB58" i="11"/>
  <c r="AA58" i="11"/>
  <c r="Y58" i="11"/>
  <c r="AB54" i="11"/>
  <c r="AA54" i="11"/>
  <c r="Y54" i="11"/>
  <c r="AB50" i="11"/>
  <c r="AA50" i="11"/>
  <c r="Y50" i="11"/>
  <c r="AB46" i="11"/>
  <c r="AA46" i="11"/>
  <c r="Y46" i="11"/>
  <c r="AB42" i="11"/>
  <c r="AA42" i="11"/>
  <c r="Y42" i="11"/>
  <c r="AB38" i="11"/>
  <c r="AA38" i="11"/>
  <c r="Y38" i="11"/>
  <c r="AB34" i="11"/>
  <c r="AA34" i="11"/>
  <c r="Y34" i="11"/>
  <c r="AB30" i="11"/>
  <c r="AA30" i="11"/>
  <c r="Y30" i="11"/>
  <c r="AB26" i="11"/>
  <c r="AA26" i="11"/>
  <c r="Y26" i="11"/>
  <c r="AB22" i="11"/>
  <c r="AA22" i="11"/>
  <c r="Y22" i="11"/>
  <c r="AB18" i="11"/>
  <c r="AA18" i="11"/>
  <c r="Y18" i="11"/>
  <c r="AB10" i="11"/>
  <c r="AA10" i="11"/>
  <c r="Y10" i="11"/>
  <c r="L179" i="11"/>
  <c r="L174" i="11"/>
  <c r="L147" i="11"/>
  <c r="L104" i="11"/>
  <c r="L142" i="11"/>
  <c r="L134" i="11"/>
  <c r="L138" i="11"/>
  <c r="J30" i="12"/>
  <c r="J6" i="12"/>
  <c r="J289" i="12"/>
  <c r="J241" i="12"/>
  <c r="J225" i="12"/>
  <c r="J193" i="12"/>
  <c r="J177" i="12"/>
  <c r="J161" i="12"/>
  <c r="J113" i="12"/>
  <c r="J97" i="12"/>
  <c r="J49" i="12"/>
  <c r="J9" i="12"/>
  <c r="J273" i="12"/>
  <c r="J257" i="12"/>
  <c r="J209" i="12"/>
  <c r="J145" i="12"/>
  <c r="J129" i="12"/>
  <c r="J81" i="12"/>
  <c r="J65" i="12"/>
  <c r="J295" i="12"/>
  <c r="J279" i="12"/>
  <c r="J255" i="12"/>
  <c r="J297" i="12"/>
  <c r="J281" i="12"/>
  <c r="J265" i="12"/>
  <c r="J249" i="12"/>
  <c r="J233" i="12"/>
  <c r="J217" i="12"/>
  <c r="J201" i="12"/>
  <c r="J185" i="12"/>
  <c r="J169" i="12"/>
  <c r="J153" i="12"/>
  <c r="J137" i="12"/>
  <c r="J121" i="12"/>
  <c r="J105" i="12"/>
  <c r="J89" i="12"/>
  <c r="J73" i="12"/>
  <c r="J57" i="12"/>
  <c r="J41" i="12"/>
  <c r="J25" i="12"/>
  <c r="J304" i="12"/>
  <c r="J296" i="12"/>
  <c r="J292" i="12"/>
  <c r="J284" i="12"/>
  <c r="J276" i="12"/>
  <c r="J268" i="12"/>
  <c r="J264" i="12"/>
  <c r="J252" i="12"/>
  <c r="J248" i="12"/>
  <c r="J236" i="12"/>
  <c r="J228" i="12"/>
  <c r="J220" i="12"/>
  <c r="J216" i="12"/>
  <c r="J208" i="12"/>
  <c r="J200" i="12"/>
  <c r="J192" i="12"/>
  <c r="J184" i="12"/>
  <c r="J176" i="12"/>
  <c r="J168" i="12"/>
  <c r="J160" i="12"/>
  <c r="J148" i="12"/>
  <c r="J140" i="12"/>
  <c r="J132" i="12"/>
  <c r="J124" i="12"/>
  <c r="J116" i="12"/>
  <c r="J108" i="12"/>
  <c r="J100" i="12"/>
  <c r="J92" i="12"/>
  <c r="J84" i="12"/>
  <c r="J80" i="12"/>
  <c r="J72" i="12"/>
  <c r="J68" i="12"/>
  <c r="J64" i="12"/>
  <c r="J60" i="12"/>
  <c r="J56" i="12"/>
  <c r="J52" i="12"/>
  <c r="J48" i="12"/>
  <c r="J44" i="12"/>
  <c r="J36" i="12"/>
  <c r="J24" i="12"/>
  <c r="J16" i="12"/>
  <c r="J12" i="12"/>
  <c r="J4" i="12"/>
  <c r="J206" i="12"/>
  <c r="J299" i="12"/>
  <c r="J287" i="12"/>
  <c r="J263" i="12"/>
  <c r="I307" i="12"/>
  <c r="J298" i="12"/>
  <c r="J282" i="12"/>
  <c r="J266" i="12"/>
  <c r="J250" i="12"/>
  <c r="J234" i="12"/>
  <c r="J218" i="12"/>
  <c r="J202" i="12"/>
  <c r="J186" i="12"/>
  <c r="J170" i="12"/>
  <c r="J154" i="12"/>
  <c r="J138" i="12"/>
  <c r="J122" i="12"/>
  <c r="J106" i="12"/>
  <c r="J98" i="12"/>
  <c r="J74" i="12"/>
  <c r="J66" i="12"/>
  <c r="J50" i="12"/>
  <c r="K3" i="12"/>
  <c r="J294" i="12"/>
  <c r="J278" i="12"/>
  <c r="J262" i="12"/>
  <c r="J246" i="12"/>
  <c r="J230" i="12"/>
  <c r="J214" i="12"/>
  <c r="J198" i="12"/>
  <c r="J182" i="12"/>
  <c r="J166" i="12"/>
  <c r="J150" i="12"/>
  <c r="J134" i="12"/>
  <c r="J118" i="12"/>
  <c r="J102" i="12"/>
  <c r="J86" i="12"/>
  <c r="J70" i="12"/>
  <c r="J54" i="12"/>
  <c r="J38" i="12"/>
  <c r="J22" i="12"/>
  <c r="J300" i="12"/>
  <c r="J288" i="12"/>
  <c r="J280" i="12"/>
  <c r="J272" i="12"/>
  <c r="J260" i="12"/>
  <c r="J256" i="12"/>
  <c r="J244" i="12"/>
  <c r="J240" i="12"/>
  <c r="J232" i="12"/>
  <c r="J224" i="12"/>
  <c r="J212" i="12"/>
  <c r="J204" i="12"/>
  <c r="J196" i="12"/>
  <c r="J188" i="12"/>
  <c r="J180" i="12"/>
  <c r="J172" i="12"/>
  <c r="J164" i="12"/>
  <c r="J156" i="12"/>
  <c r="J152" i="12"/>
  <c r="J144" i="12"/>
  <c r="J136" i="12"/>
  <c r="J128" i="12"/>
  <c r="J120" i="12"/>
  <c r="J112" i="12"/>
  <c r="J104" i="12"/>
  <c r="J96" i="12"/>
  <c r="J88" i="12"/>
  <c r="J76" i="12"/>
  <c r="J40" i="12"/>
  <c r="J32" i="12"/>
  <c r="J28" i="12"/>
  <c r="J20" i="12"/>
  <c r="J8" i="12"/>
  <c r="J302" i="12"/>
  <c r="J286" i="12"/>
  <c r="J270" i="12"/>
  <c r="J254" i="12"/>
  <c r="J238" i="12"/>
  <c r="J222" i="12"/>
  <c r="J190" i="12"/>
  <c r="J174" i="12"/>
  <c r="J158" i="12"/>
  <c r="J142" i="12"/>
  <c r="J126" i="12"/>
  <c r="J110" i="12"/>
  <c r="J94" i="12"/>
  <c r="J78" i="12"/>
  <c r="J62" i="12"/>
  <c r="J46" i="12"/>
  <c r="J14" i="12"/>
  <c r="J303" i="12"/>
  <c r="J291" i="12"/>
  <c r="J283" i="12"/>
  <c r="J275" i="12"/>
  <c r="J271" i="12"/>
  <c r="J267" i="12"/>
  <c r="J259" i="12"/>
  <c r="J251" i="12"/>
  <c r="J239" i="12"/>
  <c r="J290" i="12"/>
  <c r="J274" i="12"/>
  <c r="J258" i="12"/>
  <c r="J242" i="12"/>
  <c r="J226" i="12"/>
  <c r="J210" i="12"/>
  <c r="J194" i="12"/>
  <c r="J178" i="12"/>
  <c r="J162" i="12"/>
  <c r="J146" i="12"/>
  <c r="J130" i="12"/>
  <c r="J114" i="12"/>
  <c r="J90" i="12"/>
  <c r="J82" i="12"/>
  <c r="J58" i="12"/>
  <c r="J42" i="12"/>
  <c r="I306" i="12"/>
  <c r="I305" i="12"/>
  <c r="K40" i="12" s="1"/>
  <c r="J301" i="12"/>
  <c r="J293" i="12"/>
  <c r="J285" i="12"/>
  <c r="J277" i="12"/>
  <c r="J269" i="12"/>
  <c r="J261" i="12"/>
  <c r="J253" i="12"/>
  <c r="J245" i="12"/>
  <c r="J237" i="12"/>
  <c r="J229" i="12"/>
  <c r="J221" i="12"/>
  <c r="J213" i="12"/>
  <c r="J205" i="12"/>
  <c r="J197" i="12"/>
  <c r="J189" i="12"/>
  <c r="J181" i="12"/>
  <c r="J173" i="12"/>
  <c r="J165" i="12"/>
  <c r="J157" i="12"/>
  <c r="J149" i="12"/>
  <c r="J141" i="12"/>
  <c r="J133" i="12"/>
  <c r="J125" i="12"/>
  <c r="J117" i="12"/>
  <c r="J109" i="12"/>
  <c r="J101" i="12"/>
  <c r="J93" i="12"/>
  <c r="J85" i="12"/>
  <c r="J77" i="12"/>
  <c r="J69" i="12"/>
  <c r="J61" i="12"/>
  <c r="J53" i="12"/>
  <c r="J45" i="12"/>
  <c r="K37" i="12"/>
  <c r="J37" i="12"/>
  <c r="J29" i="12"/>
  <c r="J21" i="12"/>
  <c r="K17" i="12"/>
  <c r="J13" i="12"/>
  <c r="K5" i="12"/>
  <c r="J5" i="12"/>
  <c r="K286" i="12"/>
  <c r="K158" i="12"/>
  <c r="K19" i="12"/>
  <c r="J3" i="12"/>
  <c r="J33" i="12"/>
  <c r="J17" i="12"/>
  <c r="J247" i="12"/>
  <c r="J243" i="12"/>
  <c r="J235" i="12"/>
  <c r="J231" i="12"/>
  <c r="J227" i="12"/>
  <c r="J223" i="12"/>
  <c r="J219" i="12"/>
  <c r="J215" i="12"/>
  <c r="J211" i="12"/>
  <c r="J207" i="12"/>
  <c r="J203" i="12"/>
  <c r="J199" i="12"/>
  <c r="J195" i="12"/>
  <c r="J191" i="12"/>
  <c r="J187" i="12"/>
  <c r="J183" i="12"/>
  <c r="J179" i="12"/>
  <c r="J175" i="12"/>
  <c r="J171" i="12"/>
  <c r="J167" i="12"/>
  <c r="J163" i="12"/>
  <c r="J159" i="12"/>
  <c r="J155" i="12"/>
  <c r="J151" i="12"/>
  <c r="J147" i="12"/>
  <c r="J143" i="12"/>
  <c r="J139" i="12"/>
  <c r="J135" i="12"/>
  <c r="J131" i="12"/>
  <c r="J127" i="12"/>
  <c r="J123" i="12"/>
  <c r="J119" i="12"/>
  <c r="J115" i="12"/>
  <c r="J111" i="12"/>
  <c r="J107" i="12"/>
  <c r="J103" i="12"/>
  <c r="J99" i="12"/>
  <c r="J95" i="12"/>
  <c r="J91" i="12"/>
  <c r="J87" i="12"/>
  <c r="J83" i="12"/>
  <c r="J79" i="12"/>
  <c r="J75" i="12"/>
  <c r="J71" i="12"/>
  <c r="J67" i="12"/>
  <c r="J63" i="12"/>
  <c r="J59" i="12"/>
  <c r="J55" i="12"/>
  <c r="J51" i="12"/>
  <c r="J47" i="12"/>
  <c r="J43" i="12"/>
  <c r="J39" i="12"/>
  <c r="J35" i="12"/>
  <c r="J31" i="12"/>
  <c r="J27" i="12"/>
  <c r="J23" i="12"/>
  <c r="J19" i="12"/>
  <c r="J15" i="12"/>
  <c r="J11" i="12"/>
  <c r="J7" i="12"/>
  <c r="K39" i="12"/>
  <c r="K235" i="12"/>
  <c r="K171" i="12"/>
  <c r="K107" i="12"/>
  <c r="K43" i="12"/>
  <c r="J34" i="12"/>
  <c r="J26" i="12"/>
  <c r="J18" i="12"/>
  <c r="J10" i="12"/>
  <c r="K39" i="11"/>
  <c r="K125" i="11"/>
  <c r="I250" i="11"/>
  <c r="L19" i="11"/>
  <c r="J160" i="11"/>
  <c r="J152" i="11"/>
  <c r="J144" i="11"/>
  <c r="J112" i="11"/>
  <c r="L105" i="11"/>
  <c r="K48" i="11"/>
  <c r="K20" i="11"/>
  <c r="K230" i="11"/>
  <c r="K210" i="11"/>
  <c r="K182" i="11"/>
  <c r="K84" i="11"/>
  <c r="K154" i="11"/>
  <c r="K130" i="11"/>
  <c r="K102" i="11"/>
  <c r="L184" i="11"/>
  <c r="L200" i="11"/>
  <c r="J240" i="11"/>
  <c r="J176" i="11"/>
  <c r="K168" i="11"/>
  <c r="I248" i="11"/>
  <c r="J20" i="10"/>
  <c r="J12" i="10"/>
  <c r="J26" i="10"/>
  <c r="J30" i="10"/>
  <c r="J34" i="10"/>
  <c r="J38" i="10"/>
  <c r="J42" i="10"/>
  <c r="J46" i="10"/>
  <c r="J50" i="10"/>
  <c r="J54" i="10"/>
  <c r="J58" i="10"/>
  <c r="J62" i="10"/>
  <c r="J66" i="10"/>
  <c r="J70" i="10"/>
  <c r="J74" i="10"/>
  <c r="J78" i="10"/>
  <c r="J82" i="10"/>
  <c r="J86" i="10"/>
  <c r="J90" i="10"/>
  <c r="J94" i="10"/>
  <c r="J98" i="10"/>
  <c r="J102" i="10"/>
  <c r="J106" i="10"/>
  <c r="J110" i="10"/>
  <c r="J114" i="10"/>
  <c r="J118" i="10"/>
  <c r="J122" i="10"/>
  <c r="J126" i="10"/>
  <c r="J130" i="10"/>
  <c r="J134" i="10"/>
  <c r="J138" i="10"/>
  <c r="J142" i="10"/>
  <c r="J146" i="10"/>
  <c r="J150" i="10"/>
  <c r="J154" i="10"/>
  <c r="J158" i="10"/>
  <c r="J23" i="10"/>
  <c r="J27" i="10"/>
  <c r="J31" i="10"/>
  <c r="J35" i="10"/>
  <c r="J39" i="10"/>
  <c r="J43" i="10"/>
  <c r="J47" i="10"/>
  <c r="J51" i="10"/>
  <c r="J55" i="10"/>
  <c r="J59" i="10"/>
  <c r="J63" i="10"/>
  <c r="J67" i="10"/>
  <c r="J71" i="10"/>
  <c r="J75" i="10"/>
  <c r="J79" i="10"/>
  <c r="J83" i="10"/>
  <c r="J87" i="10"/>
  <c r="J91" i="10"/>
  <c r="J95" i="10"/>
  <c r="J99" i="10"/>
  <c r="J103" i="10"/>
  <c r="J107" i="10"/>
  <c r="J111" i="10"/>
  <c r="J115" i="10"/>
  <c r="J119" i="10"/>
  <c r="J123" i="10"/>
  <c r="J127" i="10"/>
  <c r="J131" i="10"/>
  <c r="J135" i="10"/>
  <c r="J139" i="10"/>
  <c r="J143" i="10"/>
  <c r="J147" i="10"/>
  <c r="J151" i="10"/>
  <c r="J155" i="10"/>
  <c r="J159" i="10"/>
  <c r="K3" i="10"/>
  <c r="J5" i="10"/>
  <c r="J13" i="10"/>
  <c r="J25" i="10"/>
  <c r="J33" i="10"/>
  <c r="J41" i="10"/>
  <c r="J49" i="10"/>
  <c r="J4" i="10"/>
  <c r="J24" i="10"/>
  <c r="J28" i="10"/>
  <c r="J32" i="10"/>
  <c r="J36" i="10"/>
  <c r="J40" i="10"/>
  <c r="J44" i="10"/>
  <c r="J48" i="10"/>
  <c r="J52" i="10"/>
  <c r="J56" i="10"/>
  <c r="J60" i="10"/>
  <c r="J64" i="10"/>
  <c r="J68" i="10"/>
  <c r="J72" i="10"/>
  <c r="J76" i="10"/>
  <c r="J80" i="10"/>
  <c r="J84" i="10"/>
  <c r="J88" i="10"/>
  <c r="J92" i="10"/>
  <c r="J96" i="10"/>
  <c r="J100" i="10"/>
  <c r="J104" i="10"/>
  <c r="J108" i="10"/>
  <c r="J112" i="10"/>
  <c r="J116" i="10"/>
  <c r="J120" i="10"/>
  <c r="J124" i="10"/>
  <c r="J128" i="10"/>
  <c r="J132" i="10"/>
  <c r="J136" i="10"/>
  <c r="J140" i="10"/>
  <c r="J144" i="10"/>
  <c r="J148" i="10"/>
  <c r="J152" i="10"/>
  <c r="J156" i="10"/>
  <c r="J160" i="10"/>
  <c r="J9" i="10"/>
  <c r="J17" i="10"/>
  <c r="J21" i="10"/>
  <c r="J29" i="10"/>
  <c r="J37" i="10"/>
  <c r="J45" i="10"/>
  <c r="J137" i="10"/>
  <c r="J57" i="10"/>
  <c r="J11" i="10"/>
  <c r="J149" i="10"/>
  <c r="J133" i="10"/>
  <c r="J117" i="10"/>
  <c r="J101" i="10"/>
  <c r="J85" i="10"/>
  <c r="J69" i="10"/>
  <c r="J53" i="10"/>
  <c r="J16" i="10"/>
  <c r="J8" i="10"/>
  <c r="J153" i="10"/>
  <c r="J121" i="10"/>
  <c r="J89" i="10"/>
  <c r="J22" i="10"/>
  <c r="J18" i="10"/>
  <c r="J14" i="10"/>
  <c r="J10" i="10"/>
  <c r="J6" i="10"/>
  <c r="J3" i="10"/>
  <c r="J145" i="10"/>
  <c r="J129" i="10"/>
  <c r="J113" i="10"/>
  <c r="J97" i="10"/>
  <c r="J81" i="10"/>
  <c r="J65" i="10"/>
  <c r="J105" i="10"/>
  <c r="J73" i="10"/>
  <c r="J19" i="10"/>
  <c r="J15" i="10"/>
  <c r="J7" i="10"/>
  <c r="J157" i="10"/>
  <c r="J141" i="10"/>
  <c r="J125" i="10"/>
  <c r="J109" i="10"/>
  <c r="J93" i="10"/>
  <c r="J77" i="10"/>
  <c r="J61" i="10"/>
  <c r="O452" i="9"/>
  <c r="O448" i="9"/>
  <c r="O399" i="9"/>
  <c r="O391" i="9"/>
  <c r="O367" i="9"/>
  <c r="O148" i="9"/>
  <c r="O140" i="9"/>
  <c r="O132" i="9"/>
  <c r="O124" i="9"/>
  <c r="O116" i="9"/>
  <c r="O104" i="9"/>
  <c r="O497" i="9"/>
  <c r="O493" i="9"/>
  <c r="O489" i="9"/>
  <c r="O485" i="9"/>
  <c r="O481" i="9"/>
  <c r="O477" i="9"/>
  <c r="O473" i="9"/>
  <c r="O469" i="9"/>
  <c r="O465" i="9"/>
  <c r="O461" i="9"/>
  <c r="O457" i="9"/>
  <c r="O451" i="9"/>
  <c r="O447" i="9"/>
  <c r="O443" i="9"/>
  <c r="O439" i="9"/>
  <c r="O433" i="9"/>
  <c r="O425" i="9"/>
  <c r="O417" i="9"/>
  <c r="O409" i="9"/>
  <c r="O401" i="9"/>
  <c r="O393" i="9"/>
  <c r="O385" i="9"/>
  <c r="O377" i="9"/>
  <c r="O369" i="9"/>
  <c r="O444" i="9"/>
  <c r="O440" i="9"/>
  <c r="O431" i="9"/>
  <c r="O423" i="9"/>
  <c r="O415" i="9"/>
  <c r="O407" i="9"/>
  <c r="O383" i="9"/>
  <c r="O375" i="9"/>
  <c r="O144" i="9"/>
  <c r="O136" i="9"/>
  <c r="O128" i="9"/>
  <c r="O120" i="9"/>
  <c r="O112" i="9"/>
  <c r="O108" i="9"/>
  <c r="O100" i="9"/>
  <c r="O5" i="9"/>
  <c r="O498" i="9"/>
  <c r="O494" i="9"/>
  <c r="O490" i="9"/>
  <c r="O486" i="9"/>
  <c r="O482" i="9"/>
  <c r="O478" i="9"/>
  <c r="O474" i="9"/>
  <c r="O470" i="9"/>
  <c r="O466" i="9"/>
  <c r="O462" i="9"/>
  <c r="O458" i="9"/>
  <c r="O450" i="9"/>
  <c r="O446" i="9"/>
  <c r="O442" i="9"/>
  <c r="O438" i="9"/>
  <c r="O435" i="9"/>
  <c r="O427" i="9"/>
  <c r="O419" i="9"/>
  <c r="O411" i="9"/>
  <c r="O403" i="9"/>
  <c r="O395" i="9"/>
  <c r="O387" i="9"/>
  <c r="O379" i="9"/>
  <c r="O371" i="9"/>
  <c r="O499" i="9"/>
  <c r="O495" i="9"/>
  <c r="O491" i="9"/>
  <c r="O487" i="9"/>
  <c r="O483" i="9"/>
  <c r="O479" i="9"/>
  <c r="O475" i="9"/>
  <c r="O471" i="9"/>
  <c r="O467" i="9"/>
  <c r="O463" i="9"/>
  <c r="O459" i="9"/>
  <c r="O455" i="9"/>
  <c r="O453" i="9"/>
  <c r="O449" i="9"/>
  <c r="O445" i="9"/>
  <c r="O441" i="9"/>
  <c r="O437" i="9"/>
  <c r="O429" i="9"/>
  <c r="O421" i="9"/>
  <c r="O413" i="9"/>
  <c r="O405" i="9"/>
  <c r="O397" i="9"/>
  <c r="O389" i="9"/>
  <c r="O381" i="9"/>
  <c r="O373" i="9"/>
  <c r="O436" i="9"/>
  <c r="O434" i="9"/>
  <c r="O432" i="9"/>
  <c r="O430" i="9"/>
  <c r="O428" i="9"/>
  <c r="O426" i="9"/>
  <c r="O424" i="9"/>
  <c r="O422" i="9"/>
  <c r="O420" i="9"/>
  <c r="O418" i="9"/>
  <c r="O416" i="9"/>
  <c r="O414" i="9"/>
  <c r="O412" i="9"/>
  <c r="O410" i="9"/>
  <c r="O408" i="9"/>
  <c r="O406" i="9"/>
  <c r="O404" i="9"/>
  <c r="O402" i="9"/>
  <c r="O400" i="9"/>
  <c r="O398" i="9"/>
  <c r="O396" i="9"/>
  <c r="O394" i="9"/>
  <c r="O392" i="9"/>
  <c r="O390" i="9"/>
  <c r="O388" i="9"/>
  <c r="O386" i="9"/>
  <c r="O384" i="9"/>
  <c r="O382" i="9"/>
  <c r="O380" i="9"/>
  <c r="O378" i="9"/>
  <c r="O376" i="9"/>
  <c r="O374" i="9"/>
  <c r="O372" i="9"/>
  <c r="O370" i="9"/>
  <c r="O368" i="9"/>
  <c r="O366" i="9"/>
  <c r="O364" i="9"/>
  <c r="O362" i="9"/>
  <c r="O360" i="9"/>
  <c r="O358" i="9"/>
  <c r="O356" i="9"/>
  <c r="O354" i="9"/>
  <c r="O352" i="9"/>
  <c r="O350" i="9"/>
  <c r="O348" i="9"/>
  <c r="O346" i="9"/>
  <c r="O344" i="9"/>
  <c r="O342" i="9"/>
  <c r="O340" i="9"/>
  <c r="O338" i="9"/>
  <c r="O336" i="9"/>
  <c r="O334" i="9"/>
  <c r="O278" i="9"/>
  <c r="O274" i="9"/>
  <c r="O270" i="9"/>
  <c r="O266" i="9"/>
  <c r="O262" i="9"/>
  <c r="O258" i="9"/>
  <c r="O254" i="9"/>
  <c r="O250" i="9"/>
  <c r="O246" i="9"/>
  <c r="O242" i="9"/>
  <c r="O238" i="9"/>
  <c r="O234" i="9"/>
  <c r="O230" i="9"/>
  <c r="O226" i="9"/>
  <c r="O365" i="9"/>
  <c r="O363" i="9"/>
  <c r="O361" i="9"/>
  <c r="O359" i="9"/>
  <c r="O357" i="9"/>
  <c r="O355" i="9"/>
  <c r="O353" i="9"/>
  <c r="O351" i="9"/>
  <c r="O349" i="9"/>
  <c r="O347" i="9"/>
  <c r="O345" i="9"/>
  <c r="O343" i="9"/>
  <c r="O341" i="9"/>
  <c r="O339" i="9"/>
  <c r="O337" i="9"/>
  <c r="O335" i="9"/>
  <c r="O280" i="9"/>
  <c r="O276" i="9"/>
  <c r="O272" i="9"/>
  <c r="O268" i="9"/>
  <c r="O264" i="9"/>
  <c r="O260" i="9"/>
  <c r="O256" i="9"/>
  <c r="O252" i="9"/>
  <c r="O248" i="9"/>
  <c r="O244" i="9"/>
  <c r="O240" i="9"/>
  <c r="O236" i="9"/>
  <c r="O232" i="9"/>
  <c r="O228" i="9"/>
  <c r="O279" i="9"/>
  <c r="O277" i="9"/>
  <c r="O275" i="9"/>
  <c r="O273" i="9"/>
  <c r="O271" i="9"/>
  <c r="O269" i="9"/>
  <c r="O267" i="9"/>
  <c r="O265" i="9"/>
  <c r="O263" i="9"/>
  <c r="O261" i="9"/>
  <c r="O259" i="9"/>
  <c r="O257" i="9"/>
  <c r="O255" i="9"/>
  <c r="O253" i="9"/>
  <c r="O251" i="9"/>
  <c r="O249" i="9"/>
  <c r="O247" i="9"/>
  <c r="O245" i="9"/>
  <c r="O243" i="9"/>
  <c r="O241" i="9"/>
  <c r="O239" i="9"/>
  <c r="O237" i="9"/>
  <c r="O235" i="9"/>
  <c r="O233" i="9"/>
  <c r="O231" i="9"/>
  <c r="O229" i="9"/>
  <c r="O227" i="9"/>
  <c r="O333" i="9"/>
  <c r="O332" i="9"/>
  <c r="O331" i="9"/>
  <c r="O330" i="9"/>
  <c r="O329" i="9"/>
  <c r="O328" i="9"/>
  <c r="O327" i="9"/>
  <c r="O326" i="9"/>
  <c r="O325" i="9"/>
  <c r="O324" i="9"/>
  <c r="O323" i="9"/>
  <c r="O322" i="9"/>
  <c r="O321" i="9"/>
  <c r="O320" i="9"/>
  <c r="O319" i="9"/>
  <c r="O318" i="9"/>
  <c r="O317" i="9"/>
  <c r="O316" i="9"/>
  <c r="O315" i="9"/>
  <c r="O314" i="9"/>
  <c r="O313" i="9"/>
  <c r="O312" i="9"/>
  <c r="O311" i="9"/>
  <c r="O310" i="9"/>
  <c r="O309" i="9"/>
  <c r="O308" i="9"/>
  <c r="O307" i="9"/>
  <c r="O306" i="9"/>
  <c r="O305" i="9"/>
  <c r="O304" i="9"/>
  <c r="O303" i="9"/>
  <c r="O302" i="9"/>
  <c r="O301" i="9"/>
  <c r="O300" i="9"/>
  <c r="O299" i="9"/>
  <c r="O298" i="9"/>
  <c r="O297" i="9"/>
  <c r="O296" i="9"/>
  <c r="O73" i="9"/>
  <c r="O80" i="9"/>
  <c r="O60" i="9"/>
  <c r="O150" i="9"/>
  <c r="O146" i="9"/>
  <c r="O142" i="9"/>
  <c r="O138" i="9"/>
  <c r="O134" i="9"/>
  <c r="O130" i="9"/>
  <c r="O126" i="9"/>
  <c r="O122" i="9"/>
  <c r="O118" i="9"/>
  <c r="O114" i="9"/>
  <c r="O110" i="9"/>
  <c r="O106" i="9"/>
  <c r="O102" i="9"/>
  <c r="O98" i="9"/>
  <c r="O76" i="9"/>
  <c r="O21" i="9"/>
  <c r="O225" i="9"/>
  <c r="O224" i="9"/>
  <c r="O223" i="9"/>
  <c r="O222" i="9"/>
  <c r="O221" i="9"/>
  <c r="O220" i="9"/>
  <c r="O219" i="9"/>
  <c r="O218" i="9"/>
  <c r="O217" i="9"/>
  <c r="O216" i="9"/>
  <c r="O215" i="9"/>
  <c r="O214" i="9"/>
  <c r="O213" i="9"/>
  <c r="O212" i="9"/>
  <c r="O49" i="9"/>
  <c r="O93" i="9"/>
  <c r="O89" i="9"/>
  <c r="O85" i="9"/>
  <c r="O72" i="9"/>
  <c r="O65" i="9"/>
  <c r="O53" i="9"/>
  <c r="O37" i="9"/>
  <c r="O25" i="9"/>
  <c r="O149" i="9"/>
  <c r="O147" i="9"/>
  <c r="O145" i="9"/>
  <c r="O143" i="9"/>
  <c r="O141" i="9"/>
  <c r="O139" i="9"/>
  <c r="O137" i="9"/>
  <c r="O135" i="9"/>
  <c r="O133" i="9"/>
  <c r="O131" i="9"/>
  <c r="O129" i="9"/>
  <c r="O127" i="9"/>
  <c r="O125" i="9"/>
  <c r="O123" i="9"/>
  <c r="O121" i="9"/>
  <c r="O119" i="9"/>
  <c r="O117" i="9"/>
  <c r="O115" i="9"/>
  <c r="O113" i="9"/>
  <c r="O111" i="9"/>
  <c r="O109" i="9"/>
  <c r="O107" i="9"/>
  <c r="O105" i="9"/>
  <c r="O103" i="9"/>
  <c r="O101" i="9"/>
  <c r="O99" i="9"/>
  <c r="O97" i="9"/>
  <c r="O81" i="9"/>
  <c r="O77" i="9"/>
  <c r="O68" i="9"/>
  <c r="O61" i="9"/>
  <c r="O57" i="9"/>
  <c r="O41" i="9"/>
  <c r="O29" i="9"/>
  <c r="O96" i="9"/>
  <c r="O92" i="9"/>
  <c r="O88" i="9"/>
  <c r="O84" i="9"/>
  <c r="O64" i="9"/>
  <c r="O45" i="9"/>
  <c r="O33" i="9"/>
  <c r="O95" i="9"/>
  <c r="O91" i="9"/>
  <c r="O87" i="9"/>
  <c r="O79" i="9"/>
  <c r="O35" i="9"/>
  <c r="O56" i="9"/>
  <c r="O52" i="9"/>
  <c r="O48" i="9"/>
  <c r="O44" i="9"/>
  <c r="O40" i="9"/>
  <c r="O36" i="9"/>
  <c r="O32" i="9"/>
  <c r="O28" i="9"/>
  <c r="O24" i="9"/>
  <c r="O20" i="9"/>
  <c r="I503" i="9"/>
  <c r="I501" i="9"/>
  <c r="J148" i="11"/>
  <c r="K148" i="11"/>
  <c r="J140" i="11"/>
  <c r="J136" i="11"/>
  <c r="K136" i="11"/>
  <c r="J132" i="11"/>
  <c r="K132" i="11"/>
  <c r="K128" i="11"/>
  <c r="J128" i="11"/>
  <c r="J116" i="11"/>
  <c r="K116" i="11"/>
  <c r="J96" i="11"/>
  <c r="K88" i="11"/>
  <c r="J88" i="11"/>
  <c r="J76" i="11"/>
  <c r="K72" i="11"/>
  <c r="J72" i="11"/>
  <c r="K64" i="11"/>
  <c r="J64" i="11"/>
  <c r="J60" i="11"/>
  <c r="K60" i="11"/>
  <c r="J52" i="11"/>
  <c r="K52" i="11"/>
  <c r="J44" i="11"/>
  <c r="K44" i="11"/>
  <c r="K40" i="11"/>
  <c r="J40" i="11"/>
  <c r="J36" i="11"/>
  <c r="K36" i="11"/>
  <c r="K32" i="11"/>
  <c r="J32" i="11"/>
  <c r="J28" i="11"/>
  <c r="K28" i="11"/>
  <c r="K24" i="11"/>
  <c r="J24" i="11"/>
  <c r="L16" i="11"/>
  <c r="L245" i="11"/>
  <c r="K16" i="11"/>
  <c r="J12" i="11"/>
  <c r="K12" i="11"/>
  <c r="K8" i="11"/>
  <c r="J8" i="11"/>
  <c r="L49" i="11"/>
  <c r="J242" i="11"/>
  <c r="K242" i="11"/>
  <c r="J234" i="11"/>
  <c r="K234" i="11"/>
  <c r="J218" i="11"/>
  <c r="J214" i="11"/>
  <c r="K214" i="11"/>
  <c r="J202" i="11"/>
  <c r="J198" i="11"/>
  <c r="K198" i="11"/>
  <c r="J186" i="11"/>
  <c r="K186" i="11"/>
  <c r="J166" i="11"/>
  <c r="L235" i="11"/>
  <c r="L144" i="11"/>
  <c r="J95" i="11"/>
  <c r="J63" i="11"/>
  <c r="J31" i="11"/>
  <c r="J15" i="11"/>
  <c r="L244" i="11"/>
  <c r="L239" i="11"/>
  <c r="L234" i="11"/>
  <c r="L228" i="11"/>
  <c r="L223" i="11"/>
  <c r="L218" i="11"/>
  <c r="L212" i="11"/>
  <c r="L207" i="11"/>
  <c r="L202" i="11"/>
  <c r="L196" i="11"/>
  <c r="L186" i="11"/>
  <c r="L164" i="11"/>
  <c r="L159" i="11"/>
  <c r="L154" i="11"/>
  <c r="L148" i="11"/>
  <c r="L143" i="11"/>
  <c r="L132" i="11"/>
  <c r="L122" i="11"/>
  <c r="L116" i="11"/>
  <c r="L95" i="11"/>
  <c r="L84" i="11"/>
  <c r="L73" i="11"/>
  <c r="L63" i="11"/>
  <c r="L52" i="11"/>
  <c r="L41" i="11"/>
  <c r="L31" i="11"/>
  <c r="L20" i="11"/>
  <c r="L9" i="11"/>
  <c r="K245" i="11"/>
  <c r="K216" i="11"/>
  <c r="K202" i="11"/>
  <c r="K188" i="11"/>
  <c r="K173" i="11"/>
  <c r="K160" i="11"/>
  <c r="K145" i="11"/>
  <c r="K117" i="11"/>
  <c r="K65" i="11"/>
  <c r="K47" i="11"/>
  <c r="K27" i="11"/>
  <c r="K9" i="11"/>
  <c r="J48" i="11"/>
  <c r="L243" i="11"/>
  <c r="L238" i="11"/>
  <c r="L232" i="11"/>
  <c r="L227" i="11"/>
  <c r="L222" i="11"/>
  <c r="L216" i="11"/>
  <c r="L211" i="11"/>
  <c r="L206" i="11"/>
  <c r="L195" i="11"/>
  <c r="L190" i="11"/>
  <c r="L163" i="11"/>
  <c r="L158" i="11"/>
  <c r="L152" i="11"/>
  <c r="L136" i="11"/>
  <c r="L131" i="11"/>
  <c r="L126" i="11"/>
  <c r="L120" i="11"/>
  <c r="L115" i="11"/>
  <c r="L93" i="11"/>
  <c r="L83" i="11"/>
  <c r="L72" i="11"/>
  <c r="L61" i="11"/>
  <c r="L51" i="11"/>
  <c r="L40" i="11"/>
  <c r="L29" i="11"/>
  <c r="L8" i="11"/>
  <c r="K240" i="11"/>
  <c r="K225" i="11"/>
  <c r="K197" i="11"/>
  <c r="K140" i="11"/>
  <c r="K112" i="11"/>
  <c r="K96" i="11"/>
  <c r="K76" i="11"/>
  <c r="K59" i="11"/>
  <c r="J16" i="11"/>
  <c r="J156" i="11"/>
  <c r="K156" i="11"/>
  <c r="K144" i="11"/>
  <c r="J124" i="11"/>
  <c r="J120" i="11"/>
  <c r="K120" i="11"/>
  <c r="J108" i="11"/>
  <c r="K108" i="11"/>
  <c r="J104" i="11"/>
  <c r="J100" i="11"/>
  <c r="K100" i="11"/>
  <c r="J92" i="11"/>
  <c r="K92" i="11"/>
  <c r="J84" i="11"/>
  <c r="K80" i="11"/>
  <c r="L80" i="11"/>
  <c r="J68" i="11"/>
  <c r="K56" i="11"/>
  <c r="J56" i="11"/>
  <c r="J20" i="11"/>
  <c r="J246" i="11"/>
  <c r="J238" i="11"/>
  <c r="K238" i="11"/>
  <c r="J230" i="11"/>
  <c r="J226" i="11"/>
  <c r="K226" i="11"/>
  <c r="J222" i="11"/>
  <c r="K222" i="11"/>
  <c r="J210" i="11"/>
  <c r="J206" i="11"/>
  <c r="K206" i="11"/>
  <c r="J194" i="11"/>
  <c r="J190" i="11"/>
  <c r="K190" i="11"/>
  <c r="J182" i="11"/>
  <c r="J178" i="11"/>
  <c r="K178" i="11"/>
  <c r="J174" i="11"/>
  <c r="K174" i="11"/>
  <c r="J170" i="11"/>
  <c r="K170" i="11"/>
  <c r="J161" i="11"/>
  <c r="L246" i="11"/>
  <c r="L230" i="11"/>
  <c r="L139" i="11"/>
  <c r="J143" i="11"/>
  <c r="J111" i="11"/>
  <c r="J79" i="11"/>
  <c r="J47" i="11"/>
  <c r="L180" i="11"/>
  <c r="L175" i="11"/>
  <c r="L127" i="11"/>
  <c r="J158" i="11"/>
  <c r="K158" i="11"/>
  <c r="J154" i="11"/>
  <c r="J150" i="11"/>
  <c r="K150" i="11"/>
  <c r="J146" i="11"/>
  <c r="J142" i="11"/>
  <c r="K142" i="11"/>
  <c r="J138" i="11"/>
  <c r="J134" i="11"/>
  <c r="K134" i="11"/>
  <c r="J130" i="11"/>
  <c r="J126" i="11"/>
  <c r="K126" i="11"/>
  <c r="J122" i="11"/>
  <c r="K122" i="11"/>
  <c r="J118" i="11"/>
  <c r="J114" i="11"/>
  <c r="K114" i="11"/>
  <c r="J110" i="11"/>
  <c r="K110" i="11"/>
  <c r="J106" i="11"/>
  <c r="K106" i="11"/>
  <c r="J102" i="11"/>
  <c r="J98" i="11"/>
  <c r="K98" i="11"/>
  <c r="J94" i="11"/>
  <c r="K94" i="11"/>
  <c r="L39" i="11"/>
  <c r="L108" i="11"/>
  <c r="J90" i="11"/>
  <c r="K90" i="11"/>
  <c r="J86" i="11"/>
  <c r="K86" i="11"/>
  <c r="J82" i="11"/>
  <c r="K82" i="11"/>
  <c r="J78" i="11"/>
  <c r="K78" i="11"/>
  <c r="J74" i="11"/>
  <c r="K74" i="11"/>
  <c r="L74" i="11"/>
  <c r="J70" i="11"/>
  <c r="K70" i="11"/>
  <c r="J66" i="11"/>
  <c r="K66" i="11"/>
  <c r="J62" i="11"/>
  <c r="K62" i="11"/>
  <c r="J58" i="11"/>
  <c r="K58" i="11"/>
  <c r="J54" i="11"/>
  <c r="K54" i="11"/>
  <c r="J50" i="11"/>
  <c r="K50" i="11"/>
  <c r="L50" i="11"/>
  <c r="L96" i="11"/>
  <c r="J46" i="11"/>
  <c r="K46" i="11"/>
  <c r="J42" i="11"/>
  <c r="K42" i="11"/>
  <c r="J38" i="11"/>
  <c r="K38" i="11"/>
  <c r="J34" i="11"/>
  <c r="K34" i="11"/>
  <c r="J30" i="11"/>
  <c r="K30" i="11"/>
  <c r="J26" i="11"/>
  <c r="K26" i="11"/>
  <c r="J22" i="11"/>
  <c r="K22" i="11"/>
  <c r="J18" i="11"/>
  <c r="K18" i="11"/>
  <c r="L18" i="11"/>
  <c r="L30" i="11"/>
  <c r="L173" i="11"/>
  <c r="L221" i="11"/>
  <c r="L113" i="11"/>
  <c r="L33" i="11"/>
  <c r="J14" i="11"/>
  <c r="K14" i="11"/>
  <c r="L14" i="11"/>
  <c r="L34" i="11"/>
  <c r="L42" i="11"/>
  <c r="L62" i="11"/>
  <c r="L78" i="11"/>
  <c r="L102" i="11"/>
  <c r="L32" i="11"/>
  <c r="L48" i="11"/>
  <c r="L75" i="11"/>
  <c r="L177" i="11"/>
  <c r="L181" i="11"/>
  <c r="L225" i="11"/>
  <c r="L28" i="11"/>
  <c r="L97" i="11"/>
  <c r="J10" i="11"/>
  <c r="K10" i="11"/>
  <c r="K6" i="11"/>
  <c r="J6" i="11"/>
  <c r="J244" i="11"/>
  <c r="K244" i="11"/>
  <c r="J236" i="11"/>
  <c r="K236" i="11"/>
  <c r="J232" i="11"/>
  <c r="J228" i="11"/>
  <c r="K228" i="11"/>
  <c r="J224" i="11"/>
  <c r="J220" i="11"/>
  <c r="K220" i="11"/>
  <c r="J216" i="11"/>
  <c r="J212" i="11"/>
  <c r="K212" i="11"/>
  <c r="K208" i="11"/>
  <c r="J204" i="11"/>
  <c r="J200" i="11"/>
  <c r="K200" i="11"/>
  <c r="J196" i="11"/>
  <c r="K196" i="11"/>
  <c r="K192" i="11"/>
  <c r="J192" i="11"/>
  <c r="J188" i="11"/>
  <c r="J184" i="11"/>
  <c r="K184" i="11"/>
  <c r="J180" i="11"/>
  <c r="K180" i="11"/>
  <c r="J172" i="11"/>
  <c r="K172" i="11"/>
  <c r="J168" i="11"/>
  <c r="J163" i="11"/>
  <c r="K163" i="11"/>
  <c r="J5" i="11"/>
  <c r="L5" i="11"/>
  <c r="L98" i="11"/>
  <c r="L27" i="11"/>
  <c r="L53" i="11"/>
  <c r="L91" i="11"/>
  <c r="L125" i="11"/>
  <c r="L129" i="11"/>
  <c r="L149" i="11"/>
  <c r="L161" i="11"/>
  <c r="L193" i="11"/>
  <c r="L197" i="11"/>
  <c r="L213" i="11"/>
  <c r="L217" i="11"/>
  <c r="L233" i="11"/>
  <c r="L241" i="11"/>
  <c r="K5" i="11"/>
  <c r="K63" i="11"/>
  <c r="K91" i="11"/>
  <c r="K165" i="11"/>
  <c r="K193" i="11"/>
  <c r="K221" i="11"/>
  <c r="K229" i="11"/>
  <c r="L71" i="11"/>
  <c r="L76" i="11"/>
  <c r="L6" i="11"/>
  <c r="L81" i="11"/>
  <c r="J157" i="11"/>
  <c r="K157" i="11"/>
  <c r="J153" i="11"/>
  <c r="K153" i="11"/>
  <c r="J149" i="11"/>
  <c r="K149" i="11"/>
  <c r="J145" i="11"/>
  <c r="J141" i="11"/>
  <c r="K141" i="11"/>
  <c r="J137" i="11"/>
  <c r="K137" i="11"/>
  <c r="J133" i="11"/>
  <c r="J129" i="11"/>
  <c r="K129" i="11"/>
  <c r="J125" i="11"/>
  <c r="J121" i="11"/>
  <c r="K121" i="11"/>
  <c r="J117" i="11"/>
  <c r="J113" i="11"/>
  <c r="K113" i="11"/>
  <c r="J109" i="11"/>
  <c r="J105" i="11"/>
  <c r="K105" i="11"/>
  <c r="J101" i="11"/>
  <c r="K101" i="11"/>
  <c r="J97" i="11"/>
  <c r="K97" i="11"/>
  <c r="J93" i="11"/>
  <c r="K93" i="11"/>
  <c r="J89" i="11"/>
  <c r="K89" i="11"/>
  <c r="J85" i="11"/>
  <c r="K85" i="11"/>
  <c r="J81" i="11"/>
  <c r="K81" i="11"/>
  <c r="J77" i="11"/>
  <c r="K77" i="11"/>
  <c r="J73" i="11"/>
  <c r="K73" i="11"/>
  <c r="J69" i="11"/>
  <c r="K69" i="11"/>
  <c r="J65" i="11"/>
  <c r="L65" i="11"/>
  <c r="L92" i="11"/>
  <c r="J61" i="11"/>
  <c r="K61" i="11"/>
  <c r="J57" i="11"/>
  <c r="K57" i="11"/>
  <c r="J53" i="11"/>
  <c r="K53" i="11"/>
  <c r="J49" i="11"/>
  <c r="K49" i="11"/>
  <c r="J45" i="11"/>
  <c r="K45" i="11"/>
  <c r="J41" i="11"/>
  <c r="K41" i="11"/>
  <c r="J37" i="11"/>
  <c r="J33" i="11"/>
  <c r="K33" i="11"/>
  <c r="J29" i="11"/>
  <c r="K29" i="11"/>
  <c r="J25" i="11"/>
  <c r="K25" i="11"/>
  <c r="J21" i="11"/>
  <c r="K21" i="11"/>
  <c r="J17" i="11"/>
  <c r="J13" i="11"/>
  <c r="K13" i="11"/>
  <c r="J9" i="11"/>
  <c r="L10" i="11"/>
  <c r="L22" i="11"/>
  <c r="L26" i="11"/>
  <c r="L38" i="11"/>
  <c r="L46" i="11"/>
  <c r="L54" i="11"/>
  <c r="L58" i="11"/>
  <c r="L66" i="11"/>
  <c r="L70" i="11"/>
  <c r="L82" i="11"/>
  <c r="L90" i="11"/>
  <c r="L106" i="11"/>
  <c r="L110" i="11"/>
  <c r="L114" i="11"/>
  <c r="L11" i="11"/>
  <c r="L21" i="11"/>
  <c r="L37" i="11"/>
  <c r="L43" i="11"/>
  <c r="L64" i="11"/>
  <c r="L69" i="11"/>
  <c r="L85" i="11"/>
  <c r="L101" i="11"/>
  <c r="L107" i="11"/>
  <c r="L112" i="11"/>
  <c r="L117" i="11"/>
  <c r="L121" i="11"/>
  <c r="L133" i="11"/>
  <c r="L137" i="11"/>
  <c r="L141" i="11"/>
  <c r="L145" i="11"/>
  <c r="L153" i="11"/>
  <c r="L157" i="11"/>
  <c r="L165" i="11"/>
  <c r="L169" i="11"/>
  <c r="L185" i="11"/>
  <c r="L189" i="11"/>
  <c r="L205" i="11"/>
  <c r="L209" i="11"/>
  <c r="L237" i="11"/>
  <c r="L12" i="11"/>
  <c r="L23" i="11"/>
  <c r="L60" i="11"/>
  <c r="L87" i="11"/>
  <c r="L103" i="11"/>
  <c r="L17" i="11"/>
  <c r="L44" i="11"/>
  <c r="L55" i="11"/>
  <c r="K247" i="11"/>
  <c r="J247" i="11"/>
  <c r="J243" i="11"/>
  <c r="K243" i="11"/>
  <c r="K239" i="11"/>
  <c r="J239" i="11"/>
  <c r="J235" i="11"/>
  <c r="K235" i="11"/>
  <c r="K231" i="11"/>
  <c r="J231" i="11"/>
  <c r="J227" i="11"/>
  <c r="K227" i="11"/>
  <c r="K223" i="11"/>
  <c r="J223" i="11"/>
  <c r="J219" i="11"/>
  <c r="K219" i="11"/>
  <c r="K215" i="11"/>
  <c r="J215" i="11"/>
  <c r="J211" i="11"/>
  <c r="K211" i="11"/>
  <c r="K207" i="11"/>
  <c r="J207" i="11"/>
  <c r="J203" i="11"/>
  <c r="K203" i="11"/>
  <c r="K199" i="11"/>
  <c r="J199" i="11"/>
  <c r="J195" i="11"/>
  <c r="K195" i="11"/>
  <c r="K191" i="11"/>
  <c r="J191" i="11"/>
  <c r="J187" i="11"/>
  <c r="K187" i="11"/>
  <c r="K183" i="11"/>
  <c r="J183" i="11"/>
  <c r="J179" i="11"/>
  <c r="K179" i="11"/>
  <c r="K175" i="11"/>
  <c r="J175" i="11"/>
  <c r="J171" i="11"/>
  <c r="K171" i="11"/>
  <c r="K167" i="11"/>
  <c r="J167" i="11"/>
  <c r="J162" i="11"/>
  <c r="K162" i="11"/>
  <c r="I249" i="11"/>
  <c r="L247" i="11"/>
  <c r="L242" i="11"/>
  <c r="L236" i="11"/>
  <c r="L231" i="11"/>
  <c r="L226" i="11"/>
  <c r="L220" i="11"/>
  <c r="L215" i="11"/>
  <c r="L210" i="11"/>
  <c r="L204" i="11"/>
  <c r="L199" i="11"/>
  <c r="L194" i="11"/>
  <c r="L188" i="11"/>
  <c r="L183" i="11"/>
  <c r="L178" i="11"/>
  <c r="L172" i="11"/>
  <c r="L167" i="11"/>
  <c r="L162" i="11"/>
  <c r="L156" i="11"/>
  <c r="L151" i="11"/>
  <c r="L146" i="11"/>
  <c r="L140" i="11"/>
  <c r="L135" i="11"/>
  <c r="L130" i="11"/>
  <c r="L124" i="11"/>
  <c r="L119" i="11"/>
  <c r="L111" i="11"/>
  <c r="L100" i="11"/>
  <c r="L89" i="11"/>
  <c r="L79" i="11"/>
  <c r="L68" i="11"/>
  <c r="L57" i="11"/>
  <c r="L47" i="11"/>
  <c r="L36" i="11"/>
  <c r="L25" i="11"/>
  <c r="L15" i="11"/>
  <c r="K237" i="11"/>
  <c r="K224" i="11"/>
  <c r="K209" i="11"/>
  <c r="K194" i="11"/>
  <c r="K181" i="11"/>
  <c r="K166" i="11"/>
  <c r="K152" i="11"/>
  <c r="K138" i="11"/>
  <c r="K124" i="11"/>
  <c r="K109" i="11"/>
  <c r="K95" i="11"/>
  <c r="K75" i="11"/>
  <c r="K55" i="11"/>
  <c r="K37" i="11"/>
  <c r="K17" i="11"/>
  <c r="L240" i="11"/>
  <c r="L224" i="11"/>
  <c r="L219" i="11"/>
  <c r="L214" i="11"/>
  <c r="L208" i="11"/>
  <c r="L203" i="11"/>
  <c r="L198" i="11"/>
  <c r="L192" i="11"/>
  <c r="L187" i="11"/>
  <c r="L182" i="11"/>
  <c r="L176" i="11"/>
  <c r="L171" i="11"/>
  <c r="L166" i="11"/>
  <c r="L160" i="11"/>
  <c r="L155" i="11"/>
  <c r="L150" i="11"/>
  <c r="L128" i="11"/>
  <c r="L123" i="11"/>
  <c r="L118" i="11"/>
  <c r="L109" i="11"/>
  <c r="L99" i="11"/>
  <c r="L88" i="11"/>
  <c r="L77" i="11"/>
  <c r="L67" i="11"/>
  <c r="L56" i="11"/>
  <c r="L45" i="11"/>
  <c r="L35" i="11"/>
  <c r="L24" i="11"/>
  <c r="L13" i="11"/>
  <c r="K246" i="11"/>
  <c r="K232" i="11"/>
  <c r="K218" i="11"/>
  <c r="K204" i="11"/>
  <c r="K189" i="11"/>
  <c r="K176" i="11"/>
  <c r="K161" i="11"/>
  <c r="K146" i="11"/>
  <c r="K133" i="11"/>
  <c r="K118" i="11"/>
  <c r="K104" i="11"/>
  <c r="K87" i="11"/>
  <c r="K68" i="11"/>
  <c r="K31" i="11"/>
  <c r="K11" i="11"/>
  <c r="J208" i="11"/>
  <c r="J80" i="11"/>
  <c r="K159" i="11"/>
  <c r="J155" i="11"/>
  <c r="K155" i="11"/>
  <c r="K151" i="11"/>
  <c r="J151" i="11"/>
  <c r="J147" i="11"/>
  <c r="K147" i="11"/>
  <c r="K143" i="11"/>
  <c r="J139" i="11"/>
  <c r="K139" i="11"/>
  <c r="K135" i="11"/>
  <c r="J135" i="11"/>
  <c r="J131" i="11"/>
  <c r="K131" i="11"/>
  <c r="K127" i="11"/>
  <c r="J123" i="11"/>
  <c r="K123" i="11"/>
  <c r="K119" i="11"/>
  <c r="J119" i="11"/>
  <c r="J115" i="11"/>
  <c r="K115" i="11"/>
  <c r="K111" i="11"/>
  <c r="J107" i="11"/>
  <c r="K107" i="11"/>
  <c r="K103" i="11"/>
  <c r="J103" i="11"/>
  <c r="J99" i="11"/>
  <c r="K99" i="11"/>
  <c r="J91" i="11"/>
  <c r="J87" i="11"/>
  <c r="J83" i="11"/>
  <c r="K83" i="11"/>
  <c r="K79" i="11"/>
  <c r="J75" i="11"/>
  <c r="J71" i="11"/>
  <c r="K71" i="11"/>
  <c r="J67" i="11"/>
  <c r="K67" i="11"/>
  <c r="J59" i="11"/>
  <c r="J55" i="11"/>
  <c r="J51" i="11"/>
  <c r="K51" i="11"/>
  <c r="J43" i="11"/>
  <c r="K43" i="11"/>
  <c r="J39" i="11"/>
  <c r="L94" i="11"/>
  <c r="J35" i="11"/>
  <c r="K35" i="11"/>
  <c r="J27" i="11"/>
  <c r="J23" i="11"/>
  <c r="J19" i="11"/>
  <c r="K19" i="11"/>
  <c r="K15" i="11"/>
  <c r="J11" i="11"/>
  <c r="J7" i="11"/>
  <c r="L7" i="11"/>
  <c r="K7" i="11"/>
  <c r="L86" i="11"/>
  <c r="J245" i="11"/>
  <c r="J241" i="11"/>
  <c r="J237" i="11"/>
  <c r="J233" i="11"/>
  <c r="K233" i="11"/>
  <c r="J229" i="11"/>
  <c r="J225" i="11"/>
  <c r="J221" i="11"/>
  <c r="J217" i="11"/>
  <c r="K217" i="11"/>
  <c r="J213" i="11"/>
  <c r="J209" i="11"/>
  <c r="J205" i="11"/>
  <c r="J201" i="11"/>
  <c r="K201" i="11"/>
  <c r="J197" i="11"/>
  <c r="J193" i="11"/>
  <c r="J189" i="11"/>
  <c r="J185" i="11"/>
  <c r="K185" i="11"/>
  <c r="J181" i="11"/>
  <c r="J177" i="11"/>
  <c r="J173" i="11"/>
  <c r="J169" i="11"/>
  <c r="K169" i="11"/>
  <c r="J164" i="11"/>
  <c r="K164" i="11"/>
  <c r="J165" i="11"/>
  <c r="L229" i="11"/>
  <c r="L201" i="11"/>
  <c r="L59" i="11"/>
  <c r="K241" i="11"/>
  <c r="K213" i="11"/>
  <c r="K205" i="11"/>
  <c r="K177" i="11"/>
  <c r="K23" i="11"/>
  <c r="J159" i="11"/>
  <c r="J127" i="11"/>
  <c r="I163" i="10"/>
  <c r="I161" i="10"/>
  <c r="I162" i="10"/>
  <c r="K14" i="10" s="1"/>
  <c r="K152" i="12" l="1"/>
  <c r="K254" i="12"/>
  <c r="N193" i="11"/>
  <c r="O193" i="11"/>
  <c r="Z193" i="11" s="1"/>
  <c r="O59" i="11"/>
  <c r="Z59" i="11" s="1"/>
  <c r="N59" i="11"/>
  <c r="O99" i="11"/>
  <c r="Z99" i="11" s="1"/>
  <c r="N99" i="11"/>
  <c r="N29" i="11"/>
  <c r="O29" i="11"/>
  <c r="Z29" i="11" s="1"/>
  <c r="N77" i="11"/>
  <c r="O77" i="11"/>
  <c r="Z77" i="11" s="1"/>
  <c r="O101" i="11"/>
  <c r="Z101" i="11" s="1"/>
  <c r="N101" i="11"/>
  <c r="O133" i="11"/>
  <c r="Z133" i="11" s="1"/>
  <c r="N133" i="11"/>
  <c r="O163" i="11"/>
  <c r="Z163" i="11" s="1"/>
  <c r="N163" i="11"/>
  <c r="O196" i="11"/>
  <c r="Z196" i="11" s="1"/>
  <c r="N196" i="11"/>
  <c r="N82" i="11"/>
  <c r="O82" i="11"/>
  <c r="Z82" i="11" s="1"/>
  <c r="O154" i="11"/>
  <c r="Z154" i="11" s="1"/>
  <c r="N154" i="11"/>
  <c r="O111" i="11"/>
  <c r="Z111" i="11" s="1"/>
  <c r="N111" i="11"/>
  <c r="N182" i="11"/>
  <c r="O182" i="11"/>
  <c r="Z182" i="11" s="1"/>
  <c r="O173" i="11"/>
  <c r="Z173" i="11" s="1"/>
  <c r="N173" i="11"/>
  <c r="N225" i="11"/>
  <c r="O225" i="11"/>
  <c r="Z225" i="11" s="1"/>
  <c r="O27" i="11"/>
  <c r="Z27" i="11" s="1"/>
  <c r="N27" i="11"/>
  <c r="O51" i="11"/>
  <c r="Z51" i="11" s="1"/>
  <c r="N51" i="11"/>
  <c r="O139" i="11"/>
  <c r="Z139" i="11" s="1"/>
  <c r="N139" i="11"/>
  <c r="O167" i="11"/>
  <c r="Z167" i="11" s="1"/>
  <c r="N167" i="11"/>
  <c r="O175" i="11"/>
  <c r="Z175" i="11" s="1"/>
  <c r="N175" i="11"/>
  <c r="O183" i="11"/>
  <c r="Z183" i="11" s="1"/>
  <c r="N183" i="11"/>
  <c r="O191" i="11"/>
  <c r="Z191" i="11" s="1"/>
  <c r="N191" i="11"/>
  <c r="O199" i="11"/>
  <c r="Z199" i="11" s="1"/>
  <c r="N199" i="11"/>
  <c r="O207" i="11"/>
  <c r="Z207" i="11" s="1"/>
  <c r="N207" i="11"/>
  <c r="O215" i="11"/>
  <c r="Z215" i="11" s="1"/>
  <c r="N215" i="11"/>
  <c r="O223" i="11"/>
  <c r="Z223" i="11" s="1"/>
  <c r="N223" i="11"/>
  <c r="O231" i="11"/>
  <c r="Z231" i="11" s="1"/>
  <c r="N231" i="11"/>
  <c r="O239" i="11"/>
  <c r="Z239" i="11" s="1"/>
  <c r="N239" i="11"/>
  <c r="O247" i="11"/>
  <c r="Z247" i="11" s="1"/>
  <c r="N247" i="11"/>
  <c r="O25" i="11"/>
  <c r="Z25" i="11" s="1"/>
  <c r="N25" i="11"/>
  <c r="N33" i="11"/>
  <c r="O33" i="11"/>
  <c r="Z33" i="11" s="1"/>
  <c r="N65" i="11"/>
  <c r="O65" i="11"/>
  <c r="Z65" i="11" s="1"/>
  <c r="O73" i="11"/>
  <c r="Z73" i="11" s="1"/>
  <c r="N73" i="11"/>
  <c r="N81" i="11"/>
  <c r="O81" i="11"/>
  <c r="Z81" i="11" s="1"/>
  <c r="O89" i="11"/>
  <c r="Z89" i="11" s="1"/>
  <c r="N89" i="11"/>
  <c r="N97" i="11"/>
  <c r="O97" i="11"/>
  <c r="Z97" i="11" s="1"/>
  <c r="N105" i="11"/>
  <c r="O105" i="11"/>
  <c r="Z105" i="11" s="1"/>
  <c r="O117" i="11"/>
  <c r="Z117" i="11" s="1"/>
  <c r="N117" i="11"/>
  <c r="O137" i="11"/>
  <c r="Z137" i="11" s="1"/>
  <c r="N137" i="11"/>
  <c r="N5" i="11"/>
  <c r="O5" i="11"/>
  <c r="Z5" i="11" s="1"/>
  <c r="O200" i="11"/>
  <c r="Z200" i="11" s="1"/>
  <c r="N200" i="11"/>
  <c r="O212" i="11"/>
  <c r="Z212" i="11" s="1"/>
  <c r="N212" i="11"/>
  <c r="O224" i="11"/>
  <c r="Z224" i="11" s="1"/>
  <c r="N224" i="11"/>
  <c r="N78" i="11"/>
  <c r="O78" i="11"/>
  <c r="Z78" i="11" s="1"/>
  <c r="N86" i="11"/>
  <c r="O86" i="11"/>
  <c r="Z86" i="11" s="1"/>
  <c r="N98" i="11"/>
  <c r="O98" i="11"/>
  <c r="Z98" i="11" s="1"/>
  <c r="N118" i="11"/>
  <c r="O118" i="11"/>
  <c r="Z118" i="11" s="1"/>
  <c r="N126" i="11"/>
  <c r="O126" i="11"/>
  <c r="Z126" i="11" s="1"/>
  <c r="O138" i="11"/>
  <c r="Z138" i="11" s="1"/>
  <c r="N138" i="11"/>
  <c r="O158" i="11"/>
  <c r="Z158" i="11" s="1"/>
  <c r="N158" i="11"/>
  <c r="O47" i="11"/>
  <c r="Z47" i="11" s="1"/>
  <c r="N47" i="11"/>
  <c r="O190" i="11"/>
  <c r="Z190" i="11" s="1"/>
  <c r="N190" i="11"/>
  <c r="O210" i="11"/>
  <c r="Z210" i="11" s="1"/>
  <c r="N210" i="11"/>
  <c r="O226" i="11"/>
  <c r="Z226" i="11" s="1"/>
  <c r="N226" i="11"/>
  <c r="N246" i="11"/>
  <c r="O246" i="11"/>
  <c r="Z246" i="11" s="1"/>
  <c r="O68" i="11"/>
  <c r="Z68" i="11" s="1"/>
  <c r="N68" i="11"/>
  <c r="O104" i="11"/>
  <c r="Z104" i="11" s="1"/>
  <c r="N104" i="11"/>
  <c r="O120" i="11"/>
  <c r="Z120" i="11" s="1"/>
  <c r="N120" i="11"/>
  <c r="N156" i="11"/>
  <c r="O156" i="11"/>
  <c r="Z156" i="11" s="1"/>
  <c r="O48" i="11"/>
  <c r="Z48" i="11" s="1"/>
  <c r="N48" i="11"/>
  <c r="O95" i="11"/>
  <c r="Z95" i="11" s="1"/>
  <c r="N95" i="11"/>
  <c r="O202" i="11"/>
  <c r="Z202" i="11" s="1"/>
  <c r="N202" i="11"/>
  <c r="N12" i="11"/>
  <c r="O12" i="11"/>
  <c r="Z12" i="11" s="1"/>
  <c r="O24" i="11"/>
  <c r="Z24" i="11" s="1"/>
  <c r="N24" i="11"/>
  <c r="O32" i="11"/>
  <c r="Z32" i="11" s="1"/>
  <c r="N32" i="11"/>
  <c r="N40" i="11"/>
  <c r="O40" i="11"/>
  <c r="Z40" i="11" s="1"/>
  <c r="O64" i="11"/>
  <c r="Z64" i="11" s="1"/>
  <c r="N64" i="11"/>
  <c r="O76" i="11"/>
  <c r="Z76" i="11" s="1"/>
  <c r="N76" i="11"/>
  <c r="O140" i="11"/>
  <c r="Z140" i="11" s="1"/>
  <c r="N140" i="11"/>
  <c r="O144" i="11"/>
  <c r="Z144" i="11" s="1"/>
  <c r="N144" i="11"/>
  <c r="O181" i="11"/>
  <c r="Z181" i="11" s="1"/>
  <c r="N181" i="11"/>
  <c r="O217" i="11"/>
  <c r="Z217" i="11" s="1"/>
  <c r="N217" i="11"/>
  <c r="O43" i="11"/>
  <c r="Z43" i="11" s="1"/>
  <c r="N43" i="11"/>
  <c r="O83" i="11"/>
  <c r="Z83" i="11" s="1"/>
  <c r="N83" i="11"/>
  <c r="O119" i="11"/>
  <c r="Z119" i="11" s="1"/>
  <c r="N119" i="11"/>
  <c r="O208" i="11"/>
  <c r="Z208" i="11" s="1"/>
  <c r="N208" i="11"/>
  <c r="O21" i="11"/>
  <c r="Z21" i="11" s="1"/>
  <c r="N21" i="11"/>
  <c r="O69" i="11"/>
  <c r="Z69" i="11" s="1"/>
  <c r="N69" i="11"/>
  <c r="N93" i="11"/>
  <c r="O93" i="11"/>
  <c r="Z93" i="11" s="1"/>
  <c r="O121" i="11"/>
  <c r="Z121" i="11" s="1"/>
  <c r="N121" i="11"/>
  <c r="O141" i="11"/>
  <c r="Z141" i="11" s="1"/>
  <c r="N141" i="11"/>
  <c r="N188" i="11"/>
  <c r="O188" i="11"/>
  <c r="Z188" i="11" s="1"/>
  <c r="O90" i="11"/>
  <c r="Z90" i="11" s="1"/>
  <c r="N90" i="11"/>
  <c r="N142" i="11"/>
  <c r="O142" i="11"/>
  <c r="Z142" i="11" s="1"/>
  <c r="O56" i="11"/>
  <c r="Z56" i="11" s="1"/>
  <c r="N56" i="11"/>
  <c r="O108" i="11"/>
  <c r="Z108" i="11" s="1"/>
  <c r="N108" i="11"/>
  <c r="O185" i="11"/>
  <c r="Z185" i="11" s="1"/>
  <c r="N185" i="11"/>
  <c r="O213" i="11"/>
  <c r="Z213" i="11" s="1"/>
  <c r="N213" i="11"/>
  <c r="O237" i="11"/>
  <c r="Z237" i="11" s="1"/>
  <c r="N237" i="11"/>
  <c r="O39" i="11"/>
  <c r="Z39" i="11" s="1"/>
  <c r="N39" i="11"/>
  <c r="O67" i="11"/>
  <c r="Z67" i="11" s="1"/>
  <c r="N67" i="11"/>
  <c r="O91" i="11"/>
  <c r="Z91" i="11" s="1"/>
  <c r="N91" i="11"/>
  <c r="O131" i="11"/>
  <c r="Z131" i="11" s="1"/>
  <c r="N131" i="11"/>
  <c r="O151" i="11"/>
  <c r="Z151" i="11" s="1"/>
  <c r="N151" i="11"/>
  <c r="O127" i="11"/>
  <c r="Z127" i="11" s="1"/>
  <c r="N127" i="11"/>
  <c r="O164" i="11"/>
  <c r="Z164" i="11" s="1"/>
  <c r="N164" i="11"/>
  <c r="N177" i="11"/>
  <c r="O177" i="11"/>
  <c r="Z177" i="11" s="1"/>
  <c r="O189" i="11"/>
  <c r="Z189" i="11" s="1"/>
  <c r="N189" i="11"/>
  <c r="O201" i="11"/>
  <c r="Z201" i="11" s="1"/>
  <c r="N201" i="11"/>
  <c r="O229" i="11"/>
  <c r="Z229" i="11" s="1"/>
  <c r="N229" i="11"/>
  <c r="N241" i="11"/>
  <c r="O241" i="11"/>
  <c r="Z241" i="11" s="1"/>
  <c r="O55" i="11"/>
  <c r="Z55" i="11" s="1"/>
  <c r="N55" i="11"/>
  <c r="O115" i="11"/>
  <c r="Z115" i="11" s="1"/>
  <c r="N115" i="11"/>
  <c r="O123" i="11"/>
  <c r="Z123" i="11" s="1"/>
  <c r="N123" i="11"/>
  <c r="O135" i="11"/>
  <c r="Z135" i="11" s="1"/>
  <c r="N135" i="11"/>
  <c r="O80" i="11"/>
  <c r="Z80" i="11" s="1"/>
  <c r="N80" i="11"/>
  <c r="O37" i="11"/>
  <c r="Z37" i="11" s="1"/>
  <c r="N37" i="11"/>
  <c r="N45" i="11"/>
  <c r="O45" i="11"/>
  <c r="Z45" i="11" s="1"/>
  <c r="O53" i="11"/>
  <c r="Z53" i="11" s="1"/>
  <c r="N53" i="11"/>
  <c r="N61" i="11"/>
  <c r="O61" i="11"/>
  <c r="Z61" i="11" s="1"/>
  <c r="N109" i="11"/>
  <c r="O109" i="11"/>
  <c r="Z109" i="11" s="1"/>
  <c r="N129" i="11"/>
  <c r="O129" i="11"/>
  <c r="Z129" i="11" s="1"/>
  <c r="O149" i="11"/>
  <c r="Z149" i="11" s="1"/>
  <c r="N149" i="11"/>
  <c r="O157" i="11"/>
  <c r="Z157" i="11" s="1"/>
  <c r="N157" i="11"/>
  <c r="N172" i="11"/>
  <c r="O172" i="11"/>
  <c r="Z172" i="11" s="1"/>
  <c r="O184" i="11"/>
  <c r="Z184" i="11" s="1"/>
  <c r="N184" i="11"/>
  <c r="N204" i="11"/>
  <c r="O204" i="11"/>
  <c r="Z204" i="11" s="1"/>
  <c r="O216" i="11"/>
  <c r="Z216" i="11" s="1"/>
  <c r="N216" i="11"/>
  <c r="N236" i="11"/>
  <c r="O236" i="11"/>
  <c r="Z236" i="11" s="1"/>
  <c r="N22" i="11"/>
  <c r="O22" i="11"/>
  <c r="Z22" i="11" s="1"/>
  <c r="N30" i="11"/>
  <c r="O30" i="11"/>
  <c r="Z30" i="11" s="1"/>
  <c r="N38" i="11"/>
  <c r="O38" i="11"/>
  <c r="Z38" i="11" s="1"/>
  <c r="N46" i="11"/>
  <c r="O46" i="11"/>
  <c r="Z46" i="11" s="1"/>
  <c r="N50" i="11"/>
  <c r="O50" i="11"/>
  <c r="Z50" i="11" s="1"/>
  <c r="O58" i="11"/>
  <c r="Z58" i="11" s="1"/>
  <c r="N58" i="11"/>
  <c r="N66" i="11"/>
  <c r="O66" i="11"/>
  <c r="Z66" i="11" s="1"/>
  <c r="N102" i="11"/>
  <c r="O102" i="11"/>
  <c r="Z102" i="11" s="1"/>
  <c r="N110" i="11"/>
  <c r="O110" i="11"/>
  <c r="Z110" i="11" s="1"/>
  <c r="N130" i="11"/>
  <c r="O130" i="11"/>
  <c r="Z130" i="11" s="1"/>
  <c r="N150" i="11"/>
  <c r="O150" i="11"/>
  <c r="Z150" i="11" s="1"/>
  <c r="O79" i="11"/>
  <c r="Z79" i="11" s="1"/>
  <c r="N79" i="11"/>
  <c r="O170" i="11"/>
  <c r="Z170" i="11" s="1"/>
  <c r="N170" i="11"/>
  <c r="O178" i="11"/>
  <c r="Z178" i="11" s="1"/>
  <c r="N178" i="11"/>
  <c r="O194" i="11"/>
  <c r="Z194" i="11" s="1"/>
  <c r="N194" i="11"/>
  <c r="N230" i="11"/>
  <c r="O230" i="11"/>
  <c r="Z230" i="11" s="1"/>
  <c r="O20" i="11"/>
  <c r="Z20" i="11" s="1"/>
  <c r="N20" i="11"/>
  <c r="O92" i="11"/>
  <c r="Z92" i="11" s="1"/>
  <c r="N92" i="11"/>
  <c r="O124" i="11"/>
  <c r="Z124" i="11" s="1"/>
  <c r="N124" i="11"/>
  <c r="O186" i="11"/>
  <c r="Z186" i="11" s="1"/>
  <c r="N186" i="11"/>
  <c r="O234" i="11"/>
  <c r="Z234" i="11" s="1"/>
  <c r="N234" i="11"/>
  <c r="O52" i="11"/>
  <c r="Z52" i="11" s="1"/>
  <c r="N52" i="11"/>
  <c r="O88" i="11"/>
  <c r="Z88" i="11" s="1"/>
  <c r="N88" i="11"/>
  <c r="O116" i="11"/>
  <c r="Z116" i="11" s="1"/>
  <c r="N116" i="11"/>
  <c r="O132" i="11"/>
  <c r="Z132" i="11" s="1"/>
  <c r="N132" i="11"/>
  <c r="O176" i="11"/>
  <c r="Z176" i="11" s="1"/>
  <c r="N176" i="11"/>
  <c r="O152" i="11"/>
  <c r="Z152" i="11" s="1"/>
  <c r="N152" i="11"/>
  <c r="O159" i="11"/>
  <c r="Z159" i="11" s="1"/>
  <c r="N159" i="11"/>
  <c r="O205" i="11"/>
  <c r="Z205" i="11" s="1"/>
  <c r="N205" i="11"/>
  <c r="O245" i="11"/>
  <c r="Z245" i="11" s="1"/>
  <c r="N245" i="11"/>
  <c r="O35" i="11"/>
  <c r="Z35" i="11" s="1"/>
  <c r="N35" i="11"/>
  <c r="O71" i="11"/>
  <c r="Z71" i="11" s="1"/>
  <c r="N71" i="11"/>
  <c r="O107" i="11"/>
  <c r="Z107" i="11" s="1"/>
  <c r="N107" i="11"/>
  <c r="O85" i="11"/>
  <c r="Z85" i="11" s="1"/>
  <c r="N85" i="11"/>
  <c r="O228" i="11"/>
  <c r="Z228" i="11" s="1"/>
  <c r="N228" i="11"/>
  <c r="O74" i="11"/>
  <c r="Z74" i="11" s="1"/>
  <c r="N74" i="11"/>
  <c r="N94" i="11"/>
  <c r="O94" i="11"/>
  <c r="Z94" i="11" s="1"/>
  <c r="O122" i="11"/>
  <c r="Z122" i="11" s="1"/>
  <c r="N122" i="11"/>
  <c r="O222" i="11"/>
  <c r="Z222" i="11" s="1"/>
  <c r="N222" i="11"/>
  <c r="O31" i="11"/>
  <c r="Z31" i="11" s="1"/>
  <c r="N31" i="11"/>
  <c r="N214" i="11"/>
  <c r="O214" i="11"/>
  <c r="Z214" i="11" s="1"/>
  <c r="N72" i="11"/>
  <c r="O72" i="11"/>
  <c r="Z72" i="11" s="1"/>
  <c r="O128" i="11"/>
  <c r="Z128" i="11" s="1"/>
  <c r="N128" i="11"/>
  <c r="O148" i="11"/>
  <c r="Z148" i="11" s="1"/>
  <c r="N148" i="11"/>
  <c r="O240" i="11"/>
  <c r="Z240" i="11" s="1"/>
  <c r="N240" i="11"/>
  <c r="O160" i="11"/>
  <c r="Z160" i="11" s="1"/>
  <c r="N160" i="11"/>
  <c r="O165" i="11"/>
  <c r="Z165" i="11" s="1"/>
  <c r="N165" i="11"/>
  <c r="O169" i="11"/>
  <c r="Z169" i="11" s="1"/>
  <c r="N169" i="11"/>
  <c r="O197" i="11"/>
  <c r="Z197" i="11" s="1"/>
  <c r="N197" i="11"/>
  <c r="N209" i="11"/>
  <c r="O209" i="11"/>
  <c r="Z209" i="11" s="1"/>
  <c r="O221" i="11"/>
  <c r="Z221" i="11" s="1"/>
  <c r="N221" i="11"/>
  <c r="O233" i="11"/>
  <c r="Z233" i="11" s="1"/>
  <c r="N233" i="11"/>
  <c r="O11" i="11"/>
  <c r="Z11" i="11" s="1"/>
  <c r="N11" i="11"/>
  <c r="O23" i="11"/>
  <c r="Z23" i="11" s="1"/>
  <c r="N23" i="11"/>
  <c r="O75" i="11"/>
  <c r="Z75" i="11" s="1"/>
  <c r="N75" i="11"/>
  <c r="O87" i="11"/>
  <c r="Z87" i="11" s="1"/>
  <c r="N87" i="11"/>
  <c r="O103" i="11"/>
  <c r="Z103" i="11" s="1"/>
  <c r="N103" i="11"/>
  <c r="O147" i="11"/>
  <c r="Z147" i="11" s="1"/>
  <c r="N147" i="11"/>
  <c r="O155" i="11"/>
  <c r="Z155" i="11" s="1"/>
  <c r="N155" i="11"/>
  <c r="O162" i="11"/>
  <c r="Z162" i="11" s="1"/>
  <c r="N162" i="11"/>
  <c r="O171" i="11"/>
  <c r="Z171" i="11" s="1"/>
  <c r="N171" i="11"/>
  <c r="O179" i="11"/>
  <c r="Z179" i="11" s="1"/>
  <c r="N179" i="11"/>
  <c r="O187" i="11"/>
  <c r="Z187" i="11" s="1"/>
  <c r="N187" i="11"/>
  <c r="O195" i="11"/>
  <c r="Z195" i="11" s="1"/>
  <c r="N195" i="11"/>
  <c r="O203" i="11"/>
  <c r="Z203" i="11" s="1"/>
  <c r="N203" i="11"/>
  <c r="O211" i="11"/>
  <c r="Z211" i="11" s="1"/>
  <c r="N211" i="11"/>
  <c r="O219" i="11"/>
  <c r="Z219" i="11" s="1"/>
  <c r="N219" i="11"/>
  <c r="O227" i="11"/>
  <c r="Z227" i="11" s="1"/>
  <c r="N227" i="11"/>
  <c r="O235" i="11"/>
  <c r="Z235" i="11" s="1"/>
  <c r="N235" i="11"/>
  <c r="O243" i="11"/>
  <c r="Z243" i="11" s="1"/>
  <c r="N243" i="11"/>
  <c r="N13" i="11"/>
  <c r="O13" i="11"/>
  <c r="Z13" i="11" s="1"/>
  <c r="O41" i="11"/>
  <c r="Z41" i="11" s="1"/>
  <c r="N41" i="11"/>
  <c r="N49" i="11"/>
  <c r="O49" i="11"/>
  <c r="Z49" i="11" s="1"/>
  <c r="O57" i="11"/>
  <c r="Z57" i="11" s="1"/>
  <c r="N57" i="11"/>
  <c r="N113" i="11"/>
  <c r="O113" i="11"/>
  <c r="Z113" i="11" s="1"/>
  <c r="N125" i="11"/>
  <c r="O125" i="11"/>
  <c r="Z125" i="11" s="1"/>
  <c r="N145" i="11"/>
  <c r="O145" i="11"/>
  <c r="Z145" i="11" s="1"/>
  <c r="O153" i="11"/>
  <c r="Z153" i="11" s="1"/>
  <c r="N153" i="11"/>
  <c r="O168" i="11"/>
  <c r="Z168" i="11" s="1"/>
  <c r="N168" i="11"/>
  <c r="O180" i="11"/>
  <c r="Z180" i="11" s="1"/>
  <c r="N180" i="11"/>
  <c r="O192" i="11"/>
  <c r="Z192" i="11" s="1"/>
  <c r="N192" i="11"/>
  <c r="N220" i="11"/>
  <c r="O220" i="11"/>
  <c r="Z220" i="11" s="1"/>
  <c r="O232" i="11"/>
  <c r="Z232" i="11" s="1"/>
  <c r="N232" i="11"/>
  <c r="O244" i="11"/>
  <c r="Z244" i="11" s="1"/>
  <c r="N244" i="11"/>
  <c r="O10" i="11"/>
  <c r="Z10" i="11" s="1"/>
  <c r="N10" i="11"/>
  <c r="O18" i="11"/>
  <c r="Z18" i="11" s="1"/>
  <c r="N18" i="11"/>
  <c r="O26" i="11"/>
  <c r="Z26" i="11" s="1"/>
  <c r="N26" i="11"/>
  <c r="N34" i="11"/>
  <c r="O34" i="11"/>
  <c r="Z34" i="11" s="1"/>
  <c r="O42" i="11"/>
  <c r="Z42" i="11" s="1"/>
  <c r="N42" i="11"/>
  <c r="N54" i="11"/>
  <c r="O54" i="11"/>
  <c r="Z54" i="11" s="1"/>
  <c r="N62" i="11"/>
  <c r="O62" i="11"/>
  <c r="Z62" i="11" s="1"/>
  <c r="N70" i="11"/>
  <c r="O70" i="11"/>
  <c r="Z70" i="11" s="1"/>
  <c r="O106" i="11"/>
  <c r="Z106" i="11" s="1"/>
  <c r="N106" i="11"/>
  <c r="N114" i="11"/>
  <c r="O114" i="11"/>
  <c r="Z114" i="11" s="1"/>
  <c r="N134" i="11"/>
  <c r="O134" i="11"/>
  <c r="Z134" i="11" s="1"/>
  <c r="N146" i="11"/>
  <c r="O146" i="11"/>
  <c r="Z146" i="11" s="1"/>
  <c r="O143" i="11"/>
  <c r="Z143" i="11" s="1"/>
  <c r="N143" i="11"/>
  <c r="N161" i="11"/>
  <c r="O161" i="11"/>
  <c r="Z161" i="11" s="1"/>
  <c r="O174" i="11"/>
  <c r="Z174" i="11" s="1"/>
  <c r="N174" i="11"/>
  <c r="O206" i="11"/>
  <c r="Z206" i="11" s="1"/>
  <c r="N206" i="11"/>
  <c r="O238" i="11"/>
  <c r="Z238" i="11" s="1"/>
  <c r="N238" i="11"/>
  <c r="O84" i="11"/>
  <c r="Z84" i="11" s="1"/>
  <c r="N84" i="11"/>
  <c r="O100" i="11"/>
  <c r="Z100" i="11" s="1"/>
  <c r="N100" i="11"/>
  <c r="O63" i="11"/>
  <c r="Z63" i="11" s="1"/>
  <c r="N63" i="11"/>
  <c r="N166" i="11"/>
  <c r="O166" i="11"/>
  <c r="Z166" i="11" s="1"/>
  <c r="N198" i="11"/>
  <c r="O198" i="11"/>
  <c r="Z198" i="11" s="1"/>
  <c r="O218" i="11"/>
  <c r="Z218" i="11" s="1"/>
  <c r="N218" i="11"/>
  <c r="O242" i="11"/>
  <c r="Z242" i="11" s="1"/>
  <c r="N242" i="11"/>
  <c r="O28" i="11"/>
  <c r="Z28" i="11" s="1"/>
  <c r="N28" i="11"/>
  <c r="O36" i="11"/>
  <c r="Z36" i="11" s="1"/>
  <c r="N36" i="11"/>
  <c r="O44" i="11"/>
  <c r="Z44" i="11" s="1"/>
  <c r="N44" i="11"/>
  <c r="O60" i="11"/>
  <c r="Z60" i="11" s="1"/>
  <c r="N60" i="11"/>
  <c r="O96" i="11"/>
  <c r="Z96" i="11" s="1"/>
  <c r="N96" i="11"/>
  <c r="O136" i="11"/>
  <c r="Z136" i="11" s="1"/>
  <c r="N136" i="11"/>
  <c r="O112" i="11"/>
  <c r="Z112" i="11" s="1"/>
  <c r="N112" i="11"/>
  <c r="K59" i="12"/>
  <c r="K10" i="12"/>
  <c r="K62" i="12"/>
  <c r="K187" i="12"/>
  <c r="K190" i="12"/>
  <c r="K75" i="12"/>
  <c r="K139" i="12"/>
  <c r="K203" i="12"/>
  <c r="K26" i="12"/>
  <c r="K94" i="12"/>
  <c r="K222" i="12"/>
  <c r="K242" i="12"/>
  <c r="K123" i="12"/>
  <c r="K91" i="12"/>
  <c r="K155" i="12"/>
  <c r="K219" i="12"/>
  <c r="K7" i="12"/>
  <c r="K126" i="12"/>
  <c r="K16" i="12"/>
  <c r="K104" i="12"/>
  <c r="K232" i="12"/>
  <c r="K290" i="12"/>
  <c r="K137" i="12"/>
  <c r="K205" i="12"/>
  <c r="K88" i="12"/>
  <c r="K212" i="12"/>
  <c r="K300" i="12"/>
  <c r="K24" i="12"/>
  <c r="K73" i="12"/>
  <c r="K261" i="12"/>
  <c r="K164" i="12"/>
  <c r="K289" i="12"/>
  <c r="K263" i="12"/>
  <c r="K280" i="12"/>
  <c r="K97" i="12"/>
  <c r="K106" i="12"/>
  <c r="K50" i="12"/>
  <c r="K25" i="12"/>
  <c r="K13" i="12"/>
  <c r="K278" i="12"/>
  <c r="K246" i="12"/>
  <c r="K214" i="12"/>
  <c r="K182" i="12"/>
  <c r="K150" i="12"/>
  <c r="K118" i="12"/>
  <c r="K86" i="12"/>
  <c r="K54" i="12"/>
  <c r="K31" i="12"/>
  <c r="K38" i="12"/>
  <c r="K22" i="12"/>
  <c r="K6" i="12"/>
  <c r="K231" i="12"/>
  <c r="K215" i="12"/>
  <c r="K199" i="12"/>
  <c r="K183" i="12"/>
  <c r="K167" i="12"/>
  <c r="K151" i="12"/>
  <c r="K135" i="12"/>
  <c r="K119" i="12"/>
  <c r="K103" i="12"/>
  <c r="K87" i="12"/>
  <c r="K71" i="12"/>
  <c r="K55" i="12"/>
  <c r="K33" i="12"/>
  <c r="K21" i="12"/>
  <c r="K302" i="12"/>
  <c r="K270" i="12"/>
  <c r="K238" i="12"/>
  <c r="K206" i="12"/>
  <c r="K174" i="12"/>
  <c r="K142" i="12"/>
  <c r="K110" i="12"/>
  <c r="K78" i="12"/>
  <c r="K46" i="12"/>
  <c r="K23" i="12"/>
  <c r="K34" i="12"/>
  <c r="K18" i="12"/>
  <c r="K247" i="12"/>
  <c r="K227" i="12"/>
  <c r="K211" i="12"/>
  <c r="K195" i="12"/>
  <c r="K179" i="12"/>
  <c r="K163" i="12"/>
  <c r="K147" i="12"/>
  <c r="K131" i="12"/>
  <c r="K115" i="12"/>
  <c r="K99" i="12"/>
  <c r="K83" i="12"/>
  <c r="K67" i="12"/>
  <c r="K51" i="12"/>
  <c r="K41" i="12"/>
  <c r="K29" i="12"/>
  <c r="K9" i="12"/>
  <c r="K294" i="12"/>
  <c r="K262" i="12"/>
  <c r="K230" i="12"/>
  <c r="K198" i="12"/>
  <c r="K166" i="12"/>
  <c r="K134" i="12"/>
  <c r="K102" i="12"/>
  <c r="K70" i="12"/>
  <c r="K35" i="12"/>
  <c r="K15" i="12"/>
  <c r="K30" i="12"/>
  <c r="K14" i="12"/>
  <c r="K243" i="12"/>
  <c r="K223" i="12"/>
  <c r="K207" i="12"/>
  <c r="K191" i="12"/>
  <c r="K175" i="12"/>
  <c r="K159" i="12"/>
  <c r="K143" i="12"/>
  <c r="K127" i="12"/>
  <c r="K111" i="12"/>
  <c r="K95" i="12"/>
  <c r="K79" i="12"/>
  <c r="K63" i="12"/>
  <c r="K47" i="12"/>
  <c r="K186" i="12"/>
  <c r="K114" i="12"/>
  <c r="K42" i="12"/>
  <c r="K77" i="12"/>
  <c r="K136" i="12"/>
  <c r="K196" i="12"/>
  <c r="K260" i="12"/>
  <c r="K161" i="12"/>
  <c r="K69" i="12"/>
  <c r="K194" i="12"/>
  <c r="K130" i="12"/>
  <c r="K201" i="12"/>
  <c r="K141" i="12"/>
  <c r="K20" i="12"/>
  <c r="K120" i="12"/>
  <c r="K180" i="12"/>
  <c r="K244" i="12"/>
  <c r="K225" i="12"/>
  <c r="K299" i="12"/>
  <c r="K213" i="12"/>
  <c r="K250" i="12"/>
  <c r="K210" i="12"/>
  <c r="K265" i="12"/>
  <c r="K239" i="12"/>
  <c r="K259" i="12"/>
  <c r="K271" i="12"/>
  <c r="K283" i="12"/>
  <c r="K303" i="12"/>
  <c r="K32" i="12"/>
  <c r="K93" i="12"/>
  <c r="K157" i="12"/>
  <c r="K221" i="12"/>
  <c r="K277" i="12"/>
  <c r="K49" i="12"/>
  <c r="K113" i="12"/>
  <c r="K177" i="12"/>
  <c r="K241" i="12"/>
  <c r="K165" i="12"/>
  <c r="K245" i="12"/>
  <c r="K12" i="12"/>
  <c r="K36" i="12"/>
  <c r="K48" i="12"/>
  <c r="K56" i="12"/>
  <c r="K64" i="12"/>
  <c r="K72" i="12"/>
  <c r="K84" i="12"/>
  <c r="K100" i="12"/>
  <c r="K116" i="12"/>
  <c r="K132" i="12"/>
  <c r="K148" i="12"/>
  <c r="K168" i="12"/>
  <c r="K184" i="12"/>
  <c r="K200" i="12"/>
  <c r="K216" i="12"/>
  <c r="K228" i="12"/>
  <c r="K248" i="12"/>
  <c r="K264" i="12"/>
  <c r="K276" i="12"/>
  <c r="K292" i="12"/>
  <c r="K304" i="12"/>
  <c r="K255" i="12"/>
  <c r="K295" i="12"/>
  <c r="K58" i="12"/>
  <c r="K133" i="12"/>
  <c r="K202" i="12"/>
  <c r="K258" i="12"/>
  <c r="K298" i="12"/>
  <c r="K74" i="12"/>
  <c r="K138" i="12"/>
  <c r="K229" i="12"/>
  <c r="K89" i="12"/>
  <c r="K153" i="12"/>
  <c r="K217" i="12"/>
  <c r="K281" i="12"/>
  <c r="K66" i="12"/>
  <c r="K125" i="12"/>
  <c r="K218" i="12"/>
  <c r="K45" i="12"/>
  <c r="K109" i="12"/>
  <c r="K173" i="12"/>
  <c r="K237" i="12"/>
  <c r="K301" i="12"/>
  <c r="K28" i="12"/>
  <c r="K76" i="12"/>
  <c r="K96" i="12"/>
  <c r="K112" i="12"/>
  <c r="K128" i="12"/>
  <c r="K144" i="12"/>
  <c r="K156" i="12"/>
  <c r="K172" i="12"/>
  <c r="K188" i="12"/>
  <c r="K204" i="12"/>
  <c r="K224" i="12"/>
  <c r="K240" i="12"/>
  <c r="K256" i="12"/>
  <c r="K272" i="12"/>
  <c r="K288" i="12"/>
  <c r="K65" i="12"/>
  <c r="K129" i="12"/>
  <c r="K193" i="12"/>
  <c r="K257" i="12"/>
  <c r="K287" i="12"/>
  <c r="K181" i="12"/>
  <c r="K293" i="12"/>
  <c r="K82" i="12"/>
  <c r="K149" i="12"/>
  <c r="K226" i="12"/>
  <c r="K266" i="12"/>
  <c r="K8" i="12"/>
  <c r="K90" i="12"/>
  <c r="K154" i="12"/>
  <c r="K269" i="12"/>
  <c r="K105" i="12"/>
  <c r="K169" i="12"/>
  <c r="K233" i="12"/>
  <c r="K297" i="12"/>
  <c r="K85" i="12"/>
  <c r="K146" i="12"/>
  <c r="K234" i="12"/>
  <c r="K251" i="12"/>
  <c r="K267" i="12"/>
  <c r="K275" i="12"/>
  <c r="K291" i="12"/>
  <c r="K61" i="12"/>
  <c r="K117" i="12"/>
  <c r="K189" i="12"/>
  <c r="K253" i="12"/>
  <c r="K81" i="12"/>
  <c r="K145" i="12"/>
  <c r="K209" i="12"/>
  <c r="K273" i="12"/>
  <c r="K53" i="12"/>
  <c r="K197" i="12"/>
  <c r="K4" i="12"/>
  <c r="K44" i="12"/>
  <c r="K52" i="12"/>
  <c r="K60" i="12"/>
  <c r="K68" i="12"/>
  <c r="K80" i="12"/>
  <c r="K92" i="12"/>
  <c r="K108" i="12"/>
  <c r="K124" i="12"/>
  <c r="K140" i="12"/>
  <c r="K160" i="12"/>
  <c r="K176" i="12"/>
  <c r="K192" i="12"/>
  <c r="K208" i="12"/>
  <c r="K220" i="12"/>
  <c r="K236" i="12"/>
  <c r="K252" i="12"/>
  <c r="K268" i="12"/>
  <c r="K284" i="12"/>
  <c r="K296" i="12"/>
  <c r="K279" i="12"/>
  <c r="K282" i="12"/>
  <c r="K101" i="12"/>
  <c r="K170" i="12"/>
  <c r="K285" i="12"/>
  <c r="K274" i="12"/>
  <c r="K27" i="12"/>
  <c r="K122" i="12"/>
  <c r="K178" i="12"/>
  <c r="K57" i="12"/>
  <c r="K121" i="12"/>
  <c r="K185" i="12"/>
  <c r="K249" i="12"/>
  <c r="K11" i="12"/>
  <c r="K98" i="12"/>
  <c r="K162" i="12"/>
  <c r="K9" i="10"/>
  <c r="K24" i="10"/>
  <c r="K28" i="10"/>
  <c r="K32" i="10"/>
  <c r="K36" i="10"/>
  <c r="K40" i="10"/>
  <c r="K44" i="10"/>
  <c r="K48" i="10"/>
  <c r="K52" i="10"/>
  <c r="K56" i="10"/>
  <c r="K60" i="10"/>
  <c r="K64" i="10"/>
  <c r="K68" i="10"/>
  <c r="K72" i="10"/>
  <c r="K76" i="10"/>
  <c r="K80" i="10"/>
  <c r="K84" i="10"/>
  <c r="K88" i="10"/>
  <c r="K92" i="10"/>
  <c r="K96" i="10"/>
  <c r="K100" i="10"/>
  <c r="K104" i="10"/>
  <c r="K108" i="10"/>
  <c r="K112" i="10"/>
  <c r="K116" i="10"/>
  <c r="K120" i="10"/>
  <c r="K124" i="10"/>
  <c r="K128" i="10"/>
  <c r="K132" i="10"/>
  <c r="K136" i="10"/>
  <c r="K140" i="10"/>
  <c r="K144" i="10"/>
  <c r="K148" i="10"/>
  <c r="K152" i="10"/>
  <c r="K156" i="10"/>
  <c r="K160" i="10"/>
  <c r="K25" i="10"/>
  <c r="K29" i="10"/>
  <c r="K33" i="10"/>
  <c r="K37" i="10"/>
  <c r="K41" i="10"/>
  <c r="K45" i="10"/>
  <c r="K49" i="10"/>
  <c r="K53" i="10"/>
  <c r="K57" i="10"/>
  <c r="K61" i="10"/>
  <c r="K65" i="10"/>
  <c r="K69" i="10"/>
  <c r="K73" i="10"/>
  <c r="K77" i="10"/>
  <c r="K81" i="10"/>
  <c r="K85" i="10"/>
  <c r="K89" i="10"/>
  <c r="K93" i="10"/>
  <c r="K97" i="10"/>
  <c r="K101" i="10"/>
  <c r="K105" i="10"/>
  <c r="K109" i="10"/>
  <c r="K113" i="10"/>
  <c r="K117" i="10"/>
  <c r="K121" i="10"/>
  <c r="K125" i="10"/>
  <c r="K129" i="10"/>
  <c r="K133" i="10"/>
  <c r="K137" i="10"/>
  <c r="K141" i="10"/>
  <c r="K145" i="10"/>
  <c r="K149" i="10"/>
  <c r="K153" i="10"/>
  <c r="K157" i="10"/>
  <c r="K26" i="10"/>
  <c r="K30" i="10"/>
  <c r="K34" i="10"/>
  <c r="K38" i="10"/>
  <c r="K42" i="10"/>
  <c r="K46" i="10"/>
  <c r="K50" i="10"/>
  <c r="K54" i="10"/>
  <c r="K58" i="10"/>
  <c r="K62" i="10"/>
  <c r="K66" i="10"/>
  <c r="K70" i="10"/>
  <c r="K74" i="10"/>
  <c r="K78" i="10"/>
  <c r="K82" i="10"/>
  <c r="K86" i="10"/>
  <c r="K90" i="10"/>
  <c r="K94" i="10"/>
  <c r="K98" i="10"/>
  <c r="K102" i="10"/>
  <c r="K106" i="10"/>
  <c r="K110" i="10"/>
  <c r="K114" i="10"/>
  <c r="K118" i="10"/>
  <c r="K122" i="10"/>
  <c r="K126" i="10"/>
  <c r="K130" i="10"/>
  <c r="K134" i="10"/>
  <c r="K138" i="10"/>
  <c r="K142" i="10"/>
  <c r="K146" i="10"/>
  <c r="K150" i="10"/>
  <c r="K154" i="10"/>
  <c r="K158" i="10"/>
  <c r="K31" i="10"/>
  <c r="K47" i="10"/>
  <c r="K63" i="10"/>
  <c r="K79" i="10"/>
  <c r="K95" i="10"/>
  <c r="K111" i="10"/>
  <c r="K127" i="10"/>
  <c r="K143" i="10"/>
  <c r="K159" i="10"/>
  <c r="K27" i="10"/>
  <c r="K91" i="10"/>
  <c r="K139" i="10"/>
  <c r="K35" i="10"/>
  <c r="K51" i="10"/>
  <c r="K67" i="10"/>
  <c r="K83" i="10"/>
  <c r="K99" i="10"/>
  <c r="K115" i="10"/>
  <c r="K131" i="10"/>
  <c r="K147" i="10"/>
  <c r="K43" i="10"/>
  <c r="K107" i="10"/>
  <c r="K123" i="10"/>
  <c r="K23" i="10"/>
  <c r="K39" i="10"/>
  <c r="K55" i="10"/>
  <c r="K71" i="10"/>
  <c r="K87" i="10"/>
  <c r="K103" i="10"/>
  <c r="K119" i="10"/>
  <c r="K135" i="10"/>
  <c r="K151" i="10"/>
  <c r="K59" i="10"/>
  <c r="K75" i="10"/>
  <c r="K155" i="10"/>
  <c r="K18" i="10"/>
  <c r="K13" i="10"/>
  <c r="K8" i="10"/>
  <c r="K20" i="10"/>
  <c r="K22" i="10"/>
  <c r="K15" i="10"/>
  <c r="K11" i="10"/>
  <c r="K7" i="10"/>
  <c r="K6" i="10"/>
  <c r="K17" i="10"/>
  <c r="K10" i="10"/>
  <c r="K5" i="10"/>
  <c r="K21" i="10"/>
  <c r="K16" i="10"/>
  <c r="K4" i="10"/>
  <c r="K12" i="10"/>
  <c r="K19" i="10"/>
  <c r="I502" i="9"/>
  <c r="J10" i="9" s="1"/>
  <c r="J9" i="9"/>
  <c r="O103" i="10" l="1"/>
  <c r="N103" i="10"/>
  <c r="O35" i="10"/>
  <c r="N35" i="10"/>
  <c r="O159" i="10"/>
  <c r="N159" i="10"/>
  <c r="N130" i="10"/>
  <c r="O130" i="10"/>
  <c r="N98" i="10"/>
  <c r="O98" i="10"/>
  <c r="N66" i="10"/>
  <c r="O66" i="10"/>
  <c r="N137" i="10"/>
  <c r="O137" i="10"/>
  <c r="N89" i="10"/>
  <c r="O89" i="10"/>
  <c r="N57" i="10"/>
  <c r="O57" i="10"/>
  <c r="N132" i="10"/>
  <c r="O132" i="10"/>
  <c r="O100" i="10"/>
  <c r="N100" i="10"/>
  <c r="O9" i="10"/>
  <c r="N9" i="10"/>
  <c r="N21" i="10"/>
  <c r="O21" i="10"/>
  <c r="N18" i="10"/>
  <c r="O18" i="10"/>
  <c r="O151" i="10"/>
  <c r="N151" i="10"/>
  <c r="O87" i="10"/>
  <c r="N87" i="10"/>
  <c r="O23" i="10"/>
  <c r="N23" i="10"/>
  <c r="O147" i="10"/>
  <c r="N147" i="10"/>
  <c r="O83" i="10"/>
  <c r="N83" i="10"/>
  <c r="O139" i="10"/>
  <c r="N139" i="10"/>
  <c r="O143" i="10"/>
  <c r="N143" i="10"/>
  <c r="O79" i="10"/>
  <c r="N79" i="10"/>
  <c r="N158" i="10"/>
  <c r="O158" i="10"/>
  <c r="N142" i="10"/>
  <c r="O142" i="10"/>
  <c r="N126" i="10"/>
  <c r="O126" i="10"/>
  <c r="N110" i="10"/>
  <c r="O110" i="10"/>
  <c r="N94" i="10"/>
  <c r="O94" i="10"/>
  <c r="N78" i="10"/>
  <c r="O78" i="10"/>
  <c r="N62" i="10"/>
  <c r="O62" i="10"/>
  <c r="N46" i="10"/>
  <c r="O46" i="10"/>
  <c r="N30" i="10"/>
  <c r="O30" i="10"/>
  <c r="N149" i="10"/>
  <c r="O149" i="10"/>
  <c r="N133" i="10"/>
  <c r="O133" i="10"/>
  <c r="N117" i="10"/>
  <c r="O117" i="10"/>
  <c r="N101" i="10"/>
  <c r="O101" i="10"/>
  <c r="N85" i="10"/>
  <c r="O85" i="10"/>
  <c r="N69" i="10"/>
  <c r="O69" i="10"/>
  <c r="N53" i="10"/>
  <c r="O53" i="10"/>
  <c r="N37" i="10"/>
  <c r="O37" i="10"/>
  <c r="N160" i="10"/>
  <c r="O160" i="10"/>
  <c r="O144" i="10"/>
  <c r="N144" i="10"/>
  <c r="O128" i="10"/>
  <c r="N128" i="10"/>
  <c r="N112" i="10"/>
  <c r="O112" i="10"/>
  <c r="N96" i="10"/>
  <c r="O96" i="10"/>
  <c r="O80" i="10"/>
  <c r="N80" i="10"/>
  <c r="O64" i="10"/>
  <c r="N64" i="10"/>
  <c r="N48" i="10"/>
  <c r="O48" i="10"/>
  <c r="N32" i="10"/>
  <c r="O32" i="10"/>
  <c r="O39" i="10"/>
  <c r="N39" i="10"/>
  <c r="O99" i="10"/>
  <c r="N99" i="10"/>
  <c r="O95" i="10"/>
  <c r="N95" i="10"/>
  <c r="N146" i="10"/>
  <c r="O146" i="10"/>
  <c r="N114" i="10"/>
  <c r="O114" i="10"/>
  <c r="N50" i="10"/>
  <c r="O50" i="10"/>
  <c r="N153" i="10"/>
  <c r="O153" i="10"/>
  <c r="N105" i="10"/>
  <c r="O105" i="10"/>
  <c r="N25" i="10"/>
  <c r="O25" i="10"/>
  <c r="N148" i="10"/>
  <c r="O148" i="10"/>
  <c r="O68" i="10"/>
  <c r="N68" i="10"/>
  <c r="O36" i="10"/>
  <c r="N36" i="10"/>
  <c r="O155" i="10"/>
  <c r="N155" i="10"/>
  <c r="O135" i="10"/>
  <c r="N135" i="10"/>
  <c r="O71" i="10"/>
  <c r="N71" i="10"/>
  <c r="O123" i="10"/>
  <c r="N123" i="10"/>
  <c r="O131" i="10"/>
  <c r="N131" i="10"/>
  <c r="O67" i="10"/>
  <c r="N67" i="10"/>
  <c r="O91" i="10"/>
  <c r="N91" i="10"/>
  <c r="O127" i="10"/>
  <c r="N127" i="10"/>
  <c r="O63" i="10"/>
  <c r="N63" i="10"/>
  <c r="N154" i="10"/>
  <c r="O154" i="10"/>
  <c r="N138" i="10"/>
  <c r="O138" i="10"/>
  <c r="N122" i="10"/>
  <c r="O122" i="10"/>
  <c r="N106" i="10"/>
  <c r="O106" i="10"/>
  <c r="N90" i="10"/>
  <c r="O90" i="10"/>
  <c r="N74" i="10"/>
  <c r="O74" i="10"/>
  <c r="N58" i="10"/>
  <c r="O58" i="10"/>
  <c r="N42" i="10"/>
  <c r="O42" i="10"/>
  <c r="N26" i="10"/>
  <c r="O26" i="10"/>
  <c r="N145" i="10"/>
  <c r="O145" i="10"/>
  <c r="N129" i="10"/>
  <c r="O129" i="10"/>
  <c r="N113" i="10"/>
  <c r="O113" i="10"/>
  <c r="N97" i="10"/>
  <c r="O97" i="10"/>
  <c r="N81" i="10"/>
  <c r="O81" i="10"/>
  <c r="N65" i="10"/>
  <c r="O65" i="10"/>
  <c r="N49" i="10"/>
  <c r="O49" i="10"/>
  <c r="N33" i="10"/>
  <c r="O33" i="10"/>
  <c r="O156" i="10"/>
  <c r="N156" i="10"/>
  <c r="O140" i="10"/>
  <c r="N140" i="10"/>
  <c r="N124" i="10"/>
  <c r="O124" i="10"/>
  <c r="O108" i="10"/>
  <c r="N108" i="10"/>
  <c r="O92" i="10"/>
  <c r="N92" i="10"/>
  <c r="N76" i="10"/>
  <c r="O76" i="10"/>
  <c r="N60" i="10"/>
  <c r="O60" i="10"/>
  <c r="O44" i="10"/>
  <c r="N44" i="10"/>
  <c r="O28" i="10"/>
  <c r="N28" i="10"/>
  <c r="O59" i="10"/>
  <c r="N59" i="10"/>
  <c r="O43" i="10"/>
  <c r="N43" i="10"/>
  <c r="O31" i="10"/>
  <c r="N31" i="10"/>
  <c r="N82" i="10"/>
  <c r="O82" i="10"/>
  <c r="N34" i="10"/>
  <c r="O34" i="10"/>
  <c r="N121" i="10"/>
  <c r="O121" i="10"/>
  <c r="N73" i="10"/>
  <c r="O73" i="10"/>
  <c r="N41" i="10"/>
  <c r="O41" i="10"/>
  <c r="O116" i="10"/>
  <c r="N116" i="10"/>
  <c r="N84" i="10"/>
  <c r="O84" i="10"/>
  <c r="O52" i="10"/>
  <c r="N52" i="10"/>
  <c r="N10" i="10"/>
  <c r="O10" i="10"/>
  <c r="O75" i="10"/>
  <c r="N75" i="10"/>
  <c r="O119" i="10"/>
  <c r="N119" i="10"/>
  <c r="O55" i="10"/>
  <c r="N55" i="10"/>
  <c r="O107" i="10"/>
  <c r="N107" i="10"/>
  <c r="O115" i="10"/>
  <c r="N115" i="10"/>
  <c r="O51" i="10"/>
  <c r="N51" i="10"/>
  <c r="O27" i="10"/>
  <c r="N27" i="10"/>
  <c r="O111" i="10"/>
  <c r="N111" i="10"/>
  <c r="O47" i="10"/>
  <c r="N47" i="10"/>
  <c r="N150" i="10"/>
  <c r="O150" i="10"/>
  <c r="N134" i="10"/>
  <c r="O134" i="10"/>
  <c r="N118" i="10"/>
  <c r="O118" i="10"/>
  <c r="N102" i="10"/>
  <c r="O102" i="10"/>
  <c r="N86" i="10"/>
  <c r="O86" i="10"/>
  <c r="N70" i="10"/>
  <c r="O70" i="10"/>
  <c r="N54" i="10"/>
  <c r="O54" i="10"/>
  <c r="N38" i="10"/>
  <c r="O38" i="10"/>
  <c r="N157" i="10"/>
  <c r="O157" i="10"/>
  <c r="N141" i="10"/>
  <c r="O141" i="10"/>
  <c r="N125" i="10"/>
  <c r="O125" i="10"/>
  <c r="N109" i="10"/>
  <c r="O109" i="10"/>
  <c r="N93" i="10"/>
  <c r="O93" i="10"/>
  <c r="N77" i="10"/>
  <c r="O77" i="10"/>
  <c r="N61" i="10"/>
  <c r="O61" i="10"/>
  <c r="N45" i="10"/>
  <c r="O45" i="10"/>
  <c r="N29" i="10"/>
  <c r="O29" i="10"/>
  <c r="O152" i="10"/>
  <c r="N152" i="10"/>
  <c r="O136" i="10"/>
  <c r="N136" i="10"/>
  <c r="O120" i="10"/>
  <c r="N120" i="10"/>
  <c r="O104" i="10"/>
  <c r="N104" i="10"/>
  <c r="O88" i="10"/>
  <c r="N88" i="10"/>
  <c r="O72" i="10"/>
  <c r="N72" i="10"/>
  <c r="O56" i="10"/>
  <c r="N56" i="10"/>
  <c r="O40" i="10"/>
  <c r="N40" i="10"/>
  <c r="O24" i="10"/>
  <c r="N24" i="10"/>
  <c r="K9" i="9"/>
  <c r="J11" i="9"/>
  <c r="J6" i="9"/>
  <c r="K6" i="9"/>
  <c r="K11" i="9"/>
  <c r="K10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<sst xmlns="http://schemas.openxmlformats.org/spreadsheetml/2006/main" count="10265" uniqueCount="3596">
  <si>
    <t>payment_key</t>
  </si>
  <si>
    <t>coustomer_key</t>
  </si>
  <si>
    <t>time_key</t>
  </si>
  <si>
    <t>item_key</t>
  </si>
  <si>
    <t>store_key</t>
  </si>
  <si>
    <t>quantity</t>
  </si>
  <si>
    <t>unit</t>
  </si>
  <si>
    <t>unit_price</t>
  </si>
  <si>
    <t>P026</t>
  </si>
  <si>
    <t>C004510</t>
  </si>
  <si>
    <t>T049189</t>
  </si>
  <si>
    <t>I00177</t>
  </si>
  <si>
    <t>S00307</t>
  </si>
  <si>
    <t>ct</t>
  </si>
  <si>
    <t>P022</t>
  </si>
  <si>
    <t>C008967</t>
  </si>
  <si>
    <t>T041209</t>
  </si>
  <si>
    <t>I00248</t>
  </si>
  <si>
    <t>S00595</t>
  </si>
  <si>
    <t>rolls</t>
  </si>
  <si>
    <t>P030</t>
  </si>
  <si>
    <t>C007261</t>
  </si>
  <si>
    <t>T03633</t>
  </si>
  <si>
    <t>I00195</t>
  </si>
  <si>
    <t>S00496</t>
  </si>
  <si>
    <t>P032</t>
  </si>
  <si>
    <t>C007048</t>
  </si>
  <si>
    <t>T084631</t>
  </si>
  <si>
    <t>I00131</t>
  </si>
  <si>
    <t>S0086</t>
  </si>
  <si>
    <t>P014</t>
  </si>
  <si>
    <t>C006430</t>
  </si>
  <si>
    <t>T071276</t>
  </si>
  <si>
    <t>I00050</t>
  </si>
  <si>
    <t>S00488</t>
  </si>
  <si>
    <t>cans</t>
  </si>
  <si>
    <t>sumif</t>
  </si>
  <si>
    <t>countif</t>
  </si>
  <si>
    <t>Rank.avg</t>
  </si>
  <si>
    <t>Rank.eq</t>
  </si>
  <si>
    <t>Exact</t>
  </si>
  <si>
    <t>Concat</t>
  </si>
  <si>
    <t>Find</t>
  </si>
  <si>
    <t>Left</t>
  </si>
  <si>
    <t>Right</t>
  </si>
  <si>
    <t>Mid</t>
  </si>
  <si>
    <t>Upper</t>
  </si>
  <si>
    <t>Lower</t>
  </si>
  <si>
    <t>Len</t>
  </si>
  <si>
    <t>Search</t>
  </si>
  <si>
    <t>Substitute</t>
  </si>
  <si>
    <t>Textjoin</t>
  </si>
  <si>
    <t>Char</t>
  </si>
  <si>
    <t>Sort</t>
  </si>
  <si>
    <t xml:space="preserve">Advance filter </t>
  </si>
  <si>
    <t>P006</t>
  </si>
  <si>
    <t>C007574</t>
  </si>
  <si>
    <t>T026950</t>
  </si>
  <si>
    <t>I00058</t>
  </si>
  <si>
    <t>S00328</t>
  </si>
  <si>
    <t>bottles</t>
  </si>
  <si>
    <t>P023</t>
  </si>
  <si>
    <t>C005695</t>
  </si>
  <si>
    <t>T096704</t>
  </si>
  <si>
    <t>I00075</t>
  </si>
  <si>
    <t>S00196</t>
  </si>
  <si>
    <t>P027</t>
  </si>
  <si>
    <t>C008728</t>
  </si>
  <si>
    <t>T010756</t>
  </si>
  <si>
    <t>I00188</t>
  </si>
  <si>
    <t>S0010</t>
  </si>
  <si>
    <t>P025</t>
  </si>
  <si>
    <t>C002764</t>
  </si>
  <si>
    <t>T017598</t>
  </si>
  <si>
    <t>I00017</t>
  </si>
  <si>
    <t>S00164</t>
  </si>
  <si>
    <t>P019</t>
  </si>
  <si>
    <t>C003128</t>
  </si>
  <si>
    <t>T048812</t>
  </si>
  <si>
    <t>I00133</t>
  </si>
  <si>
    <t>S00640</t>
  </si>
  <si>
    <t>Remove duplicate</t>
  </si>
  <si>
    <t>P018</t>
  </si>
  <si>
    <t>C006613</t>
  </si>
  <si>
    <t>T078755</t>
  </si>
  <si>
    <t>I00065</t>
  </si>
  <si>
    <t>S00540</t>
  </si>
  <si>
    <t>C009139</t>
  </si>
  <si>
    <t>T037206</t>
  </si>
  <si>
    <t>I00023</t>
  </si>
  <si>
    <t>S0032</t>
  </si>
  <si>
    <t>P003</t>
  </si>
  <si>
    <t>C000849</t>
  </si>
  <si>
    <t>T045267</t>
  </si>
  <si>
    <t>I00237</t>
  </si>
  <si>
    <t>S00631</t>
  </si>
  <si>
    <t>P016</t>
  </si>
  <si>
    <t>C005138</t>
  </si>
  <si>
    <t>T017837</t>
  </si>
  <si>
    <t>I00082</t>
  </si>
  <si>
    <t>S0035</t>
  </si>
  <si>
    <t>P011</t>
  </si>
  <si>
    <t>C000136</t>
  </si>
  <si>
    <t>T074844</t>
  </si>
  <si>
    <t>I00163</t>
  </si>
  <si>
    <t>S00158</t>
  </si>
  <si>
    <t>bags</t>
  </si>
  <si>
    <t>P015</t>
  </si>
  <si>
    <t>C007305</t>
  </si>
  <si>
    <t>T06087</t>
  </si>
  <si>
    <t>I00091</t>
  </si>
  <si>
    <t>S00455</t>
  </si>
  <si>
    <t>C006779</t>
  </si>
  <si>
    <t>T097274</t>
  </si>
  <si>
    <t>I00125</t>
  </si>
  <si>
    <t>S0071</t>
  </si>
  <si>
    <t>P013</t>
  </si>
  <si>
    <t>C004337</t>
  </si>
  <si>
    <t>T069004</t>
  </si>
  <si>
    <t>I00155</t>
  </si>
  <si>
    <t>S00616</t>
  </si>
  <si>
    <t>P001</t>
  </si>
  <si>
    <t>C007044</t>
  </si>
  <si>
    <t>T049755</t>
  </si>
  <si>
    <t>S00423</t>
  </si>
  <si>
    <t>P028</t>
  </si>
  <si>
    <t>C004437</t>
  </si>
  <si>
    <t>T088776</t>
  </si>
  <si>
    <t>I00153</t>
  </si>
  <si>
    <t>S00608</t>
  </si>
  <si>
    <t>C006330</t>
  </si>
  <si>
    <t>T081360</t>
  </si>
  <si>
    <t>I00047</t>
  </si>
  <si>
    <t>S00628</t>
  </si>
  <si>
    <t>C004953</t>
  </si>
  <si>
    <t>T064303</t>
  </si>
  <si>
    <t>S00197</t>
  </si>
  <si>
    <t>P020</t>
  </si>
  <si>
    <t>C009102</t>
  </si>
  <si>
    <t>T034213</t>
  </si>
  <si>
    <t>I00078</t>
  </si>
  <si>
    <t>S00172</t>
  </si>
  <si>
    <t>C001667</t>
  </si>
  <si>
    <t>T03431</t>
  </si>
  <si>
    <t>I00113</t>
  </si>
  <si>
    <t>S00319</t>
  </si>
  <si>
    <t>P010</t>
  </si>
  <si>
    <t>C003131</t>
  </si>
  <si>
    <t>T072373</t>
  </si>
  <si>
    <t>I00079</t>
  </si>
  <si>
    <t>S00462</t>
  </si>
  <si>
    <t>C000117</t>
  </si>
  <si>
    <t>T016070</t>
  </si>
  <si>
    <t>S00460</t>
  </si>
  <si>
    <t>C008372</t>
  </si>
  <si>
    <t>T011517</t>
  </si>
  <si>
    <t>I00111</t>
  </si>
  <si>
    <t>S00410</t>
  </si>
  <si>
    <t>C000587</t>
  </si>
  <si>
    <t>T098189</t>
  </si>
  <si>
    <t>I00066</t>
  </si>
  <si>
    <t>S00142</t>
  </si>
  <si>
    <t>P012</t>
  </si>
  <si>
    <t>C002814</t>
  </si>
  <si>
    <t>T095863</t>
  </si>
  <si>
    <t>I00108</t>
  </si>
  <si>
    <t>S00563</t>
  </si>
  <si>
    <t>oz</t>
  </si>
  <si>
    <t>P017</t>
  </si>
  <si>
    <t>C006599</t>
  </si>
  <si>
    <t>T01535</t>
  </si>
  <si>
    <t>I00077</t>
  </si>
  <si>
    <t>S00317</t>
  </si>
  <si>
    <t>P033</t>
  </si>
  <si>
    <t>C004506</t>
  </si>
  <si>
    <t>T034740</t>
  </si>
  <si>
    <t>I00103</t>
  </si>
  <si>
    <t>S0090</t>
  </si>
  <si>
    <t>tubs</t>
  </si>
  <si>
    <t>C003012</t>
  </si>
  <si>
    <t>T066927</t>
  </si>
  <si>
    <t>I00218</t>
  </si>
  <si>
    <t>S00395</t>
  </si>
  <si>
    <t>C002416</t>
  </si>
  <si>
    <t>T016376</t>
  </si>
  <si>
    <t>I00132</t>
  </si>
  <si>
    <t>S0060</t>
  </si>
  <si>
    <t>P029</t>
  </si>
  <si>
    <t>C004635</t>
  </si>
  <si>
    <t>T058922</t>
  </si>
  <si>
    <t>I00246</t>
  </si>
  <si>
    <t>S0037</t>
  </si>
  <si>
    <t>C002106</t>
  </si>
  <si>
    <t>T084934</t>
  </si>
  <si>
    <t>I00120</t>
  </si>
  <si>
    <t>S00676</t>
  </si>
  <si>
    <t>C002014</t>
  </si>
  <si>
    <t>T075762</t>
  </si>
  <si>
    <t>I00068</t>
  </si>
  <si>
    <t>S00709</t>
  </si>
  <si>
    <t>P036</t>
  </si>
  <si>
    <t>C006673</t>
  </si>
  <si>
    <t>T067888</t>
  </si>
  <si>
    <t>I00018</t>
  </si>
  <si>
    <t>S00547</t>
  </si>
  <si>
    <t>C003551</t>
  </si>
  <si>
    <t>T064445</t>
  </si>
  <si>
    <t>I00033</t>
  </si>
  <si>
    <t>S00343</t>
  </si>
  <si>
    <t>P021</t>
  </si>
  <si>
    <t>C004163</t>
  </si>
  <si>
    <t>T04044</t>
  </si>
  <si>
    <t>I00123</t>
  </si>
  <si>
    <t>S0079</t>
  </si>
  <si>
    <t>C008636</t>
  </si>
  <si>
    <t>T086840</t>
  </si>
  <si>
    <t>I00204</t>
  </si>
  <si>
    <t>S00643</t>
  </si>
  <si>
    <t>P002</t>
  </si>
  <si>
    <t>C006607</t>
  </si>
  <si>
    <t>T096401</t>
  </si>
  <si>
    <t>I00097</t>
  </si>
  <si>
    <t>S00293</t>
  </si>
  <si>
    <t>cartons</t>
  </si>
  <si>
    <t>P035</t>
  </si>
  <si>
    <t>C004785</t>
  </si>
  <si>
    <t>T027401</t>
  </si>
  <si>
    <t>I00212</t>
  </si>
  <si>
    <t>S00716</t>
  </si>
  <si>
    <t>C007584</t>
  </si>
  <si>
    <t>T097121</t>
  </si>
  <si>
    <t>C000794</t>
  </si>
  <si>
    <t>T061460</t>
  </si>
  <si>
    <t>I00003</t>
  </si>
  <si>
    <t>S00604</t>
  </si>
  <si>
    <t>C006515</t>
  </si>
  <si>
    <t>T070970</t>
  </si>
  <si>
    <t>I00226</t>
  </si>
  <si>
    <t>S00582</t>
  </si>
  <si>
    <t>lb</t>
  </si>
  <si>
    <t>P024</t>
  </si>
  <si>
    <t>C006654</t>
  </si>
  <si>
    <t>T094539</t>
  </si>
  <si>
    <t>I00236</t>
  </si>
  <si>
    <t>S00169</t>
  </si>
  <si>
    <t>tins</t>
  </si>
  <si>
    <t>C004238</t>
  </si>
  <si>
    <t>T043327</t>
  </si>
  <si>
    <t>I00192</t>
  </si>
  <si>
    <t>S0043</t>
  </si>
  <si>
    <t>C005911</t>
  </si>
  <si>
    <t>T047958</t>
  </si>
  <si>
    <t>I00007</t>
  </si>
  <si>
    <t>S00105</t>
  </si>
  <si>
    <t>C002711</t>
  </si>
  <si>
    <t>T099187</t>
  </si>
  <si>
    <t>S00291</t>
  </si>
  <si>
    <t>C002588</t>
  </si>
  <si>
    <t>T067143</t>
  </si>
  <si>
    <t>I00156</t>
  </si>
  <si>
    <t>S00416</t>
  </si>
  <si>
    <t>C001376</t>
  </si>
  <si>
    <t>T095018</t>
  </si>
  <si>
    <t>I00240</t>
  </si>
  <si>
    <t>S00483</t>
  </si>
  <si>
    <t>C002273</t>
  </si>
  <si>
    <t>T084158</t>
  </si>
  <si>
    <t>I00187</t>
  </si>
  <si>
    <t>S00405</t>
  </si>
  <si>
    <t>ct.</t>
  </si>
  <si>
    <t>C003291</t>
  </si>
  <si>
    <t>T079034</t>
  </si>
  <si>
    <t>I00076</t>
  </si>
  <si>
    <t>S0074</t>
  </si>
  <si>
    <t>P034</t>
  </si>
  <si>
    <t>C008759</t>
  </si>
  <si>
    <t>T022074</t>
  </si>
  <si>
    <t>I00122</t>
  </si>
  <si>
    <t>S00509</t>
  </si>
  <si>
    <t>C007688</t>
  </si>
  <si>
    <t>T028134</t>
  </si>
  <si>
    <t>I00183</t>
  </si>
  <si>
    <t>S00194</t>
  </si>
  <si>
    <t>P039</t>
  </si>
  <si>
    <t>C001301</t>
  </si>
  <si>
    <t>T033815</t>
  </si>
  <si>
    <t>I00165</t>
  </si>
  <si>
    <t>S00251</t>
  </si>
  <si>
    <t>P009</t>
  </si>
  <si>
    <t>C004865</t>
  </si>
  <si>
    <t>T044907</t>
  </si>
  <si>
    <t>S00353</t>
  </si>
  <si>
    <t>C000956</t>
  </si>
  <si>
    <t>T072906</t>
  </si>
  <si>
    <t>I00213</t>
  </si>
  <si>
    <t>S00139</t>
  </si>
  <si>
    <t>C003334</t>
  </si>
  <si>
    <t>T02647</t>
  </si>
  <si>
    <t>S00338</t>
  </si>
  <si>
    <t>C007896</t>
  </si>
  <si>
    <t>T077414</t>
  </si>
  <si>
    <t>I00061</t>
  </si>
  <si>
    <t>S00617</t>
  </si>
  <si>
    <t>C007055</t>
  </si>
  <si>
    <t>T015735</t>
  </si>
  <si>
    <t>I00049</t>
  </si>
  <si>
    <t>S00218</t>
  </si>
  <si>
    <t>P031</t>
  </si>
  <si>
    <t>C001641</t>
  </si>
  <si>
    <t>T010429</t>
  </si>
  <si>
    <t>I00053</t>
  </si>
  <si>
    <t>S00167</t>
  </si>
  <si>
    <t>C004228</t>
  </si>
  <si>
    <t>T054067</t>
  </si>
  <si>
    <t>I00179</t>
  </si>
  <si>
    <t>S00265</t>
  </si>
  <si>
    <t>C003178</t>
  </si>
  <si>
    <t>T079891</t>
  </si>
  <si>
    <t>I00088</t>
  </si>
  <si>
    <t>S00380</t>
  </si>
  <si>
    <t>C000730</t>
  </si>
  <si>
    <t>T02743</t>
  </si>
  <si>
    <t>I00045</t>
  </si>
  <si>
    <t>S00102</t>
  </si>
  <si>
    <t>C008065</t>
  </si>
  <si>
    <t>T039330</t>
  </si>
  <si>
    <t>I00055</t>
  </si>
  <si>
    <t>S00324</t>
  </si>
  <si>
    <t>C004292</t>
  </si>
  <si>
    <t>T020735</t>
  </si>
  <si>
    <t>I00121</t>
  </si>
  <si>
    <t>S00694</t>
  </si>
  <si>
    <t>C008389</t>
  </si>
  <si>
    <t>T069983</t>
  </si>
  <si>
    <t>S00555</t>
  </si>
  <si>
    <t>C005655</t>
  </si>
  <si>
    <t>T013343</t>
  </si>
  <si>
    <t>I00028</t>
  </si>
  <si>
    <t>S0040</t>
  </si>
  <si>
    <t>P037</t>
  </si>
  <si>
    <t>C000616</t>
  </si>
  <si>
    <t>T046239</t>
  </si>
  <si>
    <t>S00704</t>
  </si>
  <si>
    <t>C006210</t>
  </si>
  <si>
    <t>T012085</t>
  </si>
  <si>
    <t>S00389</t>
  </si>
  <si>
    <t>C005781</t>
  </si>
  <si>
    <t>T089241</t>
  </si>
  <si>
    <t>I00037</t>
  </si>
  <si>
    <t>S00362</t>
  </si>
  <si>
    <t>C000769</t>
  </si>
  <si>
    <t>T048488</t>
  </si>
  <si>
    <t>C005135</t>
  </si>
  <si>
    <t>T012987</t>
  </si>
  <si>
    <t>I00109</t>
  </si>
  <si>
    <t>S00630</t>
  </si>
  <si>
    <t>C001614</t>
  </si>
  <si>
    <t>T073649</t>
  </si>
  <si>
    <t>S00518</t>
  </si>
  <si>
    <t>P004</t>
  </si>
  <si>
    <t>C007507</t>
  </si>
  <si>
    <t>T099848</t>
  </si>
  <si>
    <t>I00137</t>
  </si>
  <si>
    <t>S00591</t>
  </si>
  <si>
    <t>C005973</t>
  </si>
  <si>
    <t>T035211</t>
  </si>
  <si>
    <t>I00071</t>
  </si>
  <si>
    <t>S00143</t>
  </si>
  <si>
    <t>C009137</t>
  </si>
  <si>
    <t>T052586</t>
  </si>
  <si>
    <t>I00106</t>
  </si>
  <si>
    <t>S00378</t>
  </si>
  <si>
    <t>C001890</t>
  </si>
  <si>
    <t>T04692</t>
  </si>
  <si>
    <t>I00073</t>
  </si>
  <si>
    <t>S00257</t>
  </si>
  <si>
    <t>C005857</t>
  </si>
  <si>
    <t>T079642</t>
  </si>
  <si>
    <t>I00261</t>
  </si>
  <si>
    <t>S00558</t>
  </si>
  <si>
    <t>C001213</t>
  </si>
  <si>
    <t>T088078</t>
  </si>
  <si>
    <t>S00485</t>
  </si>
  <si>
    <t>C008426</t>
  </si>
  <si>
    <t>T075777</t>
  </si>
  <si>
    <t>I00215</t>
  </si>
  <si>
    <t>S00537</t>
  </si>
  <si>
    <t>C005265</t>
  </si>
  <si>
    <t>T084200</t>
  </si>
  <si>
    <t>I00010</t>
  </si>
  <si>
    <t>S0045</t>
  </si>
  <si>
    <t>C007155</t>
  </si>
  <si>
    <t>T015488</t>
  </si>
  <si>
    <t>I00247</t>
  </si>
  <si>
    <t>S00372</t>
  </si>
  <si>
    <t>C008945</t>
  </si>
  <si>
    <t>T091863</t>
  </si>
  <si>
    <t>I00008</t>
  </si>
  <si>
    <t>S00715</t>
  </si>
  <si>
    <t>C006321</t>
  </si>
  <si>
    <t>T075495</t>
  </si>
  <si>
    <t>I00256</t>
  </si>
  <si>
    <t>pack</t>
  </si>
  <si>
    <t>C000850</t>
  </si>
  <si>
    <t>T023269</t>
  </si>
  <si>
    <t>I00129</t>
  </si>
  <si>
    <t>S00355</t>
  </si>
  <si>
    <t>pk</t>
  </si>
  <si>
    <t>C006253</t>
  </si>
  <si>
    <t>T038332</t>
  </si>
  <si>
    <t>I00056</t>
  </si>
  <si>
    <t>S00206</t>
  </si>
  <si>
    <t>C001743</t>
  </si>
  <si>
    <t>T080396</t>
  </si>
  <si>
    <t>I00230</t>
  </si>
  <si>
    <t>S00660</t>
  </si>
  <si>
    <t>C004020</t>
  </si>
  <si>
    <t>T038853</t>
  </si>
  <si>
    <t>S00250</t>
  </si>
  <si>
    <t>C006064</t>
  </si>
  <si>
    <t>T086284</t>
  </si>
  <si>
    <t>I00080</t>
  </si>
  <si>
    <t>S00670</t>
  </si>
  <si>
    <t>C007452</t>
  </si>
  <si>
    <t>T04952</t>
  </si>
  <si>
    <t>S00382</t>
  </si>
  <si>
    <t>C001606</t>
  </si>
  <si>
    <t>T086625</t>
  </si>
  <si>
    <t>I00262</t>
  </si>
  <si>
    <t>S00601</t>
  </si>
  <si>
    <t>C005146</t>
  </si>
  <si>
    <t>T047358</t>
  </si>
  <si>
    <t>S0007</t>
  </si>
  <si>
    <t>C004369</t>
  </si>
  <si>
    <t>T046539</t>
  </si>
  <si>
    <t>S00680</t>
  </si>
  <si>
    <t>C000367</t>
  </si>
  <si>
    <t>T038514</t>
  </si>
  <si>
    <t>S00454</t>
  </si>
  <si>
    <t>C000687</t>
  </si>
  <si>
    <t>T072412</t>
  </si>
  <si>
    <t>I00151</t>
  </si>
  <si>
    <t>S00500</t>
  </si>
  <si>
    <t>C007347</t>
  </si>
  <si>
    <t>T07448</t>
  </si>
  <si>
    <t>I00254</t>
  </si>
  <si>
    <t>S00652</t>
  </si>
  <si>
    <t>C004023</t>
  </si>
  <si>
    <t>T093578</t>
  </si>
  <si>
    <t>I00189</t>
  </si>
  <si>
    <t>S00359</t>
  </si>
  <si>
    <t>C008650</t>
  </si>
  <si>
    <t>T031242</t>
  </si>
  <si>
    <t>I00064</t>
  </si>
  <si>
    <t>S00234</t>
  </si>
  <si>
    <t>C007983</t>
  </si>
  <si>
    <t>T064100</t>
  </si>
  <si>
    <t>I00228</t>
  </si>
  <si>
    <t>S00581</t>
  </si>
  <si>
    <t>P038</t>
  </si>
  <si>
    <t>C009083</t>
  </si>
  <si>
    <t>T065828</t>
  </si>
  <si>
    <t>S00113</t>
  </si>
  <si>
    <t>C002504</t>
  </si>
  <si>
    <t>T084697</t>
  </si>
  <si>
    <t>I00107</t>
  </si>
  <si>
    <t>S0004</t>
  </si>
  <si>
    <t>C006203</t>
  </si>
  <si>
    <t>T056597</t>
  </si>
  <si>
    <t>I00229</t>
  </si>
  <si>
    <t>S00636</t>
  </si>
  <si>
    <t>C001921</t>
  </si>
  <si>
    <t>T058671</t>
  </si>
  <si>
    <t>S00435</t>
  </si>
  <si>
    <t>C007064</t>
  </si>
  <si>
    <t>T035360</t>
  </si>
  <si>
    <t>I00138</t>
  </si>
  <si>
    <t>S00267</t>
  </si>
  <si>
    <t>C001108</t>
  </si>
  <si>
    <t>T012049</t>
  </si>
  <si>
    <t>S00240</t>
  </si>
  <si>
    <t>C006657</t>
  </si>
  <si>
    <t>T058776</t>
  </si>
  <si>
    <t>I00044</t>
  </si>
  <si>
    <t>C006206</t>
  </si>
  <si>
    <t>T087559</t>
  </si>
  <si>
    <t>S00312</t>
  </si>
  <si>
    <t>C008525</t>
  </si>
  <si>
    <t>T054312</t>
  </si>
  <si>
    <t>I00146</t>
  </si>
  <si>
    <t>C005322</t>
  </si>
  <si>
    <t>T090099</t>
  </si>
  <si>
    <t>S00381</t>
  </si>
  <si>
    <t>C009017</t>
  </si>
  <si>
    <t>T035589</t>
  </si>
  <si>
    <t>I00243</t>
  </si>
  <si>
    <t>S00698</t>
  </si>
  <si>
    <t>C003121</t>
  </si>
  <si>
    <t>T038507</t>
  </si>
  <si>
    <t>I00069</t>
  </si>
  <si>
    <t>S00340</t>
  </si>
  <si>
    <t>C004972</t>
  </si>
  <si>
    <t>T045622</t>
  </si>
  <si>
    <t>I00216</t>
  </si>
  <si>
    <t>S00264</t>
  </si>
  <si>
    <t>C007493</t>
  </si>
  <si>
    <t>T028965</t>
  </si>
  <si>
    <t>S00123</t>
  </si>
  <si>
    <t>C007851</t>
  </si>
  <si>
    <t>T018452</t>
  </si>
  <si>
    <t>I00098</t>
  </si>
  <si>
    <t>S00664</t>
  </si>
  <si>
    <t>C004867</t>
  </si>
  <si>
    <t>T063981</t>
  </si>
  <si>
    <t>S00271</t>
  </si>
  <si>
    <t>C000893</t>
  </si>
  <si>
    <t>T036720</t>
  </si>
  <si>
    <t>I00144</t>
  </si>
  <si>
    <t>S00147</t>
  </si>
  <si>
    <t>P008</t>
  </si>
  <si>
    <t>C002529</t>
  </si>
  <si>
    <t>T06611</t>
  </si>
  <si>
    <t>S0049</t>
  </si>
  <si>
    <t>P005</t>
  </si>
  <si>
    <t>C008597</t>
  </si>
  <si>
    <t>T04776</t>
  </si>
  <si>
    <t>I00186</t>
  </si>
  <si>
    <t>S00282</t>
  </si>
  <si>
    <t>C004165</t>
  </si>
  <si>
    <t>T018323</t>
  </si>
  <si>
    <t>I00060</t>
  </si>
  <si>
    <t>S00566</t>
  </si>
  <si>
    <t>C007895</t>
  </si>
  <si>
    <t>T041053</t>
  </si>
  <si>
    <t>S00107</t>
  </si>
  <si>
    <t>C006255</t>
  </si>
  <si>
    <t>T053308</t>
  </si>
  <si>
    <t>I00092</t>
  </si>
  <si>
    <t>S00289</t>
  </si>
  <si>
    <t>C000553</t>
  </si>
  <si>
    <t>T078183</t>
  </si>
  <si>
    <t>I00223</t>
  </si>
  <si>
    <t>S00551</t>
  </si>
  <si>
    <t>C008077</t>
  </si>
  <si>
    <t>T023535</t>
  </si>
  <si>
    <t>S00495</t>
  </si>
  <si>
    <t>C005936</t>
  </si>
  <si>
    <t>T057062</t>
  </si>
  <si>
    <t>I00048</t>
  </si>
  <si>
    <t>S00429</t>
  </si>
  <si>
    <t>C000180</t>
  </si>
  <si>
    <t>T033556</t>
  </si>
  <si>
    <t>I00083</t>
  </si>
  <si>
    <t>S00159</t>
  </si>
  <si>
    <t>C001090</t>
  </si>
  <si>
    <t>T059539</t>
  </si>
  <si>
    <t>I00250</t>
  </si>
  <si>
    <t>S00133</t>
  </si>
  <si>
    <t>C006813</t>
  </si>
  <si>
    <t>T067589</t>
  </si>
  <si>
    <t>S00705</t>
  </si>
  <si>
    <t>C007874</t>
  </si>
  <si>
    <t>T096180</t>
  </si>
  <si>
    <t>I00084</t>
  </si>
  <si>
    <t>S00703</t>
  </si>
  <si>
    <t>C007479</t>
  </si>
  <si>
    <t>T054398</t>
  </si>
  <si>
    <t>I00096</t>
  </si>
  <si>
    <t>S00530</t>
  </si>
  <si>
    <t>C005106</t>
  </si>
  <si>
    <t>T046729</t>
  </si>
  <si>
    <t>S00447</t>
  </si>
  <si>
    <t>C007116</t>
  </si>
  <si>
    <t>T07168</t>
  </si>
  <si>
    <t>I00255</t>
  </si>
  <si>
    <t>S00414</t>
  </si>
  <si>
    <t>C003706</t>
  </si>
  <si>
    <t>T022229</t>
  </si>
  <si>
    <t>I00219</t>
  </si>
  <si>
    <t>S00440</t>
  </si>
  <si>
    <t>C004751</t>
  </si>
  <si>
    <t>T060647</t>
  </si>
  <si>
    <t>I00238</t>
  </si>
  <si>
    <t>C002036</t>
  </si>
  <si>
    <t>T046246</t>
  </si>
  <si>
    <t>I00221</t>
  </si>
  <si>
    <t>C004365</t>
  </si>
  <si>
    <t>T097325</t>
  </si>
  <si>
    <t>I00150</t>
  </si>
  <si>
    <t>S00505</t>
  </si>
  <si>
    <t>C004483</t>
  </si>
  <si>
    <t>T01568</t>
  </si>
  <si>
    <t>I00180</t>
  </si>
  <si>
    <t>S00545</t>
  </si>
  <si>
    <t>C001600</t>
  </si>
  <si>
    <t>T073347</t>
  </si>
  <si>
    <t>I00102</t>
  </si>
  <si>
    <t>S00469</t>
  </si>
  <si>
    <t>C006222</t>
  </si>
  <si>
    <t>T035980</t>
  </si>
  <si>
    <t>I00063</t>
  </si>
  <si>
    <t>C006521</t>
  </si>
  <si>
    <t>T085091</t>
  </si>
  <si>
    <t>I00258</t>
  </si>
  <si>
    <t>S00239</t>
  </si>
  <si>
    <t>C000984</t>
  </si>
  <si>
    <t>T039667</t>
  </si>
  <si>
    <t>I00126</t>
  </si>
  <si>
    <t>S00252</t>
  </si>
  <si>
    <t>C003786</t>
  </si>
  <si>
    <t>T050797</t>
  </si>
  <si>
    <t>S00358</t>
  </si>
  <si>
    <t>C006609</t>
  </si>
  <si>
    <t>T094332</t>
  </si>
  <si>
    <t>C003761</t>
  </si>
  <si>
    <t>T069778</t>
  </si>
  <si>
    <t>I00193</t>
  </si>
  <si>
    <t>S0014</t>
  </si>
  <si>
    <t>C000356</t>
  </si>
  <si>
    <t>T022453</t>
  </si>
  <si>
    <t>I00198</t>
  </si>
  <si>
    <t>C004585</t>
  </si>
  <si>
    <t>T018609</t>
  </si>
  <si>
    <t>I00006</t>
  </si>
  <si>
    <t>C000309</t>
  </si>
  <si>
    <t>T037201</t>
  </si>
  <si>
    <t>C000696</t>
  </si>
  <si>
    <t>T032934</t>
  </si>
  <si>
    <t>I00134</t>
  </si>
  <si>
    <t>S00275</t>
  </si>
  <si>
    <t>C005792</t>
  </si>
  <si>
    <t>T089252</t>
  </si>
  <si>
    <t>C008240</t>
  </si>
  <si>
    <t>T069978</t>
  </si>
  <si>
    <t>S00621</t>
  </si>
  <si>
    <t>C006506</t>
  </si>
  <si>
    <t>T016439</t>
  </si>
  <si>
    <t>S00507</t>
  </si>
  <si>
    <t>C008485</t>
  </si>
  <si>
    <t>T050211</t>
  </si>
  <si>
    <t>I00169</t>
  </si>
  <si>
    <t>S00433</t>
  </si>
  <si>
    <t>C001377</t>
  </si>
  <si>
    <t>T090005</t>
  </si>
  <si>
    <t>I00253</t>
  </si>
  <si>
    <t>C001951</t>
  </si>
  <si>
    <t>T03982</t>
  </si>
  <si>
    <t>C000468</t>
  </si>
  <si>
    <t>T027342</t>
  </si>
  <si>
    <t>I00042</t>
  </si>
  <si>
    <t>C008169</t>
  </si>
  <si>
    <t>T027854</t>
  </si>
  <si>
    <t>S00434</t>
  </si>
  <si>
    <t>C003589</t>
  </si>
  <si>
    <t>T095881</t>
  </si>
  <si>
    <t>I00043</t>
  </si>
  <si>
    <t>S00306</t>
  </si>
  <si>
    <t>C004255</t>
  </si>
  <si>
    <t>T092822</t>
  </si>
  <si>
    <t>C000265</t>
  </si>
  <si>
    <t>T092821</t>
  </si>
  <si>
    <t>I00242</t>
  </si>
  <si>
    <t>S00274</t>
  </si>
  <si>
    <t>C000475</t>
  </si>
  <si>
    <t>T099595</t>
  </si>
  <si>
    <t>S00300</t>
  </si>
  <si>
    <t>C006453</t>
  </si>
  <si>
    <t>T093060</t>
  </si>
  <si>
    <t>I00245</t>
  </si>
  <si>
    <t>S0087</t>
  </si>
  <si>
    <t>C004605</t>
  </si>
  <si>
    <t>T065030</t>
  </si>
  <si>
    <t>C004081</t>
  </si>
  <si>
    <t>T097295</t>
  </si>
  <si>
    <t>S0051</t>
  </si>
  <si>
    <t>C002750</t>
  </si>
  <si>
    <t>T068178</t>
  </si>
  <si>
    <t>I00074</t>
  </si>
  <si>
    <t>S00615</t>
  </si>
  <si>
    <t>C004401</t>
  </si>
  <si>
    <t>T085077</t>
  </si>
  <si>
    <t>I00227</t>
  </si>
  <si>
    <t>S00426</t>
  </si>
  <si>
    <t>T020322</t>
  </si>
  <si>
    <t>C002110</t>
  </si>
  <si>
    <t>T017049</t>
  </si>
  <si>
    <t>C007170</t>
  </si>
  <si>
    <t>T062404</t>
  </si>
  <si>
    <t>I00241</t>
  </si>
  <si>
    <t>S00322</t>
  </si>
  <si>
    <t>C001647</t>
  </si>
  <si>
    <t>T059671</t>
  </si>
  <si>
    <t>S00342</t>
  </si>
  <si>
    <t>T063522</t>
  </si>
  <si>
    <t>I00232</t>
  </si>
  <si>
    <t>S0042</t>
  </si>
  <si>
    <t>C009085</t>
  </si>
  <si>
    <t>T077489</t>
  </si>
  <si>
    <t>S00467</t>
  </si>
  <si>
    <t>C003950</t>
  </si>
  <si>
    <t>T089335</t>
  </si>
  <si>
    <t>C007980</t>
  </si>
  <si>
    <t>T022421</t>
  </si>
  <si>
    <t>I00024</t>
  </si>
  <si>
    <t>S00677</t>
  </si>
  <si>
    <t>C005512</t>
  </si>
  <si>
    <t>T072405</t>
  </si>
  <si>
    <t>S00127</t>
  </si>
  <si>
    <t>C005690</t>
  </si>
  <si>
    <t>T04866</t>
  </si>
  <si>
    <t>S00461</t>
  </si>
  <si>
    <t>C005423</t>
  </si>
  <si>
    <t>T081628</t>
  </si>
  <si>
    <t>S00205</t>
  </si>
  <si>
    <t>C007461</t>
  </si>
  <si>
    <t>T016602</t>
  </si>
  <si>
    <t>S00178</t>
  </si>
  <si>
    <t>C005548</t>
  </si>
  <si>
    <t>T057813</t>
  </si>
  <si>
    <t>I00101</t>
  </si>
  <si>
    <t>S00357</t>
  </si>
  <si>
    <t>C009187</t>
  </si>
  <si>
    <t>T080308</t>
  </si>
  <si>
    <t>S00394</t>
  </si>
  <si>
    <t>C007335</t>
  </si>
  <si>
    <t>T051185</t>
  </si>
  <si>
    <t>C002760</t>
  </si>
  <si>
    <t>T084238</t>
  </si>
  <si>
    <t>C006111</t>
  </si>
  <si>
    <t>T05728</t>
  </si>
  <si>
    <t>S00377</t>
  </si>
  <si>
    <t>C000827</t>
  </si>
  <si>
    <t>T075378</t>
  </si>
  <si>
    <t>S00648</t>
  </si>
  <si>
    <t>C000247</t>
  </si>
  <si>
    <t>T019329</t>
  </si>
  <si>
    <t>C005046</t>
  </si>
  <si>
    <t>T033517</t>
  </si>
  <si>
    <t>S00662</t>
  </si>
  <si>
    <t>C005367</t>
  </si>
  <si>
    <t>T013761</t>
  </si>
  <si>
    <t>I00171</t>
  </si>
  <si>
    <t>S00243</t>
  </si>
  <si>
    <t>P007</t>
  </si>
  <si>
    <t>C007465</t>
  </si>
  <si>
    <t>T054055</t>
  </si>
  <si>
    <t>I00035</t>
  </si>
  <si>
    <t>S00474</t>
  </si>
  <si>
    <t>C004321</t>
  </si>
  <si>
    <t>T038449</t>
  </si>
  <si>
    <t>S00288</t>
  </si>
  <si>
    <t>C008394</t>
  </si>
  <si>
    <t>T013267</t>
  </si>
  <si>
    <t>I00029</t>
  </si>
  <si>
    <t>S00242</t>
  </si>
  <si>
    <t>C004333</t>
  </si>
  <si>
    <t>T087002</t>
  </si>
  <si>
    <t>I00136</t>
  </si>
  <si>
    <t>S00347</t>
  </si>
  <si>
    <t>C008928</t>
  </si>
  <si>
    <t>T080527</t>
  </si>
  <si>
    <t>S00450</t>
  </si>
  <si>
    <t>C008992</t>
  </si>
  <si>
    <t>T099538</t>
  </si>
  <si>
    <t>S0055</t>
  </si>
  <si>
    <t>C008381</t>
  </si>
  <si>
    <t>T068587</t>
  </si>
  <si>
    <t>S00543</t>
  </si>
  <si>
    <t>C005131</t>
  </si>
  <si>
    <t>T099005</t>
  </si>
  <si>
    <t>C006179</t>
  </si>
  <si>
    <t>T074779</t>
  </si>
  <si>
    <t>S00544</t>
  </si>
  <si>
    <t>C005302</t>
  </si>
  <si>
    <t>T049751</t>
  </si>
  <si>
    <t>T086204</t>
  </si>
  <si>
    <t>C007110</t>
  </si>
  <si>
    <t>T021185</t>
  </si>
  <si>
    <t>I00170</t>
  </si>
  <si>
    <t>S00473</t>
  </si>
  <si>
    <t>C006397</t>
  </si>
  <si>
    <t>T020301</t>
  </si>
  <si>
    <t>I00181</t>
  </si>
  <si>
    <t>C001432</t>
  </si>
  <si>
    <t>T026282</t>
  </si>
  <si>
    <t>I00140</t>
  </si>
  <si>
    <t>S00177</t>
  </si>
  <si>
    <t>C000360</t>
  </si>
  <si>
    <t>T03072</t>
  </si>
  <si>
    <t>I00020</t>
  </si>
  <si>
    <t>S00367</t>
  </si>
  <si>
    <t>C002796</t>
  </si>
  <si>
    <t>T068914</t>
  </si>
  <si>
    <t>I00166</t>
  </si>
  <si>
    <t>S00624</t>
  </si>
  <si>
    <t>C005519</t>
  </si>
  <si>
    <t>T050958</t>
  </si>
  <si>
    <t>I00167</t>
  </si>
  <si>
    <t>S00549</t>
  </si>
  <si>
    <t>C003460</t>
  </si>
  <si>
    <t>T025941</t>
  </si>
  <si>
    <t>S0034</t>
  </si>
  <si>
    <t>C005672</t>
  </si>
  <si>
    <t>T044432</t>
  </si>
  <si>
    <t>S00248</t>
  </si>
  <si>
    <t>C007281</t>
  </si>
  <si>
    <t>T083858</t>
  </si>
  <si>
    <t>I00257</t>
  </si>
  <si>
    <t>S00451</t>
  </si>
  <si>
    <t>C008944</t>
  </si>
  <si>
    <t>T07376</t>
  </si>
  <si>
    <t>C007426</t>
  </si>
  <si>
    <t>T045335</t>
  </si>
  <si>
    <t>C004033</t>
  </si>
  <si>
    <t>T068656</t>
  </si>
  <si>
    <t>S00515</t>
  </si>
  <si>
    <t>C007308</t>
  </si>
  <si>
    <t>T065074</t>
  </si>
  <si>
    <t>C008308</t>
  </si>
  <si>
    <t>T027450</t>
  </si>
  <si>
    <t>S00214</t>
  </si>
  <si>
    <t>C000369</t>
  </si>
  <si>
    <t>T038151</t>
  </si>
  <si>
    <t>I00094</t>
  </si>
  <si>
    <t>S00148</t>
  </si>
  <si>
    <t>C002064</t>
  </si>
  <si>
    <t>T010382</t>
  </si>
  <si>
    <t>C007492</t>
  </si>
  <si>
    <t>T037984</t>
  </si>
  <si>
    <t>I00034</t>
  </si>
  <si>
    <t>C000758</t>
  </si>
  <si>
    <t>T027289</t>
  </si>
  <si>
    <t>I00233</t>
  </si>
  <si>
    <t>S0002</t>
  </si>
  <si>
    <t>C004895</t>
  </si>
  <si>
    <t>T071088</t>
  </si>
  <si>
    <t>I00009</t>
  </si>
  <si>
    <t>S00501</t>
  </si>
  <si>
    <t>C006846</t>
  </si>
  <si>
    <t>T00278</t>
  </si>
  <si>
    <t>I00235</t>
  </si>
  <si>
    <t>S00479</t>
  </si>
  <si>
    <t>C007703</t>
  </si>
  <si>
    <t>T028363</t>
  </si>
  <si>
    <t>I00252</t>
  </si>
  <si>
    <t>T043743</t>
  </si>
  <si>
    <t>I00041</t>
  </si>
  <si>
    <t>S00283</t>
  </si>
  <si>
    <t>C001545</t>
  </si>
  <si>
    <t>T038381</t>
  </si>
  <si>
    <t>C006072</t>
  </si>
  <si>
    <t>T085298</t>
  </si>
  <si>
    <t>S00276</t>
  </si>
  <si>
    <t>C007037</t>
  </si>
  <si>
    <t>T026396</t>
  </si>
  <si>
    <t>I00110</t>
  </si>
  <si>
    <t>S00221</t>
  </si>
  <si>
    <t>C005164</t>
  </si>
  <si>
    <t>T082585</t>
  </si>
  <si>
    <t>I00036</t>
  </si>
  <si>
    <t>C001344</t>
  </si>
  <si>
    <t>T051293</t>
  </si>
  <si>
    <t>C004922</t>
  </si>
  <si>
    <t>T064798</t>
  </si>
  <si>
    <t>S00111</t>
  </si>
  <si>
    <t>C001275</t>
  </si>
  <si>
    <t>T032532</t>
  </si>
  <si>
    <t>C003776</t>
  </si>
  <si>
    <t>T082823</t>
  </si>
  <si>
    <t>C000793</t>
  </si>
  <si>
    <t>T061423</t>
  </si>
  <si>
    <t>S00215</t>
  </si>
  <si>
    <t>C007650</t>
  </si>
  <si>
    <t>T036396</t>
  </si>
  <si>
    <t>C001380</t>
  </si>
  <si>
    <t>T022770</t>
  </si>
  <si>
    <t>S00336</t>
  </si>
  <si>
    <t>C007918</t>
  </si>
  <si>
    <t>T089048</t>
  </si>
  <si>
    <t>S00646</t>
  </si>
  <si>
    <t>C007540</t>
  </si>
  <si>
    <t>T067515</t>
  </si>
  <si>
    <t>S00259</t>
  </si>
  <si>
    <t>C002403</t>
  </si>
  <si>
    <t>T035707</t>
  </si>
  <si>
    <t>I00128</t>
  </si>
  <si>
    <t>S0059</t>
  </si>
  <si>
    <t>C008334</t>
  </si>
  <si>
    <t>T03819</t>
  </si>
  <si>
    <t>S00721</t>
  </si>
  <si>
    <t>C004994</t>
  </si>
  <si>
    <t>T077509</t>
  </si>
  <si>
    <t>S00238</t>
  </si>
  <si>
    <t>C004062</t>
  </si>
  <si>
    <t>T051773</t>
  </si>
  <si>
    <t>I00089</t>
  </si>
  <si>
    <t>S0084</t>
  </si>
  <si>
    <t>C008732</t>
  </si>
  <si>
    <t>T072207</t>
  </si>
  <si>
    <t>S00659</t>
  </si>
  <si>
    <t>C004010</t>
  </si>
  <si>
    <t>T015895</t>
  </si>
  <si>
    <t>I00194</t>
  </si>
  <si>
    <t>S00649</t>
  </si>
  <si>
    <t>bars</t>
  </si>
  <si>
    <t>C003404</t>
  </si>
  <si>
    <t>T087793</t>
  </si>
  <si>
    <t>S0015</t>
  </si>
  <si>
    <t>C008558</t>
  </si>
  <si>
    <t>T024637</t>
  </si>
  <si>
    <t>S00559</t>
  </si>
  <si>
    <t>C004462</t>
  </si>
  <si>
    <t>T07750</t>
  </si>
  <si>
    <t>I00014</t>
  </si>
  <si>
    <t>S0063</t>
  </si>
  <si>
    <t>C003760</t>
  </si>
  <si>
    <t>T037494</t>
  </si>
  <si>
    <t>S00126</t>
  </si>
  <si>
    <t>C002286</t>
  </si>
  <si>
    <t>T038418</t>
  </si>
  <si>
    <t>I00197</t>
  </si>
  <si>
    <t>S00295</t>
  </si>
  <si>
    <t>C007463</t>
  </si>
  <si>
    <t>T00022</t>
  </si>
  <si>
    <t>S00296</t>
  </si>
  <si>
    <t>C005848</t>
  </si>
  <si>
    <t>T087749</t>
  </si>
  <si>
    <t>S00399</t>
  </si>
  <si>
    <t>C003816</t>
  </si>
  <si>
    <t>T049774</t>
  </si>
  <si>
    <t>I00067</t>
  </si>
  <si>
    <t>C005041</t>
  </si>
  <si>
    <t>T040305</t>
  </si>
  <si>
    <t>I00231</t>
  </si>
  <si>
    <t>S00256</t>
  </si>
  <si>
    <t>C005839</t>
  </si>
  <si>
    <t>T085441</t>
  </si>
  <si>
    <t>C007131</t>
  </si>
  <si>
    <t>T084462</t>
  </si>
  <si>
    <t>I00025</t>
  </si>
  <si>
    <t>S00592</t>
  </si>
  <si>
    <t>C003607</t>
  </si>
  <si>
    <t>T066510</t>
  </si>
  <si>
    <t>S00325</t>
  </si>
  <si>
    <t>C004715</t>
  </si>
  <si>
    <t>T016438</t>
  </si>
  <si>
    <t>S0066</t>
  </si>
  <si>
    <t>C005378</t>
  </si>
  <si>
    <t>T090427</t>
  </si>
  <si>
    <t>I00159</t>
  </si>
  <si>
    <t>C003119</t>
  </si>
  <si>
    <t>T023962</t>
  </si>
  <si>
    <t>I00116</t>
  </si>
  <si>
    <t>S00373</t>
  </si>
  <si>
    <t>C009156</t>
  </si>
  <si>
    <t>T033041</t>
  </si>
  <si>
    <t>I00184</t>
  </si>
  <si>
    <t>C005784</t>
  </si>
  <si>
    <t>T056628</t>
  </si>
  <si>
    <t>I00244</t>
  </si>
  <si>
    <t>S00269</t>
  </si>
  <si>
    <t>C004410</t>
  </si>
  <si>
    <t>T051656</t>
  </si>
  <si>
    <t>I00201</t>
  </si>
  <si>
    <t>S00663</t>
  </si>
  <si>
    <t>C007610</t>
  </si>
  <si>
    <t>T078656</t>
  </si>
  <si>
    <t>I00115</t>
  </si>
  <si>
    <t>C002237</t>
  </si>
  <si>
    <t>T010822</t>
  </si>
  <si>
    <t>C009152</t>
  </si>
  <si>
    <t>T097386</t>
  </si>
  <si>
    <t>S00298</t>
  </si>
  <si>
    <t>C007931</t>
  </si>
  <si>
    <t>T010481</t>
  </si>
  <si>
    <t>I00225</t>
  </si>
  <si>
    <t>S00384</t>
  </si>
  <si>
    <t>C007309</t>
  </si>
  <si>
    <t>T059228</t>
  </si>
  <si>
    <t>I00145</t>
  </si>
  <si>
    <t>C003306</t>
  </si>
  <si>
    <t>T064295</t>
  </si>
  <si>
    <t>S00330</t>
  </si>
  <si>
    <t>C000036</t>
  </si>
  <si>
    <t>T049297</t>
  </si>
  <si>
    <t>C008766</t>
  </si>
  <si>
    <t>T03464</t>
  </si>
  <si>
    <t>S00548</t>
  </si>
  <si>
    <t>C008798</t>
  </si>
  <si>
    <t>T060606</t>
  </si>
  <si>
    <t>I00127</t>
  </si>
  <si>
    <t>S00465</t>
  </si>
  <si>
    <t>C006415</t>
  </si>
  <si>
    <t>T057106</t>
  </si>
  <si>
    <t>I00046</t>
  </si>
  <si>
    <t>C007020</t>
  </si>
  <si>
    <t>T052720</t>
  </si>
  <si>
    <t>I00160</t>
  </si>
  <si>
    <t>S00569</t>
  </si>
  <si>
    <t>C002621</t>
  </si>
  <si>
    <t>T045675</t>
  </si>
  <si>
    <t>C004197</t>
  </si>
  <si>
    <t>T073428</t>
  </si>
  <si>
    <t>C006096</t>
  </si>
  <si>
    <t>T058615</t>
  </si>
  <si>
    <t>I00196</t>
  </si>
  <si>
    <t>S00103</t>
  </si>
  <si>
    <t>C004580</t>
  </si>
  <si>
    <t>T076089</t>
  </si>
  <si>
    <t>C007301</t>
  </si>
  <si>
    <t>T019203</t>
  </si>
  <si>
    <t>S00314</t>
  </si>
  <si>
    <t>C006052</t>
  </si>
  <si>
    <t>T045970</t>
  </si>
  <si>
    <t>S0003</t>
  </si>
  <si>
    <t>C003931</t>
  </si>
  <si>
    <t>T017404</t>
  </si>
  <si>
    <t>C008489</t>
  </si>
  <si>
    <t>T051421</t>
  </si>
  <si>
    <t>I00251</t>
  </si>
  <si>
    <t>S00651</t>
  </si>
  <si>
    <t>C002433</t>
  </si>
  <si>
    <t>T040412</t>
  </si>
  <si>
    <t>I00185</t>
  </si>
  <si>
    <t>C006369</t>
  </si>
  <si>
    <t>T010129</t>
  </si>
  <si>
    <t>C007357</t>
  </si>
  <si>
    <t>T010911</t>
  </si>
  <si>
    <t>S0092</t>
  </si>
  <si>
    <t>T078894</t>
  </si>
  <si>
    <t>C000104</t>
  </si>
  <si>
    <t>T093684</t>
  </si>
  <si>
    <t>C003452</t>
  </si>
  <si>
    <t>T061273</t>
  </si>
  <si>
    <t>S0091</t>
  </si>
  <si>
    <t>C007030</t>
  </si>
  <si>
    <t>T096751</t>
  </si>
  <si>
    <t>I00005</t>
  </si>
  <si>
    <t>S00599</t>
  </si>
  <si>
    <t>C008553</t>
  </si>
  <si>
    <t>T021130</t>
  </si>
  <si>
    <t>S00654</t>
  </si>
  <si>
    <t>C009164</t>
  </si>
  <si>
    <t>T065710</t>
  </si>
  <si>
    <t>I00059</t>
  </si>
  <si>
    <t>S00498</t>
  </si>
  <si>
    <t>C002790</t>
  </si>
  <si>
    <t>T076789</t>
  </si>
  <si>
    <t>I00030</t>
  </si>
  <si>
    <t>C000679</t>
  </si>
  <si>
    <t>T047699</t>
  </si>
  <si>
    <t>S00586</t>
  </si>
  <si>
    <t>C003455</t>
  </si>
  <si>
    <t>T078842</t>
  </si>
  <si>
    <t>I00038</t>
  </si>
  <si>
    <t>C000196</t>
  </si>
  <si>
    <t>T070229</t>
  </si>
  <si>
    <t>S00368</t>
  </si>
  <si>
    <t>C007134</t>
  </si>
  <si>
    <t>T092666</t>
  </si>
  <si>
    <t>S00402</t>
  </si>
  <si>
    <t>C000005</t>
  </si>
  <si>
    <t>T016851</t>
  </si>
  <si>
    <t>I00105</t>
  </si>
  <si>
    <t>S00360</t>
  </si>
  <si>
    <t>C007681</t>
  </si>
  <si>
    <t>T064686</t>
  </si>
  <si>
    <t>S00245</t>
  </si>
  <si>
    <t>C004646</t>
  </si>
  <si>
    <t>T023553</t>
  </si>
  <si>
    <t>I00162</t>
  </si>
  <si>
    <t>S00180</t>
  </si>
  <si>
    <t>Bags</t>
  </si>
  <si>
    <t>C003506</t>
  </si>
  <si>
    <t>T093723</t>
  </si>
  <si>
    <t>S00122</t>
  </si>
  <si>
    <t>C003635</t>
  </si>
  <si>
    <t>T018877</t>
  </si>
  <si>
    <t>S00494</t>
  </si>
  <si>
    <t>C004565</t>
  </si>
  <si>
    <t>T055051</t>
  </si>
  <si>
    <t>I00124</t>
  </si>
  <si>
    <t>S00393</t>
  </si>
  <si>
    <t>C000111</t>
  </si>
  <si>
    <t>T076327</t>
  </si>
  <si>
    <t>S00162</t>
  </si>
  <si>
    <t>C005112</t>
  </si>
  <si>
    <t>T00836</t>
  </si>
  <si>
    <t>S00633</t>
  </si>
  <si>
    <t>C004541</t>
  </si>
  <si>
    <t>T039796</t>
  </si>
  <si>
    <t>S00719</t>
  </si>
  <si>
    <t>T016001</t>
  </si>
  <si>
    <t>C008249</t>
  </si>
  <si>
    <t>T092806</t>
  </si>
  <si>
    <t>C007549</t>
  </si>
  <si>
    <t>T093438</t>
  </si>
  <si>
    <t>S00593</t>
  </si>
  <si>
    <t>C005685</t>
  </si>
  <si>
    <t>T05277</t>
  </si>
  <si>
    <t>S00247</t>
  </si>
  <si>
    <t>C001656</t>
  </si>
  <si>
    <t>T085875</t>
  </si>
  <si>
    <t>S00695</t>
  </si>
  <si>
    <t>C003956</t>
  </si>
  <si>
    <t>T014090</t>
  </si>
  <si>
    <t>S00610</t>
  </si>
  <si>
    <t>C003913</t>
  </si>
  <si>
    <t>T070720</t>
  </si>
  <si>
    <t>S00146</t>
  </si>
  <si>
    <t>C000236</t>
  </si>
  <si>
    <t>T08358</t>
  </si>
  <si>
    <t>I00239</t>
  </si>
  <si>
    <t>S00374</t>
  </si>
  <si>
    <t>C001625</t>
  </si>
  <si>
    <t>T083023</t>
  </si>
  <si>
    <t>C008610</t>
  </si>
  <si>
    <t>T095386</t>
  </si>
  <si>
    <t>C001357</t>
  </si>
  <si>
    <t>T036196</t>
  </si>
  <si>
    <t>S00412</t>
  </si>
  <si>
    <t>C001865</t>
  </si>
  <si>
    <t>T070372</t>
  </si>
  <si>
    <t>C002961</t>
  </si>
  <si>
    <t>T09001</t>
  </si>
  <si>
    <t>S00106</t>
  </si>
  <si>
    <t>C003323</t>
  </si>
  <si>
    <t>T083040</t>
  </si>
  <si>
    <t>S0017</t>
  </si>
  <si>
    <t>C008344</t>
  </si>
  <si>
    <t>T050991</t>
  </si>
  <si>
    <t>S00137</t>
  </si>
  <si>
    <t>T058240</t>
  </si>
  <si>
    <t>I00172</t>
  </si>
  <si>
    <t>C005023</t>
  </si>
  <si>
    <t>T015790</t>
  </si>
  <si>
    <t>S00688</t>
  </si>
  <si>
    <t>C003555</t>
  </si>
  <si>
    <t>T018787</t>
  </si>
  <si>
    <t>I00164</t>
  </si>
  <si>
    <t>S00279</t>
  </si>
  <si>
    <t>C006578</t>
  </si>
  <si>
    <t>T094169</t>
  </si>
  <si>
    <t>I00141</t>
  </si>
  <si>
    <t>S00512</t>
  </si>
  <si>
    <t>C002672</t>
  </si>
  <si>
    <t>T033654</t>
  </si>
  <si>
    <t>S00371</t>
  </si>
  <si>
    <t>C006701</t>
  </si>
  <si>
    <t>T078795</t>
  </si>
  <si>
    <t>S00493</t>
  </si>
  <si>
    <t>C005152</t>
  </si>
  <si>
    <t>T098111</t>
  </si>
  <si>
    <t>C001720</t>
  </si>
  <si>
    <t>T055754</t>
  </si>
  <si>
    <t>S0085</t>
  </si>
  <si>
    <t>C006757</t>
  </si>
  <si>
    <t>T041781</t>
  </si>
  <si>
    <t>S00392</t>
  </si>
  <si>
    <t>C004274</t>
  </si>
  <si>
    <t>T073065</t>
  </si>
  <si>
    <t>S00309</t>
  </si>
  <si>
    <t>C000869</t>
  </si>
  <si>
    <t>T024299</t>
  </si>
  <si>
    <t>S00634</t>
  </si>
  <si>
    <t>C007319</t>
  </si>
  <si>
    <t>T011112</t>
  </si>
  <si>
    <t>I00013</t>
  </si>
  <si>
    <t>S00272</t>
  </si>
  <si>
    <t>C008171</t>
  </si>
  <si>
    <t>T080676</t>
  </si>
  <si>
    <t>I00114</t>
  </si>
  <si>
    <t>C001278</t>
  </si>
  <si>
    <t>T063772</t>
  </si>
  <si>
    <t>S00128</t>
  </si>
  <si>
    <t>C007272</t>
  </si>
  <si>
    <t>T031469</t>
  </si>
  <si>
    <t>I00142</t>
  </si>
  <si>
    <t>S00344</t>
  </si>
  <si>
    <t>C000821</t>
  </si>
  <si>
    <t>T033931</t>
  </si>
  <si>
    <t>I00104</t>
  </si>
  <si>
    <t>C001332</t>
  </si>
  <si>
    <t>T05979</t>
  </si>
  <si>
    <t>S00431</t>
  </si>
  <si>
    <t>C003410</t>
  </si>
  <si>
    <t>T044675</t>
  </si>
  <si>
    <t>S00188</t>
  </si>
  <si>
    <t>C005453</t>
  </si>
  <si>
    <t>T090694</t>
  </si>
  <si>
    <t>S00546</t>
  </si>
  <si>
    <t>C004840</t>
  </si>
  <si>
    <t>T071290</t>
  </si>
  <si>
    <t>S0075</t>
  </si>
  <si>
    <t>C000308</t>
  </si>
  <si>
    <t>T019349</t>
  </si>
  <si>
    <t>I00015</t>
  </si>
  <si>
    <t>S00532</t>
  </si>
  <si>
    <t>C006171</t>
  </si>
  <si>
    <t>T038745</t>
  </si>
  <si>
    <t>S00351</t>
  </si>
  <si>
    <t>C000624</t>
  </si>
  <si>
    <t>T013797</t>
  </si>
  <si>
    <t>S00184</t>
  </si>
  <si>
    <t>C001232</t>
  </si>
  <si>
    <t>T027823</t>
  </si>
  <si>
    <t>C006164</t>
  </si>
  <si>
    <t>T089465</t>
  </si>
  <si>
    <t>S00121</t>
  </si>
  <si>
    <t>C007612</t>
  </si>
  <si>
    <t>T062563</t>
  </si>
  <si>
    <t>S00708</t>
  </si>
  <si>
    <t>C008768</t>
  </si>
  <si>
    <t>T042661</t>
  </si>
  <si>
    <t>C006811</t>
  </si>
  <si>
    <t>T059551</t>
  </si>
  <si>
    <t>I00062</t>
  </si>
  <si>
    <t>S00230</t>
  </si>
  <si>
    <t>C003139</t>
  </si>
  <si>
    <t>T057738</t>
  </si>
  <si>
    <t>C007079</t>
  </si>
  <si>
    <t>T091659</t>
  </si>
  <si>
    <t>C004632</t>
  </si>
  <si>
    <t>T046946</t>
  </si>
  <si>
    <t>S00684</t>
  </si>
  <si>
    <t>C007752</t>
  </si>
  <si>
    <t>T05232</t>
  </si>
  <si>
    <t>I00259</t>
  </si>
  <si>
    <t>C001501</t>
  </si>
  <si>
    <t>T074523</t>
  </si>
  <si>
    <t>S00109</t>
  </si>
  <si>
    <t>C000339</t>
  </si>
  <si>
    <t>T089384</t>
  </si>
  <si>
    <t>S00611</t>
  </si>
  <si>
    <t>C005675</t>
  </si>
  <si>
    <t>T080151</t>
  </si>
  <si>
    <t>I00202</t>
  </si>
  <si>
    <t>S00223</t>
  </si>
  <si>
    <t>C005584</t>
  </si>
  <si>
    <t>T068963</t>
  </si>
  <si>
    <t>C007097</t>
  </si>
  <si>
    <t>T034021</t>
  </si>
  <si>
    <t>I00052</t>
  </si>
  <si>
    <t>C001350</t>
  </si>
  <si>
    <t>T050819</t>
  </si>
  <si>
    <t>C008892</t>
  </si>
  <si>
    <t>T056778</t>
  </si>
  <si>
    <t>S00401</t>
  </si>
  <si>
    <t>C003035</t>
  </si>
  <si>
    <t>T089712</t>
  </si>
  <si>
    <t>I00085</t>
  </si>
  <si>
    <t>C005881</t>
  </si>
  <si>
    <t>T060602</t>
  </si>
  <si>
    <t>S00683</t>
  </si>
  <si>
    <t>C006570</t>
  </si>
  <si>
    <t>T060616</t>
  </si>
  <si>
    <t>C003225</t>
  </si>
  <si>
    <t>T037570</t>
  </si>
  <si>
    <t>S00579</t>
  </si>
  <si>
    <t>C008021</t>
  </si>
  <si>
    <t>T070924</t>
  </si>
  <si>
    <t>S00153</t>
  </si>
  <si>
    <t>C006300</t>
  </si>
  <si>
    <t>T057235</t>
  </si>
  <si>
    <t>C001717</t>
  </si>
  <si>
    <t>T035860</t>
  </si>
  <si>
    <t>C000909</t>
  </si>
  <si>
    <t>T05183</t>
  </si>
  <si>
    <t>I00224</t>
  </si>
  <si>
    <t>S00441</t>
  </si>
  <si>
    <t>C003203</t>
  </si>
  <si>
    <t>T014409</t>
  </si>
  <si>
    <t>S00506</t>
  </si>
  <si>
    <t>C002318</t>
  </si>
  <si>
    <t>T093603</t>
  </si>
  <si>
    <t>S00658</t>
  </si>
  <si>
    <t>C000423</t>
  </si>
  <si>
    <t>T099897</t>
  </si>
  <si>
    <t>C001844</t>
  </si>
  <si>
    <t>T043263</t>
  </si>
  <si>
    <t>I00086</t>
  </si>
  <si>
    <t>S0050</t>
  </si>
  <si>
    <t>C008487</t>
  </si>
  <si>
    <t>T028596</t>
  </si>
  <si>
    <t>C007961</t>
  </si>
  <si>
    <t>T099969</t>
  </si>
  <si>
    <t>T044024</t>
  </si>
  <si>
    <t>S00174</t>
  </si>
  <si>
    <t>C004087</t>
  </si>
  <si>
    <t>T04694</t>
  </si>
  <si>
    <t>S00249</t>
  </si>
  <si>
    <t>C007815</t>
  </si>
  <si>
    <t>T063974</t>
  </si>
  <si>
    <t>C000165</t>
  </si>
  <si>
    <t>T059210</t>
  </si>
  <si>
    <t>I00199</t>
  </si>
  <si>
    <t>S00609</t>
  </si>
  <si>
    <t>C002138</t>
  </si>
  <si>
    <t>T077435</t>
  </si>
  <si>
    <t>S00627</t>
  </si>
  <si>
    <t>C007964</t>
  </si>
  <si>
    <t>T092124</t>
  </si>
  <si>
    <t>S00186</t>
  </si>
  <si>
    <t>C005652</t>
  </si>
  <si>
    <t>T014293</t>
  </si>
  <si>
    <t>S00226</t>
  </si>
  <si>
    <t>C007805</t>
  </si>
  <si>
    <t>T015970</t>
  </si>
  <si>
    <t>C008188</t>
  </si>
  <si>
    <t>T023572</t>
  </si>
  <si>
    <t>S00182</t>
  </si>
  <si>
    <t>C004819</t>
  </si>
  <si>
    <t>T083826</t>
  </si>
  <si>
    <t>I00211</t>
  </si>
  <si>
    <t>S00491</t>
  </si>
  <si>
    <t>C008266</t>
  </si>
  <si>
    <t>T042534</t>
  </si>
  <si>
    <t>C000181</t>
  </si>
  <si>
    <t>T083454</t>
  </si>
  <si>
    <t>S00149</t>
  </si>
  <si>
    <t>C005720</t>
  </si>
  <si>
    <t>T038678</t>
  </si>
  <si>
    <t>C006639</t>
  </si>
  <si>
    <t>T053791</t>
  </si>
  <si>
    <t>I00100</t>
  </si>
  <si>
    <t>S00726</t>
  </si>
  <si>
    <t>oz.</t>
  </si>
  <si>
    <t>C002044</t>
  </si>
  <si>
    <t>T016705</t>
  </si>
  <si>
    <t>S00391</t>
  </si>
  <si>
    <t>C007497</t>
  </si>
  <si>
    <t>T039613</t>
  </si>
  <si>
    <t>I00206</t>
  </si>
  <si>
    <t>C005866</t>
  </si>
  <si>
    <t>T076443</t>
  </si>
  <si>
    <t>S00212</t>
  </si>
  <si>
    <t>C006396</t>
  </si>
  <si>
    <t>T066666</t>
  </si>
  <si>
    <t>C006382</t>
  </si>
  <si>
    <t>T079292</t>
  </si>
  <si>
    <t>I00203</t>
  </si>
  <si>
    <t>C005939</t>
  </si>
  <si>
    <t>T045801</t>
  </si>
  <si>
    <t>S00117</t>
  </si>
  <si>
    <t>C002336</t>
  </si>
  <si>
    <t>T074754</t>
  </si>
  <si>
    <t>S00316</t>
  </si>
  <si>
    <t>C000545</t>
  </si>
  <si>
    <t>T044786</t>
  </si>
  <si>
    <t>C000540</t>
  </si>
  <si>
    <t>T064584</t>
  </si>
  <si>
    <t>I00021</t>
  </si>
  <si>
    <t>C004909</t>
  </si>
  <si>
    <t>T046743</t>
  </si>
  <si>
    <t>S00645</t>
  </si>
  <si>
    <t>C002137</t>
  </si>
  <si>
    <t>T050144</t>
  </si>
  <si>
    <t>S00411</t>
  </si>
  <si>
    <t>C003582</t>
  </si>
  <si>
    <t>T026723</t>
  </si>
  <si>
    <t>S00388</t>
  </si>
  <si>
    <t>C004005</t>
  </si>
  <si>
    <t>T073073</t>
  </si>
  <si>
    <t>C003254</t>
  </si>
  <si>
    <t>T054713</t>
  </si>
  <si>
    <t>C000176</t>
  </si>
  <si>
    <t>T063831</t>
  </si>
  <si>
    <t>S00598</t>
  </si>
  <si>
    <t>C009190</t>
  </si>
  <si>
    <t>T022409</t>
  </si>
  <si>
    <t>C004741</t>
  </si>
  <si>
    <t>T060534</t>
  </si>
  <si>
    <t>I00149</t>
  </si>
  <si>
    <t>S00152</t>
  </si>
  <si>
    <t>C001457</t>
  </si>
  <si>
    <t>T030681</t>
  </si>
  <si>
    <t>S0028</t>
  </si>
  <si>
    <t>C007901</t>
  </si>
  <si>
    <t>T036938</t>
  </si>
  <si>
    <t>I00220</t>
  </si>
  <si>
    <t>C001816</t>
  </si>
  <si>
    <t>T080710</t>
  </si>
  <si>
    <t>S00203</t>
  </si>
  <si>
    <t>C000862</t>
  </si>
  <si>
    <t>T033422</t>
  </si>
  <si>
    <t>I00249</t>
  </si>
  <si>
    <t>S0057</t>
  </si>
  <si>
    <t>C007406</t>
  </si>
  <si>
    <t>T066381</t>
  </si>
  <si>
    <t>C006561</t>
  </si>
  <si>
    <t>T056485</t>
  </si>
  <si>
    <t>S00195</t>
  </si>
  <si>
    <t>C008661</t>
  </si>
  <si>
    <t>T045977</t>
  </si>
  <si>
    <t>S0023</t>
  </si>
  <si>
    <t>C000881</t>
  </si>
  <si>
    <t>T044604</t>
  </si>
  <si>
    <t>S0054</t>
  </si>
  <si>
    <t>C005058</t>
  </si>
  <si>
    <t>T067870</t>
  </si>
  <si>
    <t>S00397</t>
  </si>
  <si>
    <t>C005078</t>
  </si>
  <si>
    <t>T069039</t>
  </si>
  <si>
    <t>C006988</t>
  </si>
  <si>
    <t>T02631</t>
  </si>
  <si>
    <t>C005421</t>
  </si>
  <si>
    <t>T01302</t>
  </si>
  <si>
    <t>I00207</t>
  </si>
  <si>
    <t>S00286</t>
  </si>
  <si>
    <t>T050672</t>
  </si>
  <si>
    <t>S00277</t>
  </si>
  <si>
    <t>C000976</t>
  </si>
  <si>
    <t>T020286</t>
  </si>
  <si>
    <t>I00208</t>
  </si>
  <si>
    <t>S00173</t>
  </si>
  <si>
    <t>C003434</t>
  </si>
  <si>
    <t>T086899</t>
  </si>
  <si>
    <t>I00011</t>
  </si>
  <si>
    <t>C001653</t>
  </si>
  <si>
    <t>T053668</t>
  </si>
  <si>
    <t>I00158</t>
  </si>
  <si>
    <t>S00327</t>
  </si>
  <si>
    <t>C006996</t>
  </si>
  <si>
    <t>T099461</t>
  </si>
  <si>
    <t>I00026</t>
  </si>
  <si>
    <t>S00320</t>
  </si>
  <si>
    <t>C007063</t>
  </si>
  <si>
    <t>T090647</t>
  </si>
  <si>
    <t>I00154</t>
  </si>
  <si>
    <t>C002624</t>
  </si>
  <si>
    <t>T046497</t>
  </si>
  <si>
    <t>C001874</t>
  </si>
  <si>
    <t>T075988</t>
  </si>
  <si>
    <t>I00209</t>
  </si>
  <si>
    <t>S00585</t>
  </si>
  <si>
    <t>C002851</t>
  </si>
  <si>
    <t>T070760</t>
  </si>
  <si>
    <t>C003260</t>
  </si>
  <si>
    <t>T092522</t>
  </si>
  <si>
    <t>S00476</t>
  </si>
  <si>
    <t>C005786</t>
  </si>
  <si>
    <t>T061288</t>
  </si>
  <si>
    <t>C002958</t>
  </si>
  <si>
    <t>T023638</t>
  </si>
  <si>
    <t>S00561</t>
  </si>
  <si>
    <t>C000497</t>
  </si>
  <si>
    <t>T029875</t>
  </si>
  <si>
    <t>S00213</t>
  </si>
  <si>
    <t>C007103</t>
  </si>
  <si>
    <t>T036470</t>
  </si>
  <si>
    <t>C000856</t>
  </si>
  <si>
    <t>T050710</t>
  </si>
  <si>
    <t>S00674</t>
  </si>
  <si>
    <t>C003718</t>
  </si>
  <si>
    <t>T078623</t>
  </si>
  <si>
    <t>S00675</t>
  </si>
  <si>
    <t>C008555</t>
  </si>
  <si>
    <t>T09145</t>
  </si>
  <si>
    <t>S00655</t>
  </si>
  <si>
    <t>C004485</t>
  </si>
  <si>
    <t>T088660</t>
  </si>
  <si>
    <t>S00332</t>
  </si>
  <si>
    <t>C008345</t>
  </si>
  <si>
    <t>T042469</t>
  </si>
  <si>
    <t>S00525</t>
  </si>
  <si>
    <t>C008999</t>
  </si>
  <si>
    <t>T044369</t>
  </si>
  <si>
    <t>S00281</t>
  </si>
  <si>
    <t>C007101</t>
  </si>
  <si>
    <t>T077876</t>
  </si>
  <si>
    <t>C009113</t>
  </si>
  <si>
    <t>T090721</t>
  </si>
  <si>
    <t>C007343</t>
  </si>
  <si>
    <t>T053885</t>
  </si>
  <si>
    <t>I00217</t>
  </si>
  <si>
    <t>C005110</t>
  </si>
  <si>
    <t>T061665</t>
  </si>
  <si>
    <t>I00148</t>
  </si>
  <si>
    <t>C005222</t>
  </si>
  <si>
    <t>T063291</t>
  </si>
  <si>
    <t>I00234</t>
  </si>
  <si>
    <t>S00348</t>
  </si>
  <si>
    <t>C006733</t>
  </si>
  <si>
    <t>T044352</t>
  </si>
  <si>
    <t>I00178</t>
  </si>
  <si>
    <t>S00458</t>
  </si>
  <si>
    <t>C007105</t>
  </si>
  <si>
    <t>T085209</t>
  </si>
  <si>
    <t>S00682</t>
  </si>
  <si>
    <t>C008009</t>
  </si>
  <si>
    <t>T012056</t>
  </si>
  <si>
    <t>C006122</t>
  </si>
  <si>
    <t>T078365</t>
  </si>
  <si>
    <t>S0031</t>
  </si>
  <si>
    <t>C004477</t>
  </si>
  <si>
    <t>T084209</t>
  </si>
  <si>
    <t>C008910</t>
  </si>
  <si>
    <t>T030742</t>
  </si>
  <si>
    <t>C002244</t>
  </si>
  <si>
    <t>T077328</t>
  </si>
  <si>
    <t>S00432</t>
  </si>
  <si>
    <t>C004829</t>
  </si>
  <si>
    <t>T06630</t>
  </si>
  <si>
    <t>S00710</t>
  </si>
  <si>
    <t>C003519</t>
  </si>
  <si>
    <t>T071952</t>
  </si>
  <si>
    <t>I00214</t>
  </si>
  <si>
    <t>C003486</t>
  </si>
  <si>
    <t>T088152</t>
  </si>
  <si>
    <t>S00104</t>
  </si>
  <si>
    <t>C002238</t>
  </si>
  <si>
    <t>T028420</t>
  </si>
  <si>
    <t>C002905</t>
  </si>
  <si>
    <t>T049666</t>
  </si>
  <si>
    <t>S00415</t>
  </si>
  <si>
    <t>C000662</t>
  </si>
  <si>
    <t>T014946</t>
  </si>
  <si>
    <t>S00216</t>
  </si>
  <si>
    <t>C004563</t>
  </si>
  <si>
    <t>T089441</t>
  </si>
  <si>
    <t>C008136</t>
  </si>
  <si>
    <t>T048913</t>
  </si>
  <si>
    <t>I00190</t>
  </si>
  <si>
    <t>S00331</t>
  </si>
  <si>
    <t>C005345</t>
  </si>
  <si>
    <t>T046359</t>
  </si>
  <si>
    <t>I00117</t>
  </si>
  <si>
    <t>S00690</t>
  </si>
  <si>
    <t>C001581</t>
  </si>
  <si>
    <t>T01327</t>
  </si>
  <si>
    <t>C003430</t>
  </si>
  <si>
    <t>T048593</t>
  </si>
  <si>
    <t>I00139</t>
  </si>
  <si>
    <t>S00560</t>
  </si>
  <si>
    <t>C003069</t>
  </si>
  <si>
    <t>T054261</t>
  </si>
  <si>
    <t>S00722</t>
  </si>
  <si>
    <t>C005155</t>
  </si>
  <si>
    <t>T037158</t>
  </si>
  <si>
    <t>C001500</t>
  </si>
  <si>
    <t>T089177</t>
  </si>
  <si>
    <t>I00051</t>
  </si>
  <si>
    <t>C008667</t>
  </si>
  <si>
    <t>T050366</t>
  </si>
  <si>
    <t>I00002</t>
  </si>
  <si>
    <t>C006351</t>
  </si>
  <si>
    <t>T070393</t>
  </si>
  <si>
    <t>I00027</t>
  </si>
  <si>
    <t>S00419</t>
  </si>
  <si>
    <t>C004102</t>
  </si>
  <si>
    <t>T03121</t>
  </si>
  <si>
    <t>C007664</t>
  </si>
  <si>
    <t>T066869</t>
  </si>
  <si>
    <t>S00255</t>
  </si>
  <si>
    <t>C007293</t>
  </si>
  <si>
    <t>T072748</t>
  </si>
  <si>
    <t>C001095</t>
  </si>
  <si>
    <t>T083957</t>
  </si>
  <si>
    <t>I00039</t>
  </si>
  <si>
    <t>C004985</t>
  </si>
  <si>
    <t>T033333</t>
  </si>
  <si>
    <t>C005107</t>
  </si>
  <si>
    <t>T092118</t>
  </si>
  <si>
    <t>I00004</t>
  </si>
  <si>
    <t>C007256</t>
  </si>
  <si>
    <t>T058485</t>
  </si>
  <si>
    <t>S00635</t>
  </si>
  <si>
    <t>C005770</t>
  </si>
  <si>
    <t>T050025</t>
  </si>
  <si>
    <t>C005111</t>
  </si>
  <si>
    <t>T056556</t>
  </si>
  <si>
    <t>C004900</t>
  </si>
  <si>
    <t>T077775</t>
  </si>
  <si>
    <t>C007152</t>
  </si>
  <si>
    <t>T075701</t>
  </si>
  <si>
    <t>S00157</t>
  </si>
  <si>
    <t>C001914</t>
  </si>
  <si>
    <t>T064614</t>
  </si>
  <si>
    <t>C001911</t>
  </si>
  <si>
    <t>T060777</t>
  </si>
  <si>
    <t>S00438</t>
  </si>
  <si>
    <t>C000851</t>
  </si>
  <si>
    <t>T039512</t>
  </si>
  <si>
    <t>S00183</t>
  </si>
  <si>
    <t>C004489</t>
  </si>
  <si>
    <t>T07739</t>
  </si>
  <si>
    <t>S00210</t>
  </si>
  <si>
    <t>C003496</t>
  </si>
  <si>
    <t>T055084</t>
  </si>
  <si>
    <t>I00135</t>
  </si>
  <si>
    <t>C001470</t>
  </si>
  <si>
    <t>T043807</t>
  </si>
  <si>
    <t>S00594</t>
  </si>
  <si>
    <t>C001533</t>
  </si>
  <si>
    <t>T010488</t>
  </si>
  <si>
    <t>S00553</t>
  </si>
  <si>
    <t>C000872</t>
  </si>
  <si>
    <t>T09436</t>
  </si>
  <si>
    <t>I00143</t>
  </si>
  <si>
    <t>C006269</t>
  </si>
  <si>
    <t>T098613</t>
  </si>
  <si>
    <t>S00418</t>
  </si>
  <si>
    <t>C008861</t>
  </si>
  <si>
    <t>T036513</t>
  </si>
  <si>
    <t>S00280</t>
  </si>
  <si>
    <t>C002250</t>
  </si>
  <si>
    <t>T024566</t>
  </si>
  <si>
    <t>C003457</t>
  </si>
  <si>
    <t>T09496</t>
  </si>
  <si>
    <t>C001654</t>
  </si>
  <si>
    <t>T064062</t>
  </si>
  <si>
    <t>I00090</t>
  </si>
  <si>
    <t>C000225</t>
  </si>
  <si>
    <t>T059289</t>
  </si>
  <si>
    <t>S00614</t>
  </si>
  <si>
    <t>C007837</t>
  </si>
  <si>
    <t>T012803</t>
  </si>
  <si>
    <t>I00222</t>
  </si>
  <si>
    <t>C002928</t>
  </si>
  <si>
    <t>T083400</t>
  </si>
  <si>
    <t>C005340</t>
  </si>
  <si>
    <t>T067924</t>
  </si>
  <si>
    <t>S00168</t>
  </si>
  <si>
    <t>C002993</t>
  </si>
  <si>
    <t>T023419</t>
  </si>
  <si>
    <t>S00144</t>
  </si>
  <si>
    <t>C007592</t>
  </si>
  <si>
    <t>T07056</t>
  </si>
  <si>
    <t>S0020</t>
  </si>
  <si>
    <t>C007746</t>
  </si>
  <si>
    <t>T070198</t>
  </si>
  <si>
    <t>S00379</t>
  </si>
  <si>
    <t>C005610</t>
  </si>
  <si>
    <t>T030718</t>
  </si>
  <si>
    <t>S0012</t>
  </si>
  <si>
    <t>C003414</t>
  </si>
  <si>
    <t>T019188</t>
  </si>
  <si>
    <t>S00176</t>
  </si>
  <si>
    <t>C002706</t>
  </si>
  <si>
    <t>T083262</t>
  </si>
  <si>
    <t>S00193</t>
  </si>
  <si>
    <t>C007013</t>
  </si>
  <si>
    <t>T098609</t>
  </si>
  <si>
    <t>T086214</t>
  </si>
  <si>
    <t>C003365</t>
  </si>
  <si>
    <t>T069478</t>
  </si>
  <si>
    <t>I00176</t>
  </si>
  <si>
    <t>C003314</t>
  </si>
  <si>
    <t>T04209</t>
  </si>
  <si>
    <t>I00093</t>
  </si>
  <si>
    <t>Total_Price</t>
  </si>
  <si>
    <t>Logical OR</t>
  </si>
  <si>
    <t>Logical AND</t>
  </si>
  <si>
    <t>I00001</t>
  </si>
  <si>
    <t>A&amp;W Root Beer - 12 oz cans</t>
  </si>
  <si>
    <t>a. Beverage - Soda</t>
  </si>
  <si>
    <t>Netherlands</t>
  </si>
  <si>
    <t>Bolsius Boxmeer</t>
  </si>
  <si>
    <t>A&amp;W Root Beer Diet - 12 oz cans</t>
  </si>
  <si>
    <t>poland</t>
  </si>
  <si>
    <t>CHROMADURLIN S.A.S</t>
  </si>
  <si>
    <t>Barq's Root Beer - 12 oz cans</t>
  </si>
  <si>
    <t>Bangladesh</t>
  </si>
  <si>
    <t>DENIMACH LTD</t>
  </si>
  <si>
    <t>Cherry Coke 12oz</t>
  </si>
  <si>
    <t>Cherry Coke Zero 12 pack</t>
  </si>
  <si>
    <t>Finland</t>
  </si>
  <si>
    <t>HARDFORD AB</t>
  </si>
  <si>
    <t>Coke Classic 12 oz cans</t>
  </si>
  <si>
    <t>Lithuania</t>
  </si>
  <si>
    <t>BIGSO AB</t>
  </si>
  <si>
    <t>India</t>
  </si>
  <si>
    <t>Indo Count Industries Ltd</t>
  </si>
  <si>
    <t>Coke Zero Sugar 12 oz cans</t>
  </si>
  <si>
    <t>Diet Coke - 12 oz cans</t>
  </si>
  <si>
    <t>Diet Coke Caffeine Free 12oz cans</t>
  </si>
  <si>
    <t>Germany</t>
  </si>
  <si>
    <t>Friedola 1888 GmbH</t>
  </si>
  <si>
    <t>I00012</t>
  </si>
  <si>
    <t>Diet Dr. Pepper - 12 oz cans</t>
  </si>
  <si>
    <t>China</t>
  </si>
  <si>
    <t>CHERRY GROUP CO.,LTD</t>
  </si>
  <si>
    <t>Diet Gingerale 12 oz cans</t>
  </si>
  <si>
    <t>United States</t>
  </si>
  <si>
    <t>MAESA SAS</t>
  </si>
  <si>
    <t>Diet Mountain Dew 12oz cans</t>
  </si>
  <si>
    <t>Diet Pepsi - 12 oz cans</t>
  </si>
  <si>
    <t>I00016</t>
  </si>
  <si>
    <t>Dr. Pepper - 12 oz cans</t>
  </si>
  <si>
    <t>Fresca Black Cherry - 12 oz cans</t>
  </si>
  <si>
    <t>Cambodia</t>
  </si>
  <si>
    <t>NINGBO SEDUNO IMP &amp; EXP CO.LTD</t>
  </si>
  <si>
    <t>Fresca Original - 12 oz cans</t>
  </si>
  <si>
    <t>I00019</t>
  </si>
  <si>
    <t>Fresca Peach Citrus - 12 oz cans</t>
  </si>
  <si>
    <t>Ginger Ale - 12 oz cans</t>
  </si>
  <si>
    <t>Hawaiian Punch - 12 oz cans</t>
  </si>
  <si>
    <t>I00022</t>
  </si>
  <si>
    <t>Mountain Dew - 12 oz cans</t>
  </si>
  <si>
    <t>Pepsi - 12 oz cans</t>
  </si>
  <si>
    <t>Seven Up - 12 oz cans</t>
  </si>
  <si>
    <t>Sprite - 12 oz cans</t>
  </si>
  <si>
    <t>Sprite Zero - 12 pack</t>
  </si>
  <si>
    <t>Sunkist Orange - 12 oz cans</t>
  </si>
  <si>
    <t>La Croix Sparkling Berry 12 ozv</t>
  </si>
  <si>
    <t>a. Beverage Sparkling Water</t>
  </si>
  <si>
    <t>I00031</t>
  </si>
  <si>
    <t>La Croix Sparkling Coconut 12 oz</t>
  </si>
  <si>
    <t>I00032</t>
  </si>
  <si>
    <t>La Croix Sparkling Cran-Raspberry 12 oz</t>
  </si>
  <si>
    <t>La Croix Sparkling Grapefruit 12 oz</t>
  </si>
  <si>
    <t>La Croix Sparkling Lemon 12 oz</t>
  </si>
  <si>
    <t>La Croix Sparkling Lime 12 oz</t>
  </si>
  <si>
    <t>La Croix Sparkling Orange 12 oz</t>
  </si>
  <si>
    <t>La Croix Sparkling Pure 12 oz</t>
  </si>
  <si>
    <t>Perrier Flavors Sparkling Water 16.9oz</t>
  </si>
  <si>
    <t>Perrier Sparkling Water glass 11oz</t>
  </si>
  <si>
    <t>I00040</t>
  </si>
  <si>
    <t>Perrier Sparkling Water plastic 16.9oz</t>
  </si>
  <si>
    <t xml:space="preserve">San Pelligrino 16oz Plastic </t>
  </si>
  <si>
    <t>Topo Chico 12 oz glass</t>
  </si>
  <si>
    <t>Topo Chico 20oz plastic</t>
  </si>
  <si>
    <t>Waterloo Sparkling Blackcherry 12oz</t>
  </si>
  <si>
    <t>Waterloo Sparkling Grapefruit 12oz</t>
  </si>
  <si>
    <t>Waterloo Sparkling Lemon 12oz</t>
  </si>
  <si>
    <t>Waterloo Sparkling Lime 12oz</t>
  </si>
  <si>
    <t>Waterloo Sparkling Mango 12oz</t>
  </si>
  <si>
    <t>Waterloo Sparkling Original 12oz</t>
  </si>
  <si>
    <t>Waterloo Sparkling Watermelon 12oz</t>
  </si>
  <si>
    <t>Monster Java 15 oz</t>
  </si>
  <si>
    <t xml:space="preserve">Beverage - Energy/Protein </t>
  </si>
  <si>
    <t>Monster Lo-Carb 16 oz</t>
  </si>
  <si>
    <t>Beverage - Energy/Protein</t>
  </si>
  <si>
    <t>Monster Original Green 16 oz</t>
  </si>
  <si>
    <t>I00054</t>
  </si>
  <si>
    <t>Monster Zero Ultra 16 oz</t>
  </si>
  <si>
    <t>Monster Zero Ultra Variety 16 oz</t>
  </si>
  <si>
    <t>Muscle Milk Protein Shake Choc. 11oz</t>
  </si>
  <si>
    <t>I00057</t>
  </si>
  <si>
    <t>Muscle Milk Protein Shake Van. 11oz</t>
  </si>
  <si>
    <t>Premier Protein Shake Choc. 11oz</t>
  </si>
  <si>
    <t>Muscle Milk Protein Shake Strbry. 11oz</t>
  </si>
  <si>
    <t>Red Bull 12oz</t>
  </si>
  <si>
    <t>Red Bull 16oz</t>
  </si>
  <si>
    <t>Red Bull 8.4 oz</t>
  </si>
  <si>
    <t>Red Bull Sugar Free 8.4 oz</t>
  </si>
  <si>
    <t>G2 Lo Calorie Variety 20 oz</t>
  </si>
  <si>
    <t>Beverage - Gatorade</t>
  </si>
  <si>
    <t xml:space="preserve">Gatorade Frost Variety 20 oz </t>
  </si>
  <si>
    <t>Gatorade Lemon Lime 12oz</t>
  </si>
  <si>
    <t xml:space="preserve">Gatorade Liberty Variety 20 oz </t>
  </si>
  <si>
    <t>Gatorade Frost Variety 12 oz</t>
  </si>
  <si>
    <t>I00070</t>
  </si>
  <si>
    <t>Gatorade Liberty Variety 12 oz</t>
  </si>
  <si>
    <t>Gatorade Original Variety 12 oz</t>
  </si>
  <si>
    <t>I00072</t>
  </si>
  <si>
    <t xml:space="preserve">Gatorade Variety 20 oz </t>
  </si>
  <si>
    <t>Gatorade X-Factor Fierce Variety 20 oz</t>
  </si>
  <si>
    <t>Gatorade Zero Variety 20 oz</t>
  </si>
  <si>
    <t>Brisk Lemon Iced Tea - 12 oz cans</t>
  </si>
  <si>
    <t>Beverage - Iced Tea</t>
  </si>
  <si>
    <t>Diet Fuze Iced Tea</t>
  </si>
  <si>
    <t>Fuze Iced Tea</t>
  </si>
  <si>
    <t>Pure Leaf Sweet Tea 8.5oz</t>
  </si>
  <si>
    <t>Pure Leaf Unsweetened Tea 18.5oz</t>
  </si>
  <si>
    <t>Snapple Variety Pack 20oz</t>
  </si>
  <si>
    <t>I00081</t>
  </si>
  <si>
    <t>Tejava Unsweetened Black Tea 16.9oz</t>
  </si>
  <si>
    <t xml:space="preserve">100% Juice Box Variety 6.75 oz </t>
  </si>
  <si>
    <t>Beverage - Juice</t>
  </si>
  <si>
    <t xml:space="preserve">Ocean Spray Cranberry Juice Cocktail 15oz </t>
  </si>
  <si>
    <t xml:space="preserve">Tropicana Apple Juice 10 oz 100% </t>
  </si>
  <si>
    <t xml:space="preserve">Tropicana Orange Juice 10 oz 100% </t>
  </si>
  <si>
    <t>V8 100% Vegetable Juice 11oz cans</t>
  </si>
  <si>
    <t>I00087</t>
  </si>
  <si>
    <t>V-8 Splash Variety 20 oz</t>
  </si>
  <si>
    <t>Welch's 100% Juice Variety10 oz</t>
  </si>
  <si>
    <t>AquaFina Purified Drinking Water 16oz</t>
  </si>
  <si>
    <t>Beverage Water</t>
  </si>
  <si>
    <t>Dasani Bottled Water 16.9 oz</t>
  </si>
  <si>
    <t xml:space="preserve">Nestle Purelife 16oz </t>
  </si>
  <si>
    <t>Ozarka Spring Water 16.9 oz bottles</t>
  </si>
  <si>
    <t>Ozarka Spring Water 20 oz</t>
  </si>
  <si>
    <t>Ozarka Spring Water Mini 8oz</t>
  </si>
  <si>
    <t>I00095</t>
  </si>
  <si>
    <t>Propel Zero Variety 20 oz</t>
  </si>
  <si>
    <t>botlltes</t>
  </si>
  <si>
    <t>Sobe Zero Lifewater Variety 20 oz</t>
  </si>
  <si>
    <t>item_name</t>
  </si>
  <si>
    <t>desc</t>
  </si>
  <si>
    <t>man_country</t>
  </si>
  <si>
    <t>supplier</t>
  </si>
  <si>
    <t>Logical Operation</t>
  </si>
  <si>
    <t>Text Function</t>
  </si>
  <si>
    <t>C005809</t>
  </si>
  <si>
    <t>S00436</t>
  </si>
  <si>
    <t>I00260</t>
  </si>
  <si>
    <t>S00443</t>
  </si>
  <si>
    <t>I00264</t>
  </si>
  <si>
    <t>S00445</t>
  </si>
  <si>
    <t>S00446</t>
  </si>
  <si>
    <t>S00448</t>
  </si>
  <si>
    <t>S00449</t>
  </si>
  <si>
    <t>S00463</t>
  </si>
  <si>
    <t>S00471</t>
  </si>
  <si>
    <t>S00472</t>
  </si>
  <si>
    <t>S00475</t>
  </si>
  <si>
    <t>S00477</t>
  </si>
  <si>
    <t>S00480</t>
  </si>
  <si>
    <t>C005863</t>
  </si>
  <si>
    <t>S00484</t>
  </si>
  <si>
    <t>C005867</t>
  </si>
  <si>
    <t>S00487</t>
  </si>
  <si>
    <t>C005869</t>
  </si>
  <si>
    <t>S00489</t>
  </si>
  <si>
    <t>S00499</t>
  </si>
  <si>
    <t>C005885</t>
  </si>
  <si>
    <t>S00504</t>
  </si>
  <si>
    <t>S00511</t>
  </si>
  <si>
    <t>C005894</t>
  </si>
  <si>
    <t>C005897</t>
  </si>
  <si>
    <t>S00516</t>
  </si>
  <si>
    <t>S00519</t>
  </si>
  <si>
    <t>S00521</t>
  </si>
  <si>
    <t>S00522</t>
  </si>
  <si>
    <t>S00523</t>
  </si>
  <si>
    <t>S00526</t>
  </si>
  <si>
    <t>S00527</t>
  </si>
  <si>
    <t>C005909</t>
  </si>
  <si>
    <t>S00529</t>
  </si>
  <si>
    <t>S00539</t>
  </si>
  <si>
    <t>S00542</t>
  </si>
  <si>
    <t>S00556</t>
  </si>
  <si>
    <t>S00565</t>
  </si>
  <si>
    <t>S00568</t>
  </si>
  <si>
    <t>C005954</t>
  </si>
  <si>
    <t>S00573</t>
  </si>
  <si>
    <t>S00575</t>
  </si>
  <si>
    <t>S00576</t>
  </si>
  <si>
    <t>S00577</t>
  </si>
  <si>
    <t>S00578</t>
  </si>
  <si>
    <t>S00580</t>
  </si>
  <si>
    <t>S00584</t>
  </si>
  <si>
    <t>C005968</t>
  </si>
  <si>
    <t>S00587</t>
  </si>
  <si>
    <t>S00596</t>
  </si>
  <si>
    <t>S00600</t>
  </si>
  <si>
    <t>C005983</t>
  </si>
  <si>
    <t>S00605</t>
  </si>
  <si>
    <t>S00618</t>
  </si>
  <si>
    <t>S00619</t>
  </si>
  <si>
    <t>S00629</t>
  </si>
  <si>
    <t>S00638</t>
  </si>
  <si>
    <t>S00639</t>
  </si>
  <si>
    <t>T024197</t>
  </si>
  <si>
    <t>S00641</t>
  </si>
  <si>
    <t>C006028</t>
  </si>
  <si>
    <t>S00653</t>
  </si>
  <si>
    <t>C002378</t>
  </si>
  <si>
    <t>S00356</t>
  </si>
  <si>
    <t>S00361</t>
  </si>
  <si>
    <t>S00363</t>
  </si>
  <si>
    <t>S00364</t>
  </si>
  <si>
    <t>S00365</t>
  </si>
  <si>
    <t>C002398</t>
  </si>
  <si>
    <t>S00385</t>
  </si>
  <si>
    <t>S00386</t>
  </si>
  <si>
    <t>S00387</t>
  </si>
  <si>
    <t>S00390</t>
  </si>
  <si>
    <t>S00398</t>
  </si>
  <si>
    <t>S00406</t>
  </si>
  <si>
    <t>S00413</t>
  </si>
  <si>
    <t>S00420</t>
  </si>
  <si>
    <t>S00422</t>
  </si>
  <si>
    <t>S00424</t>
  </si>
  <si>
    <t>I00099</t>
  </si>
  <si>
    <t>I00118</t>
  </si>
  <si>
    <t>I00119</t>
  </si>
  <si>
    <t>I00130</t>
  </si>
  <si>
    <t>I00147</t>
  </si>
  <si>
    <t>I00152</t>
  </si>
  <si>
    <t>I00157</t>
  </si>
  <si>
    <t>I00168</t>
  </si>
  <si>
    <t>I00174</t>
  </si>
  <si>
    <t>I00182</t>
  </si>
  <si>
    <t>C002538</t>
  </si>
  <si>
    <t>C002260</t>
  </si>
  <si>
    <t>T021097</t>
  </si>
  <si>
    <t>C005680</t>
  </si>
  <si>
    <t>T090792</t>
  </si>
  <si>
    <t>T034939</t>
  </si>
  <si>
    <t>C005412</t>
  </si>
  <si>
    <t>T063482</t>
  </si>
  <si>
    <t>C008449</t>
  </si>
  <si>
    <t>T03837</t>
  </si>
  <si>
    <t>Ct</t>
  </si>
  <si>
    <t>T073785</t>
  </si>
  <si>
    <t>C008430</t>
  </si>
  <si>
    <t>T049764</t>
  </si>
  <si>
    <t>S0058</t>
  </si>
  <si>
    <t>C004411</t>
  </si>
  <si>
    <t>T073066</t>
  </si>
  <si>
    <t>S00124</t>
  </si>
  <si>
    <t>C005618</t>
  </si>
  <si>
    <t>T015168</t>
  </si>
  <si>
    <t>C003396</t>
  </si>
  <si>
    <t>T026550</t>
  </si>
  <si>
    <t>C005581</t>
  </si>
  <si>
    <t>T044534</t>
  </si>
  <si>
    <t>C005124</t>
  </si>
  <si>
    <t>T078472</t>
  </si>
  <si>
    <t>T04320</t>
  </si>
  <si>
    <t>S00692</t>
  </si>
  <si>
    <t>C001025</t>
  </si>
  <si>
    <t>T060630</t>
  </si>
  <si>
    <t>S00707</t>
  </si>
  <si>
    <t>C008567</t>
  </si>
  <si>
    <t>T030740</t>
  </si>
  <si>
    <t>C004593</t>
  </si>
  <si>
    <t>T014653</t>
  </si>
  <si>
    <t>S00108</t>
  </si>
  <si>
    <t>C000699</t>
  </si>
  <si>
    <t>T049759</t>
  </si>
  <si>
    <t>C005027</t>
  </si>
  <si>
    <t>T050586</t>
  </si>
  <si>
    <t>S00222</t>
  </si>
  <si>
    <t>C007764</t>
  </si>
  <si>
    <t>T059965</t>
  </si>
  <si>
    <t>C002675</t>
  </si>
  <si>
    <t>T04360</t>
  </si>
  <si>
    <t>C002569</t>
  </si>
  <si>
    <t>T099321</t>
  </si>
  <si>
    <t>C002596</t>
  </si>
  <si>
    <t>T033132</t>
  </si>
  <si>
    <t>C008814</t>
  </si>
  <si>
    <t>T019235</t>
  </si>
  <si>
    <t>C004486</t>
  </si>
  <si>
    <t>T034121</t>
  </si>
  <si>
    <t>C003136</t>
  </si>
  <si>
    <t>T074518</t>
  </si>
  <si>
    <t>S00217</t>
  </si>
  <si>
    <t>C009189</t>
  </si>
  <si>
    <t>T018002</t>
  </si>
  <si>
    <t>C006063</t>
  </si>
  <si>
    <t>T021211</t>
  </si>
  <si>
    <t>C000465</t>
  </si>
  <si>
    <t>T093574</t>
  </si>
  <si>
    <t>S00110</t>
  </si>
  <si>
    <t>C001061</t>
  </si>
  <si>
    <t>T010140</t>
  </si>
  <si>
    <t>S00208</t>
  </si>
  <si>
    <t>T097670</t>
  </si>
  <si>
    <t>C000294</t>
  </si>
  <si>
    <t>T081862</t>
  </si>
  <si>
    <t>I00200</t>
  </si>
  <si>
    <t>S0024</t>
  </si>
  <si>
    <t>C004261</t>
  </si>
  <si>
    <t>T035476</t>
  </si>
  <si>
    <t>S0083</t>
  </si>
  <si>
    <t>C001073</t>
  </si>
  <si>
    <t>T050285</t>
  </si>
  <si>
    <t>C003078</t>
  </si>
  <si>
    <t>T018794</t>
  </si>
  <si>
    <t>S0072</t>
  </si>
  <si>
    <t>C008445</t>
  </si>
  <si>
    <t>T094176</t>
  </si>
  <si>
    <t>C001823</t>
  </si>
  <si>
    <t>T023024</t>
  </si>
  <si>
    <t>S00681</t>
  </si>
  <si>
    <t>C004694</t>
  </si>
  <si>
    <t>T024807</t>
  </si>
  <si>
    <t>C002024</t>
  </si>
  <si>
    <t>T017186</t>
  </si>
  <si>
    <t>C008903</t>
  </si>
  <si>
    <t>T039467</t>
  </si>
  <si>
    <t>C002918</t>
  </si>
  <si>
    <t>T011248</t>
  </si>
  <si>
    <t>S00718</t>
  </si>
  <si>
    <t>C007168</t>
  </si>
  <si>
    <t>T091238</t>
  </si>
  <si>
    <t>C001772</t>
  </si>
  <si>
    <t>T087556</t>
  </si>
  <si>
    <t>S00241</t>
  </si>
  <si>
    <t>C005628</t>
  </si>
  <si>
    <t>T037660</t>
  </si>
  <si>
    <t>C002998</t>
  </si>
  <si>
    <t>T019294</t>
  </si>
  <si>
    <t>C006223</t>
  </si>
  <si>
    <t>T028148</t>
  </si>
  <si>
    <t>C008232</t>
  </si>
  <si>
    <t>T04995</t>
  </si>
  <si>
    <t>S00155</t>
  </si>
  <si>
    <t>C006880</t>
  </si>
  <si>
    <t>T030846</t>
  </si>
  <si>
    <t>S0001</t>
  </si>
  <si>
    <t>C001423</t>
  </si>
  <si>
    <t>T077591</t>
  </si>
  <si>
    <t>C005047</t>
  </si>
  <si>
    <t>T079406</t>
  </si>
  <si>
    <t>S00268</t>
  </si>
  <si>
    <t>C002709</t>
  </si>
  <si>
    <t>T05349</t>
  </si>
  <si>
    <t>T018258</t>
  </si>
  <si>
    <t>T048856</t>
  </si>
  <si>
    <t>C005115</t>
  </si>
  <si>
    <t>T03379</t>
  </si>
  <si>
    <t>S00262</t>
  </si>
  <si>
    <t>T066900</t>
  </si>
  <si>
    <t>C004634</t>
  </si>
  <si>
    <t>T025957</t>
  </si>
  <si>
    <t>C008406</t>
  </si>
  <si>
    <t>T060078</t>
  </si>
  <si>
    <t>S00261</t>
  </si>
  <si>
    <t>C004215</t>
  </si>
  <si>
    <t>T083370</t>
  </si>
  <si>
    <t>C005057</t>
  </si>
  <si>
    <t>T050928</t>
  </si>
  <si>
    <t>S0078</t>
  </si>
  <si>
    <t>C005658</t>
  </si>
  <si>
    <t>T074833</t>
  </si>
  <si>
    <t>C002205</t>
  </si>
  <si>
    <t>T010015</t>
  </si>
  <si>
    <t>C007482</t>
  </si>
  <si>
    <t>T041196</t>
  </si>
  <si>
    <t>C006311</t>
  </si>
  <si>
    <t>T030008</t>
  </si>
  <si>
    <t>S00130</t>
  </si>
  <si>
    <t>T02766</t>
  </si>
  <si>
    <t>S00266</t>
  </si>
  <si>
    <t>C009107</t>
  </si>
  <si>
    <t>T097685</t>
  </si>
  <si>
    <t>C006877</t>
  </si>
  <si>
    <t>T062152</t>
  </si>
  <si>
    <t>C005489</t>
  </si>
  <si>
    <t>T026707</t>
  </si>
  <si>
    <t>C008114</t>
  </si>
  <si>
    <t>T049054</t>
  </si>
  <si>
    <t>S0076</t>
  </si>
  <si>
    <t>C007369</t>
  </si>
  <si>
    <t>T05116</t>
  </si>
  <si>
    <t>T091547</t>
  </si>
  <si>
    <t>C000669</t>
  </si>
  <si>
    <t>T078675</t>
  </si>
  <si>
    <t>C001909</t>
  </si>
  <si>
    <t>T059268</t>
  </si>
  <si>
    <t>C004426</t>
  </si>
  <si>
    <t>T017927</t>
  </si>
  <si>
    <t>S00657</t>
  </si>
  <si>
    <t>C006108</t>
  </si>
  <si>
    <t>T073052</t>
  </si>
  <si>
    <t>C005366</t>
  </si>
  <si>
    <t>T068772</t>
  </si>
  <si>
    <t>C006312</t>
  </si>
  <si>
    <t>T021213</t>
  </si>
  <si>
    <t>S0097</t>
  </si>
  <si>
    <t>C005338</t>
  </si>
  <si>
    <t>T02103</t>
  </si>
  <si>
    <t>C002107</t>
  </si>
  <si>
    <t>T045871</t>
  </si>
  <si>
    <t>C001257</t>
  </si>
  <si>
    <t>T079143</t>
  </si>
  <si>
    <t>C005776</t>
  </si>
  <si>
    <t>T061413</t>
  </si>
  <si>
    <t>C006245</t>
  </si>
  <si>
    <t>T020528</t>
  </si>
  <si>
    <t>C003098</t>
  </si>
  <si>
    <t>T074933</t>
  </si>
  <si>
    <t>C003172</t>
  </si>
  <si>
    <t>T040659</t>
  </si>
  <si>
    <t>C008358</t>
  </si>
  <si>
    <t>T093564</t>
  </si>
  <si>
    <t>T077037</t>
  </si>
  <si>
    <t>S00697</t>
  </si>
  <si>
    <t>C001055</t>
  </si>
  <si>
    <t>T095688</t>
  </si>
  <si>
    <t>S0096</t>
  </si>
  <si>
    <t>T056051</t>
  </si>
  <si>
    <t>C001349</t>
  </si>
  <si>
    <t>T05047</t>
  </si>
  <si>
    <t>C002939</t>
  </si>
  <si>
    <t>T029625</t>
  </si>
  <si>
    <t>C007387</t>
  </si>
  <si>
    <t>T086661</t>
  </si>
  <si>
    <t>S00166</t>
  </si>
  <si>
    <t>C004906</t>
  </si>
  <si>
    <t>T096229</t>
  </si>
  <si>
    <t>C001439</t>
  </si>
  <si>
    <t>T094204</t>
  </si>
  <si>
    <t>C005372</t>
  </si>
  <si>
    <t>T034452</t>
  </si>
  <si>
    <t>C007228</t>
  </si>
  <si>
    <t>T02547</t>
  </si>
  <si>
    <t>C002094</t>
  </si>
  <si>
    <t>T094435</t>
  </si>
  <si>
    <t>C005636</t>
  </si>
  <si>
    <t>T07283</t>
  </si>
  <si>
    <t>S0062</t>
  </si>
  <si>
    <t>C007478</t>
  </si>
  <si>
    <t>T074332</t>
  </si>
  <si>
    <t>S00303</t>
  </si>
  <si>
    <t>C008675</t>
  </si>
  <si>
    <t>T044143</t>
  </si>
  <si>
    <t>T086315</t>
  </si>
  <si>
    <t>T08442</t>
  </si>
  <si>
    <t>C007140</t>
  </si>
  <si>
    <t>T044088</t>
  </si>
  <si>
    <t>C004356</t>
  </si>
  <si>
    <t>T081779</t>
  </si>
  <si>
    <t>S00701</t>
  </si>
  <si>
    <t>T059323</t>
  </si>
  <si>
    <t>C006617</t>
  </si>
  <si>
    <t>T092033</t>
  </si>
  <si>
    <t>T086889</t>
  </si>
  <si>
    <t>S00723</t>
  </si>
  <si>
    <t>C003791</t>
  </si>
  <si>
    <t>T041041</t>
  </si>
  <si>
    <t>C001259</t>
  </si>
  <si>
    <t>T037642</t>
  </si>
  <si>
    <t>S0019</t>
  </si>
  <si>
    <t>C007115</t>
  </si>
  <si>
    <t>T018802</t>
  </si>
  <si>
    <t>C001263</t>
  </si>
  <si>
    <t>T099910</t>
  </si>
  <si>
    <t>C004790</t>
  </si>
  <si>
    <t>T057594</t>
  </si>
  <si>
    <t>S00292</t>
  </si>
  <si>
    <t>T021989</t>
  </si>
  <si>
    <t>S00287</t>
  </si>
  <si>
    <t>C004603</t>
  </si>
  <si>
    <t>T093372</t>
  </si>
  <si>
    <t>S00175</t>
  </si>
  <si>
    <t>C003650</t>
  </si>
  <si>
    <t>T075691</t>
  </si>
  <si>
    <t>C004301</t>
  </si>
  <si>
    <t>T038601</t>
  </si>
  <si>
    <t>C005411</t>
  </si>
  <si>
    <t>T087799</t>
  </si>
  <si>
    <t>S00181</t>
  </si>
  <si>
    <t>C003038</t>
  </si>
  <si>
    <t>T080182</t>
  </si>
  <si>
    <t>C001621</t>
  </si>
  <si>
    <t>T04034</t>
  </si>
  <si>
    <t>C000786</t>
  </si>
  <si>
    <t>T030235</t>
  </si>
  <si>
    <t>C007031</t>
  </si>
  <si>
    <t>T054023</t>
  </si>
  <si>
    <t>C002550</t>
  </si>
  <si>
    <t>T091509</t>
  </si>
  <si>
    <t>C002623</t>
  </si>
  <si>
    <t>T033622</t>
  </si>
  <si>
    <t>C001040</t>
  </si>
  <si>
    <t>T052782</t>
  </si>
  <si>
    <t>S00118</t>
  </si>
  <si>
    <t>C003356</t>
  </si>
  <si>
    <t>T030545</t>
  </si>
  <si>
    <t>C008888</t>
  </si>
  <si>
    <t>T058814</t>
  </si>
  <si>
    <t>C006604</t>
  </si>
  <si>
    <t>T077178</t>
  </si>
  <si>
    <t>S00209</t>
  </si>
  <si>
    <t>C002842</t>
  </si>
  <si>
    <t>T037672</t>
  </si>
  <si>
    <t>S00135</t>
  </si>
  <si>
    <t>C001076</t>
  </si>
  <si>
    <t>T089199</t>
  </si>
  <si>
    <t>S00352</t>
  </si>
  <si>
    <t>C005427</t>
  </si>
  <si>
    <t>T012868</t>
  </si>
  <si>
    <t>C004620</t>
  </si>
  <si>
    <t>T096748</t>
  </si>
  <si>
    <t>C000599</t>
  </si>
  <si>
    <t>T043869</t>
  </si>
  <si>
    <t>C002255</t>
  </si>
  <si>
    <t>T037929</t>
  </si>
  <si>
    <t>C005392</t>
  </si>
  <si>
    <t>T089943</t>
  </si>
  <si>
    <t>C001595</t>
  </si>
  <si>
    <t>T092768</t>
  </si>
  <si>
    <t>C006797</t>
  </si>
  <si>
    <t>T072017</t>
  </si>
  <si>
    <t>C001634</t>
  </si>
  <si>
    <t>T08323</t>
  </si>
  <si>
    <t>S00693</t>
  </si>
  <si>
    <t>C007447</t>
  </si>
  <si>
    <t>T092423</t>
  </si>
  <si>
    <t>C003266</t>
  </si>
  <si>
    <t>T074117</t>
  </si>
  <si>
    <t>T053654</t>
  </si>
  <si>
    <t>C007480</t>
  </si>
  <si>
    <t>T07655</t>
  </si>
  <si>
    <t>S00713</t>
  </si>
  <si>
    <t>C000318</t>
  </si>
  <si>
    <t>T025275</t>
  </si>
  <si>
    <t>T016844</t>
  </si>
  <si>
    <t>C004707</t>
  </si>
  <si>
    <t>T041742</t>
  </si>
  <si>
    <t>C004200</t>
  </si>
  <si>
    <t>T036832</t>
  </si>
  <si>
    <t>C003863</t>
  </si>
  <si>
    <t>T081408</t>
  </si>
  <si>
    <t>C002343</t>
  </si>
  <si>
    <t>T013219</t>
  </si>
  <si>
    <t>S00254</t>
  </si>
  <si>
    <t>C008336</t>
  </si>
  <si>
    <t>T055727</t>
  </si>
  <si>
    <t>C001279</t>
  </si>
  <si>
    <t>T094467</t>
  </si>
  <si>
    <t>C001946</t>
  </si>
  <si>
    <t>T067727</t>
  </si>
  <si>
    <t>C003044</t>
  </si>
  <si>
    <t>T088291</t>
  </si>
  <si>
    <t>C002878</t>
  </si>
  <si>
    <t>T075973</t>
  </si>
  <si>
    <t>C007291</t>
  </si>
  <si>
    <t>T039091</t>
  </si>
  <si>
    <t>C002835</t>
  </si>
  <si>
    <t>T071179</t>
  </si>
  <si>
    <t>C000070</t>
  </si>
  <si>
    <t>T027331</t>
  </si>
  <si>
    <t>S0039</t>
  </si>
  <si>
    <t>C004526</t>
  </si>
  <si>
    <t>T085767</t>
  </si>
  <si>
    <t>S00134</t>
  </si>
  <si>
    <t>C007214</t>
  </si>
  <si>
    <t>T081056</t>
  </si>
  <si>
    <t>C005251</t>
  </si>
  <si>
    <t>T050419</t>
  </si>
  <si>
    <t>C003176</t>
  </si>
  <si>
    <t>T031628</t>
  </si>
  <si>
    <t>C003762</t>
  </si>
  <si>
    <t>T052191</t>
  </si>
  <si>
    <t>C007523</t>
  </si>
  <si>
    <t>T042522</t>
  </si>
  <si>
    <t>Total_price</t>
  </si>
  <si>
    <t>Sum</t>
  </si>
  <si>
    <t>Average</t>
  </si>
  <si>
    <t>Count</t>
  </si>
  <si>
    <t>C005117</t>
  </si>
  <si>
    <t>T053594</t>
  </si>
  <si>
    <t>C001056</t>
  </si>
  <si>
    <t>T021576</t>
  </si>
  <si>
    <t>S00125</t>
  </si>
  <si>
    <t>C007302</t>
  </si>
  <si>
    <t>T084236</t>
  </si>
  <si>
    <t>C002747</t>
  </si>
  <si>
    <t>T064242</t>
  </si>
  <si>
    <t>C004555</t>
  </si>
  <si>
    <t>T062920</t>
  </si>
  <si>
    <t>I00210</t>
  </si>
  <si>
    <t>S00227</t>
  </si>
  <si>
    <t>C004658</t>
  </si>
  <si>
    <t>T032588</t>
  </si>
  <si>
    <t>C003220</t>
  </si>
  <si>
    <t>T062608</t>
  </si>
  <si>
    <t>C001623</t>
  </si>
  <si>
    <t>T014007</t>
  </si>
  <si>
    <t>S00163</t>
  </si>
  <si>
    <t>C005118</t>
  </si>
  <si>
    <t>T091533</t>
  </si>
  <si>
    <t>C008682</t>
  </si>
  <si>
    <t>T018321</t>
  </si>
  <si>
    <t>C006548</t>
  </si>
  <si>
    <t>T061488</t>
  </si>
  <si>
    <t>C005545</t>
  </si>
  <si>
    <t>T04299</t>
  </si>
  <si>
    <t>C001877</t>
  </si>
  <si>
    <t>T058006</t>
  </si>
  <si>
    <t>C000135</t>
  </si>
  <si>
    <t>T075692</t>
  </si>
  <si>
    <t>C007398</t>
  </si>
  <si>
    <t>T045132</t>
  </si>
  <si>
    <t>T052254</t>
  </si>
  <si>
    <t>S00323</t>
  </si>
  <si>
    <t>C007593</t>
  </si>
  <si>
    <t>T065944</t>
  </si>
  <si>
    <t>S0033</t>
  </si>
  <si>
    <t>C005371</t>
  </si>
  <si>
    <t>T017284</t>
  </si>
  <si>
    <t>C001590</t>
  </si>
  <si>
    <t>T075232</t>
  </si>
  <si>
    <t>S00724</t>
  </si>
  <si>
    <t>C001509</t>
  </si>
  <si>
    <t>T025501</t>
  </si>
  <si>
    <t>C003233</t>
  </si>
  <si>
    <t>T012565</t>
  </si>
  <si>
    <t>C004493</t>
  </si>
  <si>
    <t>T034375</t>
  </si>
  <si>
    <t>C002035</t>
  </si>
  <si>
    <t>T025601</t>
  </si>
  <si>
    <t>C008523</t>
  </si>
  <si>
    <t>T041405</t>
  </si>
  <si>
    <t>S0047</t>
  </si>
  <si>
    <t>C003213</t>
  </si>
  <si>
    <t>T082220</t>
  </si>
  <si>
    <t>C004645</t>
  </si>
  <si>
    <t>T064484</t>
  </si>
  <si>
    <t>S00198</t>
  </si>
  <si>
    <t>C005483</t>
  </si>
  <si>
    <t>T020674</t>
  </si>
  <si>
    <t>C001599</t>
  </si>
  <si>
    <t>T019556</t>
  </si>
  <si>
    <t>C003788</t>
  </si>
  <si>
    <t>T012345</t>
  </si>
  <si>
    <t>C004393</t>
  </si>
  <si>
    <t>T059250</t>
  </si>
  <si>
    <t>C001530</t>
  </si>
  <si>
    <t>T038860</t>
  </si>
  <si>
    <t>T06129</t>
  </si>
  <si>
    <t>C001231</t>
  </si>
  <si>
    <t>T077385</t>
  </si>
  <si>
    <t>I00205</t>
  </si>
  <si>
    <t>C000892</t>
  </si>
  <si>
    <t>T03189</t>
  </si>
  <si>
    <t>C001053</t>
  </si>
  <si>
    <t>T043901</t>
  </si>
  <si>
    <t>S00285</t>
  </si>
  <si>
    <t>C007468</t>
  </si>
  <si>
    <t>T050053</t>
  </si>
  <si>
    <t>S00308</t>
  </si>
  <si>
    <t>C001299</t>
  </si>
  <si>
    <t>T011588</t>
  </si>
  <si>
    <t>S00187</t>
  </si>
  <si>
    <t>C004015</t>
  </si>
  <si>
    <t>T060979</t>
  </si>
  <si>
    <t>C004950</t>
  </si>
  <si>
    <t>T072951</t>
  </si>
  <si>
    <t>C006086</t>
  </si>
  <si>
    <t>T017591</t>
  </si>
  <si>
    <t>S00233</t>
  </si>
  <si>
    <t>C000156</t>
  </si>
  <si>
    <t>T050767</t>
  </si>
  <si>
    <t>C006694</t>
  </si>
  <si>
    <t>T04340</t>
  </si>
  <si>
    <t>C007367</t>
  </si>
  <si>
    <t>T03059</t>
  </si>
  <si>
    <t>C006500</t>
  </si>
  <si>
    <t>T040568</t>
  </si>
  <si>
    <t>T057396</t>
  </si>
  <si>
    <t>S0030</t>
  </si>
  <si>
    <t>C003793</t>
  </si>
  <si>
    <t>T058515</t>
  </si>
  <si>
    <t>T064822</t>
  </si>
  <si>
    <t>C003868</t>
  </si>
  <si>
    <t>T094588</t>
  </si>
  <si>
    <t>C006955</t>
  </si>
  <si>
    <t>T071016</t>
  </si>
  <si>
    <t>S00154</t>
  </si>
  <si>
    <t>T030662</t>
  </si>
  <si>
    <t>S00333</t>
  </si>
  <si>
    <t>C005657</t>
  </si>
  <si>
    <t>T091759</t>
  </si>
  <si>
    <t>C007652</t>
  </si>
  <si>
    <t>T062359</t>
  </si>
  <si>
    <t>C003313</t>
  </si>
  <si>
    <t>T034889</t>
  </si>
  <si>
    <t>C000140</t>
  </si>
  <si>
    <t>T06036</t>
  </si>
  <si>
    <t>C008879</t>
  </si>
  <si>
    <t>T021805</t>
  </si>
  <si>
    <t>C003054</t>
  </si>
  <si>
    <t>T058160</t>
  </si>
  <si>
    <t>C007001</t>
  </si>
  <si>
    <t>T022105</t>
  </si>
  <si>
    <t>C000903</t>
  </si>
  <si>
    <t>T034978</t>
  </si>
  <si>
    <t>S00207</t>
  </si>
  <si>
    <t>C008997</t>
  </si>
  <si>
    <t>T089044</t>
  </si>
  <si>
    <t>C002576</t>
  </si>
  <si>
    <t>T075342</t>
  </si>
  <si>
    <t>C004149</t>
  </si>
  <si>
    <t>T052905</t>
  </si>
  <si>
    <t>S0026</t>
  </si>
  <si>
    <t>C006794</t>
  </si>
  <si>
    <t>T033970</t>
  </si>
  <si>
    <t>C005064</t>
  </si>
  <si>
    <t>T099746</t>
  </si>
  <si>
    <t>C005274</t>
  </si>
  <si>
    <t>T046833</t>
  </si>
  <si>
    <t>S0025</t>
  </si>
  <si>
    <t>C006146</t>
  </si>
  <si>
    <t>T072361</t>
  </si>
  <si>
    <t>C006850</t>
  </si>
  <si>
    <t>T038222</t>
  </si>
  <si>
    <t>T035897</t>
  </si>
  <si>
    <t>C005238</t>
  </si>
  <si>
    <t>T080668</t>
  </si>
  <si>
    <t>C003922</t>
  </si>
  <si>
    <t>T054254</t>
  </si>
  <si>
    <t>C007733</t>
  </si>
  <si>
    <t>T046390</t>
  </si>
  <si>
    <t>S00270</t>
  </si>
  <si>
    <t>C002162</t>
  </si>
  <si>
    <t>T073965</t>
  </si>
  <si>
    <t>C006792</t>
  </si>
  <si>
    <t>T061930</t>
  </si>
  <si>
    <t>C004714</t>
  </si>
  <si>
    <t>T072038</t>
  </si>
  <si>
    <t>T047382</t>
  </si>
  <si>
    <t>C001019</t>
  </si>
  <si>
    <t>T043542</t>
  </si>
  <si>
    <t>C004332</t>
  </si>
  <si>
    <t>T012633</t>
  </si>
  <si>
    <t>C004606</t>
  </si>
  <si>
    <t>T089383</t>
  </si>
  <si>
    <t>C007695</t>
  </si>
  <si>
    <t>T054237</t>
  </si>
  <si>
    <t>C003924</t>
  </si>
  <si>
    <t>T036241</t>
  </si>
  <si>
    <t>C006690</t>
  </si>
  <si>
    <t>T01921</t>
  </si>
  <si>
    <t>T013657</t>
  </si>
  <si>
    <t>C007635</t>
  </si>
  <si>
    <t>T056317</t>
  </si>
  <si>
    <t>C006284</t>
  </si>
  <si>
    <t>T049386</t>
  </si>
  <si>
    <t>S00294</t>
  </si>
  <si>
    <t>C008654</t>
  </si>
  <si>
    <t>T09283</t>
  </si>
  <si>
    <t>C006618</t>
  </si>
  <si>
    <t>T035610</t>
  </si>
  <si>
    <t>C008787</t>
  </si>
  <si>
    <t>T052853</t>
  </si>
  <si>
    <t>C007819</t>
  </si>
  <si>
    <t>T047633</t>
  </si>
  <si>
    <t>S00190</t>
  </si>
  <si>
    <t>T025824</t>
  </si>
  <si>
    <t>C006886</t>
  </si>
  <si>
    <t>T04178</t>
  </si>
  <si>
    <t>T049843</t>
  </si>
  <si>
    <t>C004373</t>
  </si>
  <si>
    <t>T035180</t>
  </si>
  <si>
    <t>C001591</t>
  </si>
  <si>
    <t>T065455</t>
  </si>
  <si>
    <t>S00199</t>
  </si>
  <si>
    <t>C001906</t>
  </si>
  <si>
    <t>T018462</t>
  </si>
  <si>
    <t>C003222</t>
  </si>
  <si>
    <t>T07558</t>
  </si>
  <si>
    <t>C008199</t>
  </si>
  <si>
    <t>T070601</t>
  </si>
  <si>
    <t>C005741</t>
  </si>
  <si>
    <t>T016683</t>
  </si>
  <si>
    <t>C008898</t>
  </si>
  <si>
    <t>T086329</t>
  </si>
  <si>
    <t>C001505</t>
  </si>
  <si>
    <t>T057377</t>
  </si>
  <si>
    <t>C003231</t>
  </si>
  <si>
    <t>T058684</t>
  </si>
  <si>
    <t>T044296</t>
  </si>
  <si>
    <t>C001037</t>
  </si>
  <si>
    <t>T093300</t>
  </si>
  <si>
    <t>C006421</t>
  </si>
  <si>
    <t>T053775</t>
  </si>
  <si>
    <t>C000334</t>
  </si>
  <si>
    <t>T040211</t>
  </si>
  <si>
    <t>C006238</t>
  </si>
  <si>
    <t>T043014</t>
  </si>
  <si>
    <t>C008589</t>
  </si>
  <si>
    <t>T03768</t>
  </si>
  <si>
    <t>C001775</t>
  </si>
  <si>
    <t>T032675</t>
  </si>
  <si>
    <t>C001474</t>
  </si>
  <si>
    <t>T063945</t>
  </si>
  <si>
    <t>C003235</t>
  </si>
  <si>
    <t>T066763</t>
  </si>
  <si>
    <t>C002951</t>
  </si>
  <si>
    <t>T023161</t>
  </si>
  <si>
    <t>C005789</t>
  </si>
  <si>
    <t>T070644</t>
  </si>
  <si>
    <t>C007680</t>
  </si>
  <si>
    <t>T03037</t>
  </si>
  <si>
    <t>C007460</t>
  </si>
  <si>
    <t>T062222</t>
  </si>
  <si>
    <t>C004317</t>
  </si>
  <si>
    <t>T063350</t>
  </si>
  <si>
    <t>C005262</t>
  </si>
  <si>
    <t>T023837</t>
  </si>
  <si>
    <t>S00678</t>
  </si>
  <si>
    <t>T096038</t>
  </si>
  <si>
    <t>S00335</t>
  </si>
  <si>
    <t>C007008</t>
  </si>
  <si>
    <t>T00419</t>
  </si>
  <si>
    <t>C003401</t>
  </si>
  <si>
    <t>T032337</t>
  </si>
  <si>
    <t>C009173</t>
  </si>
  <si>
    <t>T015314</t>
  </si>
  <si>
    <t>C008694</t>
  </si>
  <si>
    <t>T068365</t>
  </si>
  <si>
    <t>C008428</t>
  </si>
  <si>
    <t>T042334</t>
  </si>
  <si>
    <t>S00185</t>
  </si>
  <si>
    <t>C001140</t>
  </si>
  <si>
    <t>T073424</t>
  </si>
  <si>
    <t>C005237</t>
  </si>
  <si>
    <t>T020658</t>
  </si>
  <si>
    <t>C002577</t>
  </si>
  <si>
    <t>T088359</t>
  </si>
  <si>
    <t>T084121</t>
  </si>
  <si>
    <t>S00297</t>
  </si>
  <si>
    <t>C008848</t>
  </si>
  <si>
    <t>T048591</t>
  </si>
  <si>
    <t>C000443</t>
  </si>
  <si>
    <t>T086423</t>
  </si>
  <si>
    <t>S0098</t>
  </si>
  <si>
    <t>C002739</t>
  </si>
  <si>
    <t>T053213</t>
  </si>
  <si>
    <t>C009160</t>
  </si>
  <si>
    <t>T093262</t>
  </si>
  <si>
    <t>C002604</t>
  </si>
  <si>
    <t>T054119</t>
  </si>
  <si>
    <t>C000347</t>
  </si>
  <si>
    <t>T086967</t>
  </si>
  <si>
    <t>S00679</t>
  </si>
  <si>
    <t>C003504</t>
  </si>
  <si>
    <t>T025177</t>
  </si>
  <si>
    <t>C007290</t>
  </si>
  <si>
    <t>T072668</t>
  </si>
  <si>
    <t>C007835</t>
  </si>
  <si>
    <t>T098085</t>
  </si>
  <si>
    <t>C009096</t>
  </si>
  <si>
    <t>T047252</t>
  </si>
  <si>
    <t>C006046</t>
  </si>
  <si>
    <t>T028734</t>
  </si>
  <si>
    <t>C008580</t>
  </si>
  <si>
    <t>T019905</t>
  </si>
  <si>
    <t>S00669</t>
  </si>
  <si>
    <t>C003294</t>
  </si>
  <si>
    <t>T056775</t>
  </si>
  <si>
    <t>C008392</t>
  </si>
  <si>
    <t>T022128</t>
  </si>
  <si>
    <t>C002840</t>
  </si>
  <si>
    <t>T015508</t>
  </si>
  <si>
    <t>C002314</t>
  </si>
  <si>
    <t>T026164</t>
  </si>
  <si>
    <t>C001165</t>
  </si>
  <si>
    <t>T087849</t>
  </si>
  <si>
    <t>S00219</t>
  </si>
  <si>
    <t>C000101</t>
  </si>
  <si>
    <t>T030145</t>
  </si>
  <si>
    <t>C008497</t>
  </si>
  <si>
    <t>T032655</t>
  </si>
  <si>
    <t>C005773</t>
  </si>
  <si>
    <t>T078895</t>
  </si>
  <si>
    <t>C003572</t>
  </si>
  <si>
    <t>T086033</t>
  </si>
  <si>
    <t>C004890</t>
  </si>
  <si>
    <t>T091490</t>
  </si>
  <si>
    <t>C003488</t>
  </si>
  <si>
    <t>T05109</t>
  </si>
  <si>
    <t>C001608</t>
  </si>
  <si>
    <t>T041152</t>
  </si>
  <si>
    <t>S00717</t>
  </si>
  <si>
    <t>C000566</t>
  </si>
  <si>
    <t>T086742</t>
  </si>
  <si>
    <t>T011188</t>
  </si>
  <si>
    <t>C002147</t>
  </si>
  <si>
    <t>T08794</t>
  </si>
  <si>
    <t>C007449</t>
  </si>
  <si>
    <t>T075422</t>
  </si>
  <si>
    <t>T020533</t>
  </si>
  <si>
    <t>C008193</t>
  </si>
  <si>
    <t>T065901</t>
  </si>
  <si>
    <t>C004973</t>
  </si>
  <si>
    <t>T083946</t>
  </si>
  <si>
    <t>S00141</t>
  </si>
  <si>
    <t>C001639</t>
  </si>
  <si>
    <t>T028258</t>
  </si>
  <si>
    <t>C008029</t>
  </si>
  <si>
    <t>T093687</t>
  </si>
  <si>
    <t>C008951</t>
  </si>
  <si>
    <t>T032432</t>
  </si>
  <si>
    <t>C007095</t>
  </si>
  <si>
    <t>T075925</t>
  </si>
  <si>
    <t>C009145</t>
  </si>
  <si>
    <t>T095335</t>
  </si>
  <si>
    <t>C002376</t>
  </si>
  <si>
    <t>T011914</t>
  </si>
  <si>
    <t>C001378</t>
  </si>
  <si>
    <t>T076206</t>
  </si>
  <si>
    <t>C008832</t>
  </si>
  <si>
    <t>T00438</t>
  </si>
  <si>
    <t>C003497</t>
  </si>
  <si>
    <t>T045082</t>
  </si>
  <si>
    <t>C008451</t>
  </si>
  <si>
    <t>T084181</t>
  </si>
  <si>
    <t>S00712</t>
  </si>
  <si>
    <t>C004038</t>
  </si>
  <si>
    <t>T036493</t>
  </si>
  <si>
    <t>S0064</t>
  </si>
  <si>
    <t>C005016</t>
  </si>
  <si>
    <t>T084258</t>
  </si>
  <si>
    <t>C001801</t>
  </si>
  <si>
    <t>T04648</t>
  </si>
  <si>
    <t>C001112</t>
  </si>
  <si>
    <t>T080004</t>
  </si>
  <si>
    <t>C005506</t>
  </si>
  <si>
    <t>T087099</t>
  </si>
  <si>
    <t>S0013</t>
  </si>
  <si>
    <t>C000537</t>
  </si>
  <si>
    <t>T051727</t>
  </si>
  <si>
    <t>C003277</t>
  </si>
  <si>
    <t>T018356</t>
  </si>
  <si>
    <t>T017885</t>
  </si>
  <si>
    <t>C003179</t>
  </si>
  <si>
    <t>T073961</t>
  </si>
  <si>
    <t>C005089</t>
  </si>
  <si>
    <t>T096351</t>
  </si>
  <si>
    <t>C003288</t>
  </si>
  <si>
    <t>T097186</t>
  </si>
  <si>
    <t>C002786</t>
  </si>
  <si>
    <t>T079466</t>
  </si>
  <si>
    <t>C006589</t>
  </si>
  <si>
    <t>T095438</t>
  </si>
  <si>
    <t>C004824</t>
  </si>
  <si>
    <t>C000962</t>
  </si>
  <si>
    <t>T069291</t>
  </si>
  <si>
    <t>C001763</t>
  </si>
  <si>
    <t>T061151</t>
  </si>
  <si>
    <t>C004343</t>
  </si>
  <si>
    <t>T03595</t>
  </si>
  <si>
    <t>C006510</t>
  </si>
  <si>
    <t>T093843</t>
  </si>
  <si>
    <t>C003770</t>
  </si>
  <si>
    <t>T06157</t>
  </si>
  <si>
    <t>C004891</t>
  </si>
  <si>
    <t>T093710</t>
  </si>
  <si>
    <t>C003250</t>
  </si>
  <si>
    <t>T074936</t>
  </si>
  <si>
    <t>T05478</t>
  </si>
  <si>
    <t>C002114</t>
  </si>
  <si>
    <t>T026672</t>
  </si>
  <si>
    <t>S00116</t>
  </si>
  <si>
    <t>C000102</t>
  </si>
  <si>
    <t>T096526</t>
  </si>
  <si>
    <t>T019209</t>
  </si>
  <si>
    <t>C001680</t>
  </si>
  <si>
    <t>T047978</t>
  </si>
  <si>
    <t>S00132</t>
  </si>
  <si>
    <t>C004338</t>
  </si>
  <si>
    <t>T02394</t>
  </si>
  <si>
    <t>C000843</t>
  </si>
  <si>
    <t>T019870</t>
  </si>
  <si>
    <t>C002871</t>
  </si>
  <si>
    <t>T058487</t>
  </si>
  <si>
    <t>C001183</t>
  </si>
  <si>
    <t>T010831</t>
  </si>
  <si>
    <t>C006591</t>
  </si>
  <si>
    <t>T095397</t>
  </si>
  <si>
    <t>C007039</t>
  </si>
  <si>
    <t>T089831</t>
  </si>
  <si>
    <t>C002229</t>
  </si>
  <si>
    <t>T091661</t>
  </si>
  <si>
    <t>C004136</t>
  </si>
  <si>
    <t>T045754</t>
  </si>
  <si>
    <t>C005441</t>
  </si>
  <si>
    <t>T014769</t>
  </si>
  <si>
    <t>T045941</t>
  </si>
  <si>
    <t>S0093</t>
  </si>
  <si>
    <t>C006620</t>
  </si>
  <si>
    <t>T073048</t>
  </si>
  <si>
    <t>C001307</t>
  </si>
  <si>
    <t>T092565</t>
  </si>
  <si>
    <t>C005509</t>
  </si>
  <si>
    <t>T054688</t>
  </si>
  <si>
    <t>S00345</t>
  </si>
  <si>
    <t>C005760</t>
  </si>
  <si>
    <t>T028783</t>
  </si>
  <si>
    <t>C000040</t>
  </si>
  <si>
    <t>T015412</t>
  </si>
  <si>
    <t>T02246</t>
  </si>
  <si>
    <t>C004610</t>
  </si>
  <si>
    <t>T04028</t>
  </si>
  <si>
    <t>C001678</t>
  </si>
  <si>
    <t>T095032</t>
  </si>
  <si>
    <t>C007603</t>
  </si>
  <si>
    <t>T052379</t>
  </si>
  <si>
    <t>C007771</t>
  </si>
  <si>
    <t>T030322</t>
  </si>
  <si>
    <t>S00321</t>
  </si>
  <si>
    <t>T048928</t>
  </si>
  <si>
    <t>S0067</t>
  </si>
  <si>
    <t>C008432</t>
  </si>
  <si>
    <t>T058573</t>
  </si>
  <si>
    <t>C000992</t>
  </si>
  <si>
    <t>T019310</t>
  </si>
  <si>
    <t>T091423</t>
  </si>
  <si>
    <t>S00341</t>
  </si>
  <si>
    <t>T084334</t>
  </si>
  <si>
    <t>S00170</t>
  </si>
  <si>
    <t>C005088</t>
  </si>
  <si>
    <t>T077934</t>
  </si>
  <si>
    <t>T061986</t>
  </si>
  <si>
    <t>S0099</t>
  </si>
  <si>
    <t>C008655</t>
  </si>
  <si>
    <t>T041242</t>
  </si>
  <si>
    <t>S0011</t>
  </si>
  <si>
    <t>T017646</t>
  </si>
  <si>
    <t>C003983</t>
  </si>
  <si>
    <t>T017604</t>
  </si>
  <si>
    <t>C000625</t>
  </si>
  <si>
    <t>T062018</t>
  </si>
  <si>
    <t>C000562</t>
  </si>
  <si>
    <t>T091107</t>
  </si>
  <si>
    <t>T05594</t>
  </si>
  <si>
    <t>C006370</t>
  </si>
  <si>
    <t>T038409</t>
  </si>
  <si>
    <t>C002865</t>
  </si>
  <si>
    <t>T061782</t>
  </si>
  <si>
    <t>S0056</t>
  </si>
  <si>
    <t>T071553</t>
  </si>
  <si>
    <t>T094809</t>
  </si>
  <si>
    <t>C000932</t>
  </si>
  <si>
    <t>T084248</t>
  </si>
  <si>
    <t>C003890</t>
  </si>
  <si>
    <t>T066490</t>
  </si>
  <si>
    <t>C007012</t>
  </si>
  <si>
    <t>T068043</t>
  </si>
  <si>
    <t>C008350</t>
  </si>
  <si>
    <t>T064641</t>
  </si>
  <si>
    <t>C006710</t>
  </si>
  <si>
    <t>T054047</t>
  </si>
  <si>
    <t>T017785</t>
  </si>
  <si>
    <t>S00191</t>
  </si>
  <si>
    <t>C005592</t>
  </si>
  <si>
    <t>T096306</t>
  </si>
  <si>
    <t>T034318</t>
  </si>
  <si>
    <t>C004374</t>
  </si>
  <si>
    <t>T032462</t>
  </si>
  <si>
    <t>C003584</t>
  </si>
  <si>
    <t>T057247</t>
  </si>
  <si>
    <t>C000522</t>
  </si>
  <si>
    <t>T017593</t>
  </si>
  <si>
    <t>C003345</t>
  </si>
  <si>
    <t>T097477</t>
  </si>
  <si>
    <t>C007816</t>
  </si>
  <si>
    <t>T013287</t>
  </si>
  <si>
    <t>S00290</t>
  </si>
  <si>
    <t>C002897</t>
  </si>
  <si>
    <t>T087013</t>
  </si>
  <si>
    <t>C003959</t>
  </si>
  <si>
    <t>T028825</t>
  </si>
  <si>
    <t>T057760</t>
  </si>
  <si>
    <t>S00370</t>
  </si>
  <si>
    <t>T076882</t>
  </si>
  <si>
    <t>C005072</t>
  </si>
  <si>
    <t>T065696</t>
  </si>
  <si>
    <t>C008914</t>
  </si>
  <si>
    <t>T078064</t>
  </si>
  <si>
    <t>C004980</t>
  </si>
  <si>
    <t>T096305</t>
  </si>
  <si>
    <t>C005806</t>
  </si>
  <si>
    <t>T085636</t>
  </si>
  <si>
    <t>C002831</t>
  </si>
  <si>
    <t>T055487</t>
  </si>
  <si>
    <t>C004885</t>
  </si>
  <si>
    <t>T068347</t>
  </si>
  <si>
    <t>C001665</t>
  </si>
  <si>
    <t>T065253</t>
  </si>
  <si>
    <t>S00497</t>
  </si>
  <si>
    <t>C006816</t>
  </si>
  <si>
    <t>T098785</t>
  </si>
  <si>
    <t>S00554</t>
  </si>
  <si>
    <t>C002720</t>
  </si>
  <si>
    <t>T071211</t>
  </si>
  <si>
    <t>S00334</t>
  </si>
  <si>
    <t>C008561</t>
  </si>
  <si>
    <t>T051083</t>
  </si>
  <si>
    <t>C007555</t>
  </si>
  <si>
    <t>T060654</t>
  </si>
  <si>
    <t>S00513</t>
  </si>
  <si>
    <t>C002213</t>
  </si>
  <si>
    <t>T034993</t>
  </si>
  <si>
    <t>C004589</t>
  </si>
  <si>
    <t>T091070</t>
  </si>
  <si>
    <t>C001593</t>
  </si>
  <si>
    <t>T075253</t>
  </si>
  <si>
    <t>C005294</t>
  </si>
  <si>
    <t>T056731</t>
  </si>
  <si>
    <t>C005446</t>
  </si>
  <si>
    <t>T062515</t>
  </si>
  <si>
    <t>C008746</t>
  </si>
  <si>
    <t>T084557</t>
  </si>
  <si>
    <t>S00687</t>
  </si>
  <si>
    <t>C004988</t>
  </si>
  <si>
    <t>T054283</t>
  </si>
  <si>
    <t>S00145</t>
  </si>
  <si>
    <t>C001339</t>
  </si>
  <si>
    <t>T037313</t>
  </si>
  <si>
    <t>S00231</t>
  </si>
  <si>
    <t>C005541</t>
  </si>
  <si>
    <t>T069964</t>
  </si>
  <si>
    <t>C000346</t>
  </si>
  <si>
    <t>T031693</t>
  </si>
  <si>
    <t>S00425</t>
  </si>
  <si>
    <t>C005015</t>
  </si>
  <si>
    <t>T098787</t>
  </si>
  <si>
    <t>C009148</t>
  </si>
  <si>
    <t>T070745</t>
  </si>
  <si>
    <t>C003907</t>
  </si>
  <si>
    <t>T081661</t>
  </si>
  <si>
    <t>C000084</t>
  </si>
  <si>
    <t>T016797</t>
  </si>
  <si>
    <t>C001712</t>
  </si>
  <si>
    <t>T082756</t>
  </si>
  <si>
    <t>C003566</t>
  </si>
  <si>
    <t>T030782</t>
  </si>
  <si>
    <t>C003107</t>
  </si>
  <si>
    <t>T062505</t>
  </si>
  <si>
    <t>S00407</t>
  </si>
  <si>
    <t>C004341</t>
  </si>
  <si>
    <t>T020490</t>
  </si>
  <si>
    <t>C003327</t>
  </si>
  <si>
    <t>T086089</t>
  </si>
  <si>
    <t>C002361</t>
  </si>
  <si>
    <t>T040696</t>
  </si>
  <si>
    <t>S00514</t>
  </si>
  <si>
    <t>C004325</t>
  </si>
  <si>
    <t>T088470</t>
  </si>
  <si>
    <t>C006248</t>
  </si>
  <si>
    <t>T060371</t>
  </si>
  <si>
    <t>C008609</t>
  </si>
  <si>
    <t>T063063</t>
  </si>
  <si>
    <t>C000923</t>
  </si>
  <si>
    <t>T044248</t>
  </si>
  <si>
    <t>C000947</t>
  </si>
  <si>
    <t>T030319</t>
  </si>
  <si>
    <t>S00661</t>
  </si>
  <si>
    <t>C007047</t>
  </si>
  <si>
    <t>T034623</t>
  </si>
  <si>
    <t>S0053</t>
  </si>
  <si>
    <t>C008115</t>
  </si>
  <si>
    <t>T069296</t>
  </si>
  <si>
    <t>C007472</t>
  </si>
  <si>
    <t>T09880</t>
  </si>
  <si>
    <t>S00315</t>
  </si>
  <si>
    <t>C007541</t>
  </si>
  <si>
    <t>T029022</t>
  </si>
  <si>
    <t>C005121</t>
  </si>
  <si>
    <t>T083747</t>
  </si>
  <si>
    <t>I00191</t>
  </si>
  <si>
    <t>C007325</t>
  </si>
  <si>
    <t>T069673</t>
  </si>
  <si>
    <t>C006575</t>
  </si>
  <si>
    <t>T068275</t>
  </si>
  <si>
    <t>S00366</t>
  </si>
  <si>
    <t>C007239</t>
  </si>
  <si>
    <t>T092396</t>
  </si>
  <si>
    <t>C007977</t>
  </si>
  <si>
    <t>T046058</t>
  </si>
  <si>
    <t>C006258</t>
  </si>
  <si>
    <t>T098186</t>
  </si>
  <si>
    <t>C008614</t>
  </si>
  <si>
    <t>T073771</t>
  </si>
  <si>
    <t>T016232</t>
  </si>
  <si>
    <t>I00112</t>
  </si>
  <si>
    <t>C007562</t>
  </si>
  <si>
    <t>T096513</t>
  </si>
  <si>
    <t>C007564</t>
  </si>
  <si>
    <t>T017375</t>
  </si>
  <si>
    <t>S00528</t>
  </si>
  <si>
    <t>C007207</t>
  </si>
  <si>
    <t>T032576</t>
  </si>
  <si>
    <t>C007609</t>
  </si>
  <si>
    <t>T087075</t>
  </si>
  <si>
    <t>C008012</t>
  </si>
  <si>
    <t>T020325</t>
  </si>
  <si>
    <t>C002549</t>
  </si>
  <si>
    <t>T077256</t>
  </si>
  <si>
    <t>S00486</t>
  </si>
  <si>
    <t>C005517</t>
  </si>
  <si>
    <t>T056908</t>
  </si>
  <si>
    <t>T075286</t>
  </si>
  <si>
    <t>C002335</t>
  </si>
  <si>
    <t>T053389</t>
  </si>
  <si>
    <t>C008502</t>
  </si>
  <si>
    <t>T060032</t>
  </si>
  <si>
    <t>C006579</t>
  </si>
  <si>
    <t>T037440</t>
  </si>
  <si>
    <t>C002251</t>
  </si>
  <si>
    <t>T066877</t>
  </si>
  <si>
    <t>C005329</t>
  </si>
  <si>
    <t>T096034</t>
  </si>
  <si>
    <t>S00612</t>
  </si>
  <si>
    <t>C005608</t>
  </si>
  <si>
    <t>T09969</t>
  </si>
  <si>
    <t>S00665</t>
  </si>
  <si>
    <t>C002592</t>
  </si>
  <si>
    <t>T077399</t>
  </si>
  <si>
    <t>S00350</t>
  </si>
  <si>
    <t>C000933</t>
  </si>
  <si>
    <t>T016014</t>
  </si>
  <si>
    <t>S00468</t>
  </si>
  <si>
    <t>C007745</t>
  </si>
  <si>
    <t>T06503</t>
  </si>
  <si>
    <t>C004697</t>
  </si>
  <si>
    <t>T00701</t>
  </si>
  <si>
    <t>T062942</t>
  </si>
  <si>
    <t>C003123</t>
  </si>
  <si>
    <t>T095072</t>
  </si>
  <si>
    <t>C002644</t>
  </si>
  <si>
    <t>T093735</t>
  </si>
  <si>
    <t>C008790</t>
  </si>
  <si>
    <t>T060055</t>
  </si>
  <si>
    <t>T066198</t>
  </si>
  <si>
    <t>S00459</t>
  </si>
  <si>
    <t>C004074</t>
  </si>
  <si>
    <t>T016680</t>
  </si>
  <si>
    <t>C000632</t>
  </si>
  <si>
    <t>T055982</t>
  </si>
  <si>
    <t>C001401</t>
  </si>
  <si>
    <t>T028658</t>
  </si>
  <si>
    <t>C004811</t>
  </si>
  <si>
    <t>T042270</t>
  </si>
  <si>
    <t>C001569</t>
  </si>
  <si>
    <t>T030496</t>
  </si>
  <si>
    <t>T034045</t>
  </si>
  <si>
    <t>C007402</t>
  </si>
  <si>
    <t>T046206</t>
  </si>
  <si>
    <t>C002434</t>
  </si>
  <si>
    <t>T079720</t>
  </si>
  <si>
    <t>C003190</t>
  </si>
  <si>
    <t>T021865</t>
  </si>
  <si>
    <t>C002278</t>
  </si>
  <si>
    <t>T082094</t>
  </si>
  <si>
    <t>T071724</t>
  </si>
  <si>
    <t>S00574</t>
  </si>
  <si>
    <t>C003212</t>
  </si>
  <si>
    <t>T032982</t>
  </si>
  <si>
    <t>S00160</t>
  </si>
  <si>
    <t>C004571</t>
  </si>
  <si>
    <t>T069030</t>
  </si>
  <si>
    <t>S00204</t>
  </si>
  <si>
    <t>C001674</t>
  </si>
  <si>
    <t>T030954</t>
  </si>
  <si>
    <t>C003032</t>
  </si>
  <si>
    <t>T033012</t>
  </si>
  <si>
    <t>C004654</t>
  </si>
  <si>
    <t>T068294</t>
  </si>
  <si>
    <t>T067382</t>
  </si>
  <si>
    <t>C003272</t>
  </si>
  <si>
    <t>T019340</t>
  </si>
  <si>
    <t>C002480</t>
  </si>
  <si>
    <t>T019954</t>
  </si>
  <si>
    <t>T082536</t>
  </si>
  <si>
    <t>C008969</t>
  </si>
  <si>
    <t>T071406</t>
  </si>
  <si>
    <t>S00114</t>
  </si>
  <si>
    <t>C002228</t>
  </si>
  <si>
    <t>T023744</t>
  </si>
  <si>
    <t>C005266</t>
  </si>
  <si>
    <t>T011156</t>
  </si>
  <si>
    <t>S00711</t>
  </si>
  <si>
    <t>C008379</t>
  </si>
  <si>
    <t>T059949</t>
  </si>
  <si>
    <t>T045514</t>
  </si>
  <si>
    <t>S00672</t>
  </si>
  <si>
    <t>C007953</t>
  </si>
  <si>
    <t>T075420</t>
  </si>
  <si>
    <t>C002056</t>
  </si>
  <si>
    <t>T019505</t>
  </si>
  <si>
    <t>C002755</t>
  </si>
  <si>
    <t>T020906</t>
  </si>
  <si>
    <t>S00165</t>
  </si>
  <si>
    <t>C002912</t>
  </si>
  <si>
    <t>T014361</t>
  </si>
  <si>
    <t>C005733</t>
  </si>
  <si>
    <t>T094192</t>
  </si>
  <si>
    <t>S00400</t>
  </si>
  <si>
    <t>C005580</t>
  </si>
  <si>
    <t>T056278</t>
  </si>
  <si>
    <t>S0065</t>
  </si>
  <si>
    <t>C002409</t>
  </si>
  <si>
    <t>T070747</t>
  </si>
  <si>
    <t>C003553</t>
  </si>
  <si>
    <t>T087937</t>
  </si>
  <si>
    <t>T061367</t>
  </si>
  <si>
    <t>C001504</t>
  </si>
  <si>
    <t>T075076</t>
  </si>
  <si>
    <t>C000099</t>
  </si>
  <si>
    <t>T04387</t>
  </si>
  <si>
    <t>C003137</t>
  </si>
  <si>
    <t>T024981</t>
  </si>
  <si>
    <t>C002189</t>
  </si>
  <si>
    <t>T067661</t>
  </si>
  <si>
    <t>C003766</t>
  </si>
  <si>
    <t>T027683</t>
  </si>
  <si>
    <t>S00237</t>
  </si>
  <si>
    <t>C003034</t>
  </si>
  <si>
    <t>T059968</t>
  </si>
  <si>
    <t>S00305</t>
  </si>
  <si>
    <t>C008817</t>
  </si>
  <si>
    <t>T041059</t>
  </si>
  <si>
    <t>S00192</t>
  </si>
  <si>
    <t>C009030</t>
  </si>
  <si>
    <t>T036773</t>
  </si>
  <si>
    <t>S00421</t>
  </si>
  <si>
    <t>C000456</t>
  </si>
  <si>
    <t>T036336</t>
  </si>
  <si>
    <t>C008423</t>
  </si>
  <si>
    <t>T061187</t>
  </si>
  <si>
    <t>T060829</t>
  </si>
  <si>
    <t>S00685</t>
  </si>
  <si>
    <t>C005346</t>
  </si>
  <si>
    <t>T016928</t>
  </si>
  <si>
    <t>T034610</t>
  </si>
  <si>
    <t>C006476</t>
  </si>
  <si>
    <t>T088420</t>
  </si>
  <si>
    <t>C005644</t>
  </si>
  <si>
    <t>T073480</t>
  </si>
  <si>
    <t>C008415</t>
  </si>
  <si>
    <t>T045684</t>
  </si>
  <si>
    <t>C001242</t>
  </si>
  <si>
    <t>T048939</t>
  </si>
  <si>
    <t>S00603</t>
  </si>
  <si>
    <t>C003850</t>
  </si>
  <si>
    <t>T018674</t>
  </si>
  <si>
    <t>C000229</t>
  </si>
  <si>
    <t>T046517</t>
  </si>
  <si>
    <t>S0068</t>
  </si>
  <si>
    <t>C000083</t>
  </si>
  <si>
    <t>T026089</t>
  </si>
  <si>
    <t>C008084</t>
  </si>
  <si>
    <t>T031957</t>
  </si>
  <si>
    <t>C003180</t>
  </si>
  <si>
    <t>T044351</t>
  </si>
  <si>
    <t>S00524</t>
  </si>
  <si>
    <t>C006197</t>
  </si>
  <si>
    <t>T083246</t>
  </si>
  <si>
    <t>C003446</t>
  </si>
  <si>
    <t>T051402</t>
  </si>
  <si>
    <t>C007586</t>
  </si>
  <si>
    <t>T041469</t>
  </si>
  <si>
    <t>S00311</t>
  </si>
  <si>
    <t>C000525</t>
  </si>
  <si>
    <t>T088554</t>
  </si>
  <si>
    <t>C001543</t>
  </si>
  <si>
    <t>T012000</t>
  </si>
  <si>
    <t>S00200</t>
  </si>
  <si>
    <t>C001244</t>
  </si>
  <si>
    <t>T047698</t>
  </si>
  <si>
    <t>C000159</t>
  </si>
  <si>
    <t>T099145</t>
  </si>
  <si>
    <t>S00620</t>
  </si>
  <si>
    <t>C005301</t>
  </si>
  <si>
    <t>T036267</t>
  </si>
  <si>
    <t>C008488</t>
  </si>
  <si>
    <t>T067238</t>
  </si>
  <si>
    <t>C001188</t>
  </si>
  <si>
    <t>T051283</t>
  </si>
  <si>
    <t>C000998</t>
  </si>
  <si>
    <t>T023354</t>
  </si>
  <si>
    <t>C001677</t>
  </si>
  <si>
    <t>T020436</t>
  </si>
  <si>
    <t>I00173</t>
  </si>
  <si>
    <t>S00689</t>
  </si>
  <si>
    <t>C001658</t>
  </si>
  <si>
    <t>T075347</t>
  </si>
  <si>
    <t>C002804</t>
  </si>
  <si>
    <t>T067709</t>
  </si>
  <si>
    <t>S00696</t>
  </si>
  <si>
    <t>C005429</t>
  </si>
  <si>
    <t>T076305</t>
  </si>
  <si>
    <t>C002934</t>
  </si>
  <si>
    <t>T021163</t>
  </si>
  <si>
    <t>C002227</t>
  </si>
  <si>
    <t>T084108</t>
  </si>
  <si>
    <t>C001029</t>
  </si>
  <si>
    <t>T048359</t>
  </si>
  <si>
    <t>S00623</t>
  </si>
  <si>
    <t>C002539</t>
  </si>
  <si>
    <t>T086022</t>
  </si>
  <si>
    <t>C007647</t>
  </si>
  <si>
    <t>T088358</t>
  </si>
  <si>
    <t>S00517</t>
  </si>
  <si>
    <t>C000439</t>
  </si>
  <si>
    <t>T072257</t>
  </si>
  <si>
    <t>C005971</t>
  </si>
  <si>
    <t>T095251</t>
  </si>
  <si>
    <t>S00313</t>
  </si>
  <si>
    <t>C004739</t>
  </si>
  <si>
    <t>T017013</t>
  </si>
  <si>
    <t>S00129</t>
  </si>
  <si>
    <t>C009014</t>
  </si>
  <si>
    <t>T09690</t>
  </si>
  <si>
    <t>C002003</t>
  </si>
  <si>
    <t>T031831</t>
  </si>
  <si>
    <t>C008582</t>
  </si>
  <si>
    <t>T070643</t>
  </si>
  <si>
    <t>C005609</t>
  </si>
  <si>
    <t>T070279</t>
  </si>
  <si>
    <t>C005669</t>
  </si>
  <si>
    <t>T077884</t>
  </si>
  <si>
    <t>C009080</t>
  </si>
  <si>
    <t>T016712</t>
  </si>
  <si>
    <t>S00437</t>
  </si>
  <si>
    <t>C002608</t>
  </si>
  <si>
    <t>S0016</t>
  </si>
  <si>
    <t>C004569</t>
  </si>
  <si>
    <t>T048417</t>
  </si>
  <si>
    <t>C007042</t>
  </si>
  <si>
    <t>T070678</t>
  </si>
  <si>
    <t>T077695</t>
  </si>
  <si>
    <t>C003726</t>
  </si>
  <si>
    <t>T09247</t>
  </si>
  <si>
    <t>S00502</t>
  </si>
  <si>
    <t>C002581</t>
  </si>
  <si>
    <t>T023483</t>
  </si>
  <si>
    <t>S00225</t>
  </si>
  <si>
    <t>C006133</t>
  </si>
  <si>
    <t>T039372</t>
  </si>
  <si>
    <t>C008735</t>
  </si>
  <si>
    <t>T097975</t>
  </si>
  <si>
    <t>C004067</t>
  </si>
  <si>
    <t>T018028</t>
  </si>
  <si>
    <t>S00326</t>
  </si>
  <si>
    <t>C002609</t>
  </si>
  <si>
    <t>T039714</t>
  </si>
  <si>
    <t>C006899</t>
  </si>
  <si>
    <t>T079008</t>
  </si>
  <si>
    <t>C006930</t>
  </si>
  <si>
    <t>T015618</t>
  </si>
  <si>
    <t>C002224</t>
  </si>
  <si>
    <t>T037466</t>
  </si>
  <si>
    <t>C006076</t>
  </si>
  <si>
    <t>T036118</t>
  </si>
  <si>
    <t>C006123</t>
  </si>
  <si>
    <t>T087914</t>
  </si>
  <si>
    <t>C002986</t>
  </si>
  <si>
    <t>T023844</t>
  </si>
  <si>
    <t>C007830</t>
  </si>
  <si>
    <t>T069240</t>
  </si>
  <si>
    <t>C005895</t>
  </si>
  <si>
    <t>T045328</t>
  </si>
  <si>
    <t>C006936</t>
  </si>
  <si>
    <t>T010434</t>
  </si>
  <si>
    <t>C002011</t>
  </si>
  <si>
    <t>T050635</t>
  </si>
  <si>
    <t>C008018</t>
  </si>
  <si>
    <t>T051596</t>
  </si>
  <si>
    <t>C000982</t>
  </si>
  <si>
    <t>T018849</t>
  </si>
  <si>
    <t>C008503</t>
  </si>
  <si>
    <t>T017156</t>
  </si>
  <si>
    <t>C008287</t>
  </si>
  <si>
    <t>T053995</t>
  </si>
  <si>
    <t>C003604</t>
  </si>
  <si>
    <t>T022813</t>
  </si>
  <si>
    <t>C007216</t>
  </si>
  <si>
    <t>T043891</t>
  </si>
  <si>
    <t>C001490</t>
  </si>
  <si>
    <t>T069592</t>
  </si>
  <si>
    <t>C002554</t>
  </si>
  <si>
    <t>T06416</t>
  </si>
  <si>
    <t>C006608</t>
  </si>
  <si>
    <t>T087800</t>
  </si>
  <si>
    <t>S00383</t>
  </si>
  <si>
    <t>C004913</t>
  </si>
  <si>
    <t>T036310</t>
  </si>
  <si>
    <t>C000301</t>
  </si>
  <si>
    <t>T037520</t>
  </si>
  <si>
    <t>I00263</t>
  </si>
  <si>
    <t>S00273</t>
  </si>
  <si>
    <t>C000100</t>
  </si>
  <si>
    <t>T066288</t>
  </si>
  <si>
    <t>C008998</t>
  </si>
  <si>
    <t>T068467</t>
  </si>
  <si>
    <t>T066631</t>
  </si>
  <si>
    <t>T099304</t>
  </si>
  <si>
    <t>S00119</t>
  </si>
  <si>
    <t>C005900</t>
  </si>
  <si>
    <t>T062583</t>
  </si>
  <si>
    <t>C007096</t>
  </si>
  <si>
    <t>T073434</t>
  </si>
  <si>
    <t>C008935</t>
  </si>
  <si>
    <t>T032867</t>
  </si>
  <si>
    <t>C008564</t>
  </si>
  <si>
    <t>T046432</t>
  </si>
  <si>
    <t>C002629</t>
  </si>
  <si>
    <t>T063630</t>
  </si>
  <si>
    <t>C000357</t>
  </si>
  <si>
    <t>T060254</t>
  </si>
  <si>
    <t>C000740</t>
  </si>
  <si>
    <t>T094526</t>
  </si>
  <si>
    <t>C005756</t>
  </si>
  <si>
    <t>T062564</t>
  </si>
  <si>
    <t>S00452</t>
  </si>
  <si>
    <t>C005701</t>
  </si>
  <si>
    <t>T042954</t>
  </si>
  <si>
    <t>C003150</t>
  </si>
  <si>
    <t>T074836</t>
  </si>
  <si>
    <t>C008676</t>
  </si>
  <si>
    <t>T019583</t>
  </si>
  <si>
    <t>C002536</t>
  </si>
  <si>
    <t>T068251</t>
  </si>
  <si>
    <t>C004602</t>
  </si>
  <si>
    <t>T084796</t>
  </si>
  <si>
    <t>T065432</t>
  </si>
  <si>
    <t>C004926</t>
  </si>
  <si>
    <t>T085219</t>
  </si>
  <si>
    <t>C009110</t>
  </si>
  <si>
    <t>T03718</t>
  </si>
  <si>
    <t>C006552</t>
  </si>
  <si>
    <t>T081067</t>
  </si>
  <si>
    <t>C004970</t>
  </si>
  <si>
    <t>T036097</t>
  </si>
  <si>
    <t>S00427</t>
  </si>
  <si>
    <t>C007205</t>
  </si>
  <si>
    <t>T028556</t>
  </si>
  <si>
    <t>S00650</t>
  </si>
  <si>
    <t>C000044</t>
  </si>
  <si>
    <t>T020940</t>
  </si>
  <si>
    <t>S0018</t>
  </si>
  <si>
    <t>C006229</t>
  </si>
  <si>
    <t>T048378</t>
  </si>
  <si>
    <t>S00339</t>
  </si>
  <si>
    <t>C004745</t>
  </si>
  <si>
    <t>T029861</t>
  </si>
  <si>
    <t>C001238</t>
  </si>
  <si>
    <t>T046150</t>
  </si>
  <si>
    <t>C007284</t>
  </si>
  <si>
    <t>T083075</t>
  </si>
  <si>
    <t>T050230</t>
  </si>
  <si>
    <t>C007192</t>
  </si>
  <si>
    <t>T081519</t>
  </si>
  <si>
    <t>C007328</t>
  </si>
  <si>
    <t>T020543</t>
  </si>
  <si>
    <t>C007684</t>
  </si>
  <si>
    <t>T067963</t>
  </si>
  <si>
    <t>C008382</t>
  </si>
  <si>
    <t>T049252</t>
  </si>
  <si>
    <t>T088039</t>
  </si>
  <si>
    <t>C004786</t>
  </si>
  <si>
    <t>T063508</t>
  </si>
  <si>
    <t>C006808</t>
  </si>
  <si>
    <t>T014715</t>
  </si>
  <si>
    <t>S00442</t>
  </si>
  <si>
    <t>C005976</t>
  </si>
  <si>
    <t>T097238</t>
  </si>
  <si>
    <t>T041435</t>
  </si>
  <si>
    <t>S0080</t>
  </si>
  <si>
    <t>C000484</t>
  </si>
  <si>
    <t>T073742</t>
  </si>
  <si>
    <t>S00714</t>
  </si>
  <si>
    <t>C008421</t>
  </si>
  <si>
    <t>T01281</t>
  </si>
  <si>
    <t>C001734</t>
  </si>
  <si>
    <t>T085110</t>
  </si>
  <si>
    <t>C001085</t>
  </si>
  <si>
    <t>T042922</t>
  </si>
  <si>
    <t>S00700</t>
  </si>
  <si>
    <t>C003891</t>
  </si>
  <si>
    <t>T029133</t>
  </si>
  <si>
    <t>C002540</t>
  </si>
  <si>
    <t>T058737</t>
  </si>
  <si>
    <t>C003071</t>
  </si>
  <si>
    <t>T02409</t>
  </si>
  <si>
    <t>C002737</t>
  </si>
  <si>
    <t>T040601</t>
  </si>
  <si>
    <t>C007871</t>
  </si>
  <si>
    <t>T038248</t>
  </si>
  <si>
    <t>C002768</t>
  </si>
  <si>
    <t>T069262</t>
  </si>
  <si>
    <t>C002733</t>
  </si>
  <si>
    <t>T070936</t>
  </si>
  <si>
    <t>C000920</t>
  </si>
  <si>
    <t>T076222</t>
  </si>
  <si>
    <t>C000852</t>
  </si>
  <si>
    <t>T048016</t>
  </si>
  <si>
    <t>C006825</t>
  </si>
  <si>
    <t>T016041</t>
  </si>
  <si>
    <t>C003665</t>
  </si>
  <si>
    <t>T091496</t>
  </si>
  <si>
    <t>C006494</t>
  </si>
  <si>
    <t>T03220</t>
  </si>
  <si>
    <t>C007083</t>
  </si>
  <si>
    <t>T042029</t>
  </si>
  <si>
    <t>I00161</t>
  </si>
  <si>
    <t>C008767</t>
  </si>
  <si>
    <t>T02741</t>
  </si>
  <si>
    <t>T013682</t>
  </si>
  <si>
    <t>C008298</t>
  </si>
  <si>
    <t>T094398</t>
  </si>
  <si>
    <t>C005635</t>
  </si>
  <si>
    <t>T019309</t>
  </si>
  <si>
    <t>S00318</t>
  </si>
  <si>
    <t>C002367</t>
  </si>
  <si>
    <t>T013581</t>
  </si>
  <si>
    <t>C004275</t>
  </si>
  <si>
    <t>T074937</t>
  </si>
  <si>
    <t>S00253</t>
  </si>
  <si>
    <t>C000316</t>
  </si>
  <si>
    <t>T040032</t>
  </si>
  <si>
    <t>C000597</t>
  </si>
  <si>
    <t>T019424</t>
  </si>
  <si>
    <t>C005359</t>
  </si>
  <si>
    <t>T011818</t>
  </si>
  <si>
    <t>S0061</t>
  </si>
  <si>
    <t>C004385</t>
  </si>
  <si>
    <t>T067775</t>
  </si>
  <si>
    <t>C004780</t>
  </si>
  <si>
    <t>T024181</t>
  </si>
  <si>
    <t>C005263</t>
  </si>
  <si>
    <t>T051792</t>
  </si>
  <si>
    <t>C002148</t>
  </si>
  <si>
    <t>T054641</t>
  </si>
  <si>
    <t>C007317</t>
  </si>
  <si>
    <t>T071996</t>
  </si>
  <si>
    <t>C001511</t>
  </si>
  <si>
    <t>T017043</t>
  </si>
  <si>
    <t>C001413</t>
  </si>
  <si>
    <t>T095007</t>
  </si>
  <si>
    <t>C004496</t>
  </si>
  <si>
    <t>T05448</t>
  </si>
  <si>
    <t>T08913</t>
  </si>
  <si>
    <t>T089670</t>
  </si>
  <si>
    <t>S00572</t>
  </si>
  <si>
    <t>C004887</t>
  </si>
  <si>
    <t>T033907</t>
  </si>
  <si>
    <t>T029138</t>
  </si>
  <si>
    <t>T058801</t>
  </si>
  <si>
    <t>C004936</t>
  </si>
  <si>
    <t>T020998</t>
  </si>
  <si>
    <t>C008563</t>
  </si>
  <si>
    <t>T010765</t>
  </si>
  <si>
    <t>S00304</t>
  </si>
  <si>
    <t>C008335</t>
  </si>
  <si>
    <t>T056049</t>
  </si>
  <si>
    <t>C000891</t>
  </si>
  <si>
    <t>T012060</t>
  </si>
  <si>
    <t>C005061</t>
  </si>
  <si>
    <t>T017472</t>
  </si>
  <si>
    <t>S0022</t>
  </si>
  <si>
    <t>T084780</t>
  </si>
  <si>
    <t>C000828</t>
  </si>
  <si>
    <t>T05244</t>
  </si>
  <si>
    <t>S0095</t>
  </si>
  <si>
    <t>C006812</t>
  </si>
  <si>
    <t>T021007</t>
  </si>
  <si>
    <t>T028970</t>
  </si>
  <si>
    <t>C003005</t>
  </si>
  <si>
    <t>T022496</t>
  </si>
  <si>
    <t>C007778</t>
  </si>
  <si>
    <t>T013600</t>
  </si>
  <si>
    <t>S00725</t>
  </si>
  <si>
    <t>C003025</t>
  </si>
  <si>
    <t>T019278</t>
  </si>
  <si>
    <t>S00101</t>
  </si>
  <si>
    <t>C002729</t>
  </si>
  <si>
    <t>T068432</t>
  </si>
  <si>
    <t>C006376</t>
  </si>
  <si>
    <t>T098389</t>
  </si>
  <si>
    <t>C005081</t>
  </si>
  <si>
    <t>T030600</t>
  </si>
  <si>
    <t>C005278</t>
  </si>
  <si>
    <t>T024147</t>
  </si>
  <si>
    <t>S00490</t>
  </si>
  <si>
    <t>C006847</t>
  </si>
  <si>
    <t>T027777</t>
  </si>
  <si>
    <t>C006926</t>
  </si>
  <si>
    <t>T037129</t>
  </si>
  <si>
    <t>S00428</t>
  </si>
  <si>
    <t>C002837</t>
  </si>
  <si>
    <t>T068909</t>
  </si>
  <si>
    <t>C004455</t>
  </si>
  <si>
    <t>T027742</t>
  </si>
  <si>
    <t>C005028</t>
  </si>
  <si>
    <t>T072665</t>
  </si>
  <si>
    <t>C002902</t>
  </si>
  <si>
    <t>T064539</t>
  </si>
  <si>
    <t>C003073</t>
  </si>
  <si>
    <t>T022564</t>
  </si>
  <si>
    <t>S00702</t>
  </si>
  <si>
    <t>C008954</t>
  </si>
  <si>
    <t>T053726</t>
  </si>
  <si>
    <t>S00156</t>
  </si>
  <si>
    <t>T076627</t>
  </si>
  <si>
    <t>C002714</t>
  </si>
  <si>
    <t>T076636</t>
  </si>
  <si>
    <t>S00189</t>
  </si>
  <si>
    <t>C007254</t>
  </si>
  <si>
    <t>T080275</t>
  </si>
  <si>
    <t>C000477</t>
  </si>
  <si>
    <t>T026363</t>
  </si>
  <si>
    <t>C006337</t>
  </si>
  <si>
    <t>T088290</t>
  </si>
  <si>
    <t>C007959</t>
  </si>
  <si>
    <t>T073418</t>
  </si>
  <si>
    <t>C007570</t>
  </si>
  <si>
    <t>T05669</t>
  </si>
  <si>
    <t>C006070</t>
  </si>
  <si>
    <t>T079874</t>
  </si>
  <si>
    <t>C009025</t>
  </si>
  <si>
    <t>T049482</t>
  </si>
  <si>
    <t>C000185</t>
  </si>
  <si>
    <t>T066241</t>
  </si>
  <si>
    <t>C007451</t>
  </si>
  <si>
    <t>T078445</t>
  </si>
  <si>
    <t>Advance Filter</t>
  </si>
  <si>
    <t xml:space="preserve">Vita Coconut Water 10oz </t>
  </si>
  <si>
    <t>Coffee-Mate French Vanilla Cold</t>
  </si>
  <si>
    <t>Coffee Cream</t>
  </si>
  <si>
    <t>Coffee-Mate Original Flavor Cold</t>
  </si>
  <si>
    <t>Coffee-mate Original Powdered Creamer</t>
  </si>
  <si>
    <t>French Vanilla International Delight</t>
  </si>
  <si>
    <t>Half &amp; Half -Land o Lakes Mini Moo's</t>
  </si>
  <si>
    <t>Hazelnut International Delight</t>
  </si>
  <si>
    <t>Njoy Creamer Canister 16 oz</t>
  </si>
  <si>
    <t>Coffee Creamer</t>
  </si>
  <si>
    <t>Njoy Creamer Packs</t>
  </si>
  <si>
    <t>Community Coffee Dark Roast</t>
  </si>
  <si>
    <t>Coffee Ground</t>
  </si>
  <si>
    <t>Dunkin Donuts Original Blend</t>
  </si>
  <si>
    <t>Folgers 100% Colombian Coffee</t>
  </si>
  <si>
    <t>Folgers Classic Roast Coffee</t>
  </si>
  <si>
    <t>Starbuck's Pike Place</t>
  </si>
  <si>
    <t>K Cups Hot Cocoa</t>
  </si>
  <si>
    <t>Coffee Hot Cocoa</t>
  </si>
  <si>
    <t>Swiss Miss Hot Cocoa Mix 1 oz</t>
  </si>
  <si>
    <t>K Cups - McCafe Premium Roast</t>
  </si>
  <si>
    <t>Coffee K-Cups</t>
  </si>
  <si>
    <t>K Cups – Starbuck's Pike Place</t>
  </si>
  <si>
    <t>K Cups Daily Chef Columbian Supremo</t>
  </si>
  <si>
    <t>K Cups Dunkin Donuts Medium Roast</t>
  </si>
  <si>
    <t>K Cups Folgers Lively Columbian</t>
  </si>
  <si>
    <t>K Cups –Organic Breakfast Blend</t>
  </si>
  <si>
    <t>K Cups Original Donut Shop Med. Roast</t>
  </si>
  <si>
    <t>K Cups - Green Tea</t>
  </si>
  <si>
    <t>Coffee K-Cups Tea</t>
  </si>
  <si>
    <t>Stirrers Coffee Stirs 7inch</t>
  </si>
  <si>
    <t>Coffee Stirrers</t>
  </si>
  <si>
    <t>Equal Sweetener</t>
  </si>
  <si>
    <t>Coffee Sweetener</t>
  </si>
  <si>
    <t xml:space="preserve">Honey Packets  </t>
  </si>
  <si>
    <t>Njoy Sugar Canister 22 oz</t>
  </si>
  <si>
    <t>Pure White Sugar Packets</t>
  </si>
  <si>
    <t>Splenda Sweetener</t>
  </si>
  <si>
    <t>Sugar in the Raw Packets</t>
  </si>
  <si>
    <t>Sweet N Low Sweetener</t>
  </si>
  <si>
    <t>Truvia Natural Sweetener</t>
  </si>
  <si>
    <t>Hefty Supreme Foam Bowls 12oz</t>
  </si>
  <si>
    <t>Dishware - Bowls</t>
  </si>
  <si>
    <t>Paper Bowls 20 oz Ultra Strong</t>
  </si>
  <si>
    <t>Clear Plastic 12 oz Cups</t>
  </si>
  <si>
    <t>Dishware - Cups Cold</t>
  </si>
  <si>
    <t>Clear Plastic Cups 9oz</t>
  </si>
  <si>
    <t>Red Plastic Cups 18oz</t>
  </si>
  <si>
    <t>Chinet Comfort Hot Cups with Lids 16oz</t>
  </si>
  <si>
    <t>Dishware - Cups Hot</t>
  </si>
  <si>
    <t>Dixie Perfecttouch Paper Cups 12oz</t>
  </si>
  <si>
    <t>Foam Coffee Cups - 08 ounce</t>
  </si>
  <si>
    <t>Foam Coffee Cups - 12 ounce</t>
  </si>
  <si>
    <t>Foam Coffee Cups - 16 ounce</t>
  </si>
  <si>
    <t>Foam Coffee Cups - 20 ounce</t>
  </si>
  <si>
    <t>Hefty Cmprtmnt Plates Foam 10'</t>
  </si>
  <si>
    <t>Dishware - Plates</t>
  </si>
  <si>
    <t>Hefty Supreme Foam Plates 6 inch</t>
  </si>
  <si>
    <t>Hefty Supreme Foam Plates 9 inch</t>
  </si>
  <si>
    <t>Paper Plate 10 inch Ultra Strong</t>
  </si>
  <si>
    <t>Paper Plates 7 inch  Ultra Strong</t>
  </si>
  <si>
    <t>Paper Plates 8.5 inch Ultra Strong</t>
  </si>
  <si>
    <t>Plastic Forks White Heavyweight</t>
  </si>
  <si>
    <t>Dishware - Utensils</t>
  </si>
  <si>
    <t>Plastic Knives White  Heavyweight</t>
  </si>
  <si>
    <t>Plastic Spoons White  Heavyweight</t>
  </si>
  <si>
    <t>Baked Chips Variety Mix Frito</t>
  </si>
  <si>
    <t>Food - Chips</t>
  </si>
  <si>
    <t>Cheetos Flamin' Hot 1 oz</t>
  </si>
  <si>
    <t>Cheez It Original Crackers 1.5oz</t>
  </si>
  <si>
    <t>Cheez It White Cheddar 1.5 oz</t>
  </si>
  <si>
    <t>Chex Mix Original</t>
  </si>
  <si>
    <t>Doritos Nacho Cheese 1 oz</t>
  </si>
  <si>
    <t>Flamin Hot Chip Mix 1oz</t>
  </si>
  <si>
    <t>Frito Big Grab Variety 1.5-2.0 oz</t>
  </si>
  <si>
    <t>Frito Bold Flavors Variety</t>
  </si>
  <si>
    <t>Frito BOLD Flavors Variety Pack</t>
  </si>
  <si>
    <t>Frito Classic Mix Variety</t>
  </si>
  <si>
    <t>Frito Fiesta Flavors Variety</t>
  </si>
  <si>
    <t>Gardettos Snacks</t>
  </si>
  <si>
    <t xml:space="preserve">Goldfish Pepperidge Farm Cheddar 1.5oz </t>
  </si>
  <si>
    <t>Goldfish Variety Bags, cheddar, pretzels</t>
  </si>
  <si>
    <t>Miss Vickies Chips</t>
  </si>
  <si>
    <t>Pop Chips Variety bags</t>
  </si>
  <si>
    <t>Pringles Snak Stacks Variety</t>
  </si>
  <si>
    <t>Snyders Pretzels Minis</t>
  </si>
  <si>
    <t>Sun Chips Variety Pack</t>
  </si>
  <si>
    <t xml:space="preserve">Veggie Chips 1oz </t>
  </si>
  <si>
    <t>Dark Chocolate Mint Patties</t>
  </si>
  <si>
    <t>Food - Chocolate</t>
  </si>
  <si>
    <t>Hershey Chocoalte Minatures Assort.</t>
  </si>
  <si>
    <t>Hershey Factory Favorites Mix</t>
  </si>
  <si>
    <t xml:space="preserve">Hershey Kisses </t>
  </si>
  <si>
    <t>I00175</t>
  </si>
  <si>
    <t>Hershey Nuggets</t>
  </si>
  <si>
    <t>M&amp;M Peanut Butter 1.6 oz</t>
  </si>
  <si>
    <t>M&amp;M Peanut Candy 1.7 oz</t>
  </si>
  <si>
    <t>M&amp;M Variety Full Size Bags</t>
  </si>
  <si>
    <t>Mars Chocolate Favorites</t>
  </si>
  <si>
    <t>Mars Mini Mix</t>
  </si>
  <si>
    <t>Reese's Peanutbutter Cups 2/pk</t>
  </si>
  <si>
    <t>Reese's Pieces Peanutbutter Candy</t>
  </si>
  <si>
    <t>Snickers Bars 1.8oz</t>
  </si>
  <si>
    <t>Tootsie Roll Midgets</t>
  </si>
  <si>
    <t>Apple Sauce Variety GoGO Squeeze 3.2oz</t>
  </si>
  <si>
    <t>Food - Healthy</t>
  </si>
  <si>
    <t>Belvita Hard Biscuits Blueberry</t>
  </si>
  <si>
    <t>Belvita Hard Biscuits Cinnamon</t>
  </si>
  <si>
    <t>Belvita Protein Oats Soft Biscuit</t>
  </si>
  <si>
    <t>Chewy Granola Variety Bars Quaker</t>
  </si>
  <si>
    <t xml:space="preserve">Chobani Greek Yogurt Variety Pack </t>
  </si>
  <si>
    <t>Cliff Builders Protein Bar Variety Pack</t>
  </si>
  <si>
    <t>Cliff Energy Bars Variety Pack</t>
  </si>
  <si>
    <t>Crunchy Granola Bars Oats &amp; Honey</t>
  </si>
  <si>
    <t>Detour Lower Sugar Protein Bar</t>
  </si>
  <si>
    <t>Dole Fruit in Gel Cups 4.3 oz</t>
  </si>
  <si>
    <t>Fiber One 90 Calorie Fudge Brownies</t>
  </si>
  <si>
    <t>Fiber One Bars Oats and Chocolate</t>
  </si>
  <si>
    <t xml:space="preserve">Go-Gurt Low Fat Yogurt, Strwbry &amp; Berry </t>
  </si>
  <si>
    <t>Kellogg's Fruity Snacks</t>
  </si>
  <si>
    <t xml:space="preserve">Kind  Bars Mini Variety Pack 0.7 oz </t>
  </si>
  <si>
    <t xml:space="preserve">Kind  Bars Variety Pack 1.4 oz </t>
  </si>
  <si>
    <t>Lunchables Variety Pack Oscar Meyer</t>
  </si>
  <si>
    <t>Nat.Valley PeanutButter Protein Bars</t>
  </si>
  <si>
    <t xml:space="preserve">Nature Valley Biscuit Sandwich Variety Pack </t>
  </si>
  <si>
    <t>Nature Valley Chewy Trail Mix Bars</t>
  </si>
  <si>
    <t xml:space="preserve">Nature Valley Soft Oatmeal Squares   </t>
  </si>
  <si>
    <t xml:space="preserve">Nature Valley Sweet/Salty Almond Bars      </t>
  </si>
  <si>
    <t xml:space="preserve">Nature Valley Sweet/Salty Peanut Bars      </t>
  </si>
  <si>
    <t>Quaker Instant Oatmeal Maple Brn Sugar</t>
  </si>
  <si>
    <t xml:space="preserve">Quaker Instant Oatmeal Variety </t>
  </si>
  <si>
    <t>Sargento Bal. Breaks (fruit, nut, cheese)</t>
  </si>
  <si>
    <t>Sargento String Cheese 0.75oz</t>
  </si>
  <si>
    <t xml:space="preserve">Yoplait Original Yogurt Variety Pack </t>
  </si>
  <si>
    <t>Deluxe Mixed Nuts with Seasalt</t>
  </si>
  <si>
    <t>Food - Nuts</t>
  </si>
  <si>
    <t>Planters Nut Variety Packs</t>
  </si>
  <si>
    <t xml:space="preserve">Planters Nut-trition 1.5 oz </t>
  </si>
  <si>
    <t>Unsalted Premium Blend Nuts</t>
  </si>
  <si>
    <t>Blue Diamond Almonds Rstd, Sltd</t>
  </si>
  <si>
    <t>Wonderful Pistachios (in shell)</t>
  </si>
  <si>
    <t>Austin Cookie Cracker Variety</t>
  </si>
  <si>
    <t>Food - Snacks</t>
  </si>
  <si>
    <t>Austin Toasty Crackers w/ PBtr</t>
  </si>
  <si>
    <t>Cheese and Peanut Butter Crackers</t>
  </si>
  <si>
    <t xml:space="preserve">Lance Variety Cracker Packs </t>
  </si>
  <si>
    <t>Peanutbutter Filled Pretzels</t>
  </si>
  <si>
    <t xml:space="preserve">Famous Amos Cookies </t>
  </si>
  <si>
    <t>Food - Sweets</t>
  </si>
  <si>
    <t>Jolly Ranchers Variety Hard Candy</t>
  </si>
  <si>
    <t>Keebler Cookie &amp; Cracker Variety</t>
  </si>
  <si>
    <t>Kellogg Fun Mix Cheez it, Prngls, Fam Amos</t>
  </si>
  <si>
    <t xml:space="preserve">Kellogg's Cereals Assortment Pack </t>
  </si>
  <si>
    <t>Nabisco Classic Mix ccooki, cracker</t>
  </si>
  <si>
    <t>Nabisco Cookie Variety Pk Oreo/ChocChip</t>
  </si>
  <si>
    <t xml:space="preserve">Pop-Tarts, Brown Sugar Cinnamon </t>
  </si>
  <si>
    <t>Pop-Tarts, Frosted Strawberry</t>
  </si>
  <si>
    <t>Spunkmeyer Muffin Variety</t>
  </si>
  <si>
    <t>Zoo Animal Cookies/Crackers</t>
  </si>
  <si>
    <t>Altoids Small Packs Variety</t>
  </si>
  <si>
    <t>Gum - Mints</t>
  </si>
  <si>
    <t xml:space="preserve">Breath Savers Peppermints 12/roll </t>
  </si>
  <si>
    <t>Double Bubble Variety Tub</t>
  </si>
  <si>
    <t>Extra Variety Packs Sugar Free</t>
  </si>
  <si>
    <t xml:space="preserve">Ice Breaker Mints Sugar Free </t>
  </si>
  <si>
    <t>Peppermints Hard Candy</t>
  </si>
  <si>
    <t>Trident Original Flavor 18/pk</t>
  </si>
  <si>
    <t>Wint O Green LifeSavers Sugar Free</t>
  </si>
  <si>
    <t>All Purpose Cleaner 409 Spray</t>
  </si>
  <si>
    <t>Kitchen Supplies</t>
  </si>
  <si>
    <t xml:space="preserve">Bounty Paper Towels Select a Size </t>
  </si>
  <si>
    <t>Cascade Gel Packs Dishwasher</t>
  </si>
  <si>
    <t>Cascade Gel w/ Dawn Dishwasher</t>
  </si>
  <si>
    <t>Charmin Ultra Bath Tissue</t>
  </si>
  <si>
    <t>Clorox Bleach Large Jugs</t>
  </si>
  <si>
    <t xml:space="preserve">Clorox Disinfecting Wipes </t>
  </si>
  <si>
    <t xml:space="preserve">Dawn Ultra Dish Detergent, Original Scent </t>
  </si>
  <si>
    <t>Dial Anti-bacterial  Foam 7.5oz</t>
  </si>
  <si>
    <t xml:space="preserve">ForceFlex Trash Bags 13 Gal </t>
  </si>
  <si>
    <t>Hand Sanitizer Refill Pump</t>
  </si>
  <si>
    <t>Kleenex Tissue Rectangle Boxes 160/box</t>
  </si>
  <si>
    <t>Kleenex Tissue Square Boxes 75/box</t>
  </si>
  <si>
    <t>Large Trash Bags Black 33 gal</t>
  </si>
  <si>
    <t>Lysol Disinfectant Spray 19 oz</t>
  </si>
  <si>
    <t>Lysol Wipes 100 ct</t>
  </si>
  <si>
    <t>Napkins Square Lunch</t>
  </si>
  <si>
    <t>POM 2 ply paper towels</t>
  </si>
  <si>
    <t>Strong Everyday Napkins</t>
  </si>
  <si>
    <t>Advil 2 pill packets</t>
  </si>
  <si>
    <t>Medicine</t>
  </si>
  <si>
    <t>Tylenol Extra Strength 2 pill packets</t>
  </si>
  <si>
    <t>XLOOKUP</t>
  </si>
  <si>
    <t>VLOOKUP</t>
  </si>
  <si>
    <t>HLOOKUP</t>
  </si>
  <si>
    <t>Logical operation</t>
  </si>
  <si>
    <t>Text Method</t>
  </si>
  <si>
    <t xml:space="preserve">logical operation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</si>
</sst>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/>
    <xf numFmtId="0" fontId="0" fillId="9" borderId="1" xfId="0" applyFill="1" applyBorder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10" borderId="1" xfId="0" applyFill="1" applyBorder="1" applyAlignment="1">
      <alignment horizontal="left" vertical="top"/>
    </xf>
    <xf numFmtId="0" fontId="0" fillId="11" borderId="3" xfId="0" applyFill="1" applyBorder="1" applyAlignment="1">
      <alignment horizontal="left" vertical="top"/>
    </xf>
    <xf numFmtId="0" fontId="0" fillId="8" borderId="0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0" xfId="0" applyFill="1" applyBorder="1" applyAlignment="1"/>
    <xf numFmtId="0" fontId="0" fillId="0" borderId="0" xfId="0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left" vertical="top"/>
    </xf>
    <xf numFmtId="0" fontId="0" fillId="12" borderId="1" xfId="0" applyFill="1" applyBorder="1"/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9" xfId="0" applyFill="1" applyBorder="1" applyAlignment="1">
      <alignment horizontal="left" vertical="top"/>
    </xf>
    <xf numFmtId="0" fontId="1" fillId="13" borderId="0" xfId="0" applyFont="1" applyFill="1" applyBorder="1"/>
    <xf numFmtId="0" fontId="0" fillId="14" borderId="0" xfId="0" applyFill="1"/>
    <xf numFmtId="0" fontId="1" fillId="13" borderId="0" xfId="0" applyFont="1" applyFill="1"/>
    <xf numFmtId="0" fontId="0" fillId="15" borderId="1" xfId="0" applyFill="1" applyBorder="1"/>
    <xf numFmtId="0" fontId="0" fillId="14" borderId="1" xfId="0" applyFill="1" applyBorder="1"/>
    <xf numFmtId="0" fontId="0" fillId="14" borderId="6" xfId="0" applyFill="1" applyBorder="1"/>
    <xf numFmtId="0" fontId="0" fillId="15" borderId="8" xfId="0" applyFill="1" applyBorder="1"/>
    <xf numFmtId="0" fontId="0" fillId="14" borderId="8" xfId="0" applyFill="1" applyBorder="1"/>
    <xf numFmtId="0" fontId="0" fillId="0" borderId="7" xfId="0" applyBorder="1"/>
    <xf numFmtId="0" fontId="0" fillId="0" borderId="9" xfId="0" applyBorder="1"/>
    <xf numFmtId="0" fontId="0" fillId="0" borderId="3" xfId="0" applyBorder="1"/>
    <xf numFmtId="0" fontId="0" fillId="0" borderId="0" xfId="0" applyBorder="1"/>
    <xf numFmtId="0" fontId="0" fillId="14" borderId="10" xfId="0" applyFill="1" applyBorder="1"/>
    <xf numFmtId="0" fontId="0" fillId="9" borderId="7" xfId="0" applyFill="1" applyBorder="1"/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9" borderId="1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0" fillId="2" borderId="0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3" borderId="8" xfId="0" applyFill="1" applyBorder="1"/>
    <xf numFmtId="0" fontId="1" fillId="18" borderId="0" xfId="0" applyFont="1" applyFill="1"/>
    <xf numFmtId="0" fontId="0" fillId="19" borderId="1" xfId="0" applyFill="1" applyBorder="1" applyAlignment="1">
      <alignment horizontal="center" vertical="top"/>
    </xf>
    <xf numFmtId="0" fontId="0" fillId="17" borderId="2" xfId="0" applyFill="1" applyBorder="1" applyAlignment="1">
      <alignment horizontal="center"/>
    </xf>
    <xf numFmtId="0" fontId="0" fillId="17" borderId="0" xfId="0" applyFill="1"/>
    <xf numFmtId="0" fontId="0" fillId="17" borderId="1" xfId="0" applyFill="1" applyBorder="1" applyAlignment="1">
      <alignment horizontal="left" vertical="top"/>
    </xf>
    <xf numFmtId="0" fontId="0" fillId="17" borderId="1" xfId="0" applyFill="1" applyBorder="1" applyAlignment="1">
      <alignment horizontal="center" vertical="top"/>
    </xf>
    <xf numFmtId="0" fontId="0" fillId="18" borderId="1" xfId="0" applyFill="1" applyBorder="1"/>
    <xf numFmtId="0" fontId="0" fillId="0" borderId="0" xfId="0" applyAlignment="1">
      <alignment horizontal="center" vertical="top" wrapText="1"/>
    </xf>
    <xf numFmtId="0" fontId="0" fillId="2" borderId="9" xfId="0" applyFill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9" borderId="7" xfId="0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18" borderId="1" xfId="0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18" borderId="2" xfId="0" applyFill="1" applyBorder="1" applyAlignment="1">
      <alignment horizontal="center"/>
    </xf>
    <xf numFmtId="0" fontId="0" fillId="16" borderId="2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13" borderId="1" xfId="0" applyFill="1" applyBorder="1" applyAlignment="1">
      <alignment horizontal="center" vertical="top"/>
    </xf>
    <xf numFmtId="0" fontId="0" fillId="15" borderId="2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0" fillId="9" borderId="6" xfId="0" applyFill="1" applyBorder="1" applyAlignment="1">
      <alignment horizontal="center" vertical="top"/>
    </xf>
    <xf numFmtId="0" fontId="0" fillId="9" borderId="8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CC87-740D-41F2-95D1-BBCF8E6AD05B}">
  <sheetPr filterMode="1"/>
  <dimension ref="A3:AO515"/>
  <sheetViews>
    <sheetView topLeftCell="B498" zoomScaleNormal="100" workbookViewId="0">
      <selection activeCell="AI14" sqref="AI14"/>
    </sheetView>
  </sheetViews>
  <sheetFormatPr defaultRowHeight="15" x14ac:dyDescent="0.25"/>
  <cols>
    <col min="1" max="1" width="13.140625" bestFit="1" customWidth="1"/>
    <col min="2" max="2" width="14.7109375" bestFit="1" customWidth="1"/>
    <col min="3" max="4" width="9.28515625" bestFit="1" customWidth="1"/>
    <col min="5" max="5" width="9.7109375" bestFit="1" customWidth="1"/>
    <col min="6" max="6" width="8.42578125" bestFit="1" customWidth="1"/>
    <col min="7" max="7" width="7.42578125" bestFit="1" customWidth="1"/>
    <col min="8" max="8" width="10" bestFit="1" customWidth="1"/>
    <col min="9" max="9" width="12" bestFit="1" customWidth="1"/>
    <col min="10" max="10" width="13.28515625" customWidth="1"/>
    <col min="11" max="11" width="14.7109375" customWidth="1"/>
    <col min="12" max="12" width="14.140625" customWidth="1"/>
    <col min="13" max="13" width="9.7109375" customWidth="1"/>
    <col min="14" max="14" width="11.42578125" bestFit="1" customWidth="1"/>
    <col min="15" max="15" width="10" bestFit="1" customWidth="1"/>
    <col min="16" max="16" width="15.42578125" bestFit="1" customWidth="1"/>
    <col min="17" max="17" width="11.7109375" customWidth="1"/>
    <col min="18" max="18" width="10.28515625" customWidth="1"/>
    <col min="19" max="19" width="4.42578125" bestFit="1" customWidth="1"/>
    <col min="20" max="20" width="9.42578125" bestFit="1" customWidth="1"/>
    <col min="21" max="21" width="7.42578125" bestFit="1" customWidth="1"/>
    <col min="22" max="22" width="6.85546875" bestFit="1" customWidth="1"/>
    <col min="23" max="23" width="10.42578125" bestFit="1" customWidth="1"/>
    <col min="24" max="24" width="10.140625" bestFit="1" customWidth="1"/>
    <col min="25" max="25" width="4.42578125" bestFit="1" customWidth="1"/>
    <col min="26" max="26" width="5.5703125" bestFit="1" customWidth="1"/>
    <col min="27" max="27" width="4.85546875" bestFit="1" customWidth="1"/>
    <col min="28" max="28" width="4.140625" bestFit="1" customWidth="1"/>
    <col min="29" max="29" width="4.140625" customWidth="1"/>
    <col min="30" max="30" width="17.28515625" bestFit="1" customWidth="1"/>
    <col min="31" max="31" width="4.5703125" bestFit="1" customWidth="1"/>
    <col min="32" max="32" width="4.5703125" customWidth="1"/>
    <col min="33" max="33" width="14" bestFit="1" customWidth="1"/>
  </cols>
  <sheetData>
    <row r="3" spans="1:41" x14ac:dyDescent="0.25">
      <c r="N3" s="44" t="s">
        <v>1792</v>
      </c>
      <c r="O3" s="44"/>
      <c r="P3" s="45" t="s">
        <v>1793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20"/>
      <c r="AG3" s="46" t="s">
        <v>3398</v>
      </c>
      <c r="AH3" s="46"/>
      <c r="AI3" s="46"/>
      <c r="AJ3" s="46"/>
      <c r="AK3" s="46"/>
      <c r="AL3" s="46"/>
      <c r="AM3" s="46"/>
      <c r="AN3" s="46"/>
      <c r="AO3" s="46"/>
    </row>
    <row r="4" spans="1:4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4" t="s">
        <v>1650</v>
      </c>
      <c r="J4" s="5" t="s">
        <v>38</v>
      </c>
      <c r="K4" s="5" t="s">
        <v>39</v>
      </c>
      <c r="L4" s="5" t="s">
        <v>36</v>
      </c>
      <c r="M4" s="5" t="s">
        <v>37</v>
      </c>
      <c r="N4" s="5" t="s">
        <v>1652</v>
      </c>
      <c r="O4" s="5" t="s">
        <v>1651</v>
      </c>
      <c r="P4" s="5" t="s">
        <v>41</v>
      </c>
      <c r="Q4" s="5" t="s">
        <v>52</v>
      </c>
      <c r="R4" s="5" t="s">
        <v>40</v>
      </c>
      <c r="S4" s="5" t="s">
        <v>45</v>
      </c>
      <c r="T4" s="5" t="s">
        <v>46</v>
      </c>
      <c r="U4" s="5" t="s">
        <v>47</v>
      </c>
      <c r="V4" s="5" t="s">
        <v>49</v>
      </c>
      <c r="W4" s="5" t="s">
        <v>51</v>
      </c>
      <c r="X4" s="5" t="s">
        <v>50</v>
      </c>
      <c r="Y4" s="5" t="s">
        <v>43</v>
      </c>
      <c r="Z4" s="5" t="s">
        <v>44</v>
      </c>
      <c r="AA4" s="5" t="s">
        <v>42</v>
      </c>
      <c r="AB4" s="5" t="s">
        <v>48</v>
      </c>
      <c r="AC4" s="5"/>
      <c r="AD4" s="5" t="s">
        <v>81</v>
      </c>
      <c r="AE4" s="5" t="s">
        <v>53</v>
      </c>
      <c r="AF4" s="28"/>
      <c r="AG4" s="1" t="s">
        <v>0</v>
      </c>
      <c r="AH4" s="1" t="s">
        <v>1</v>
      </c>
      <c r="AI4" s="1" t="s">
        <v>2</v>
      </c>
      <c r="AJ4" s="1" t="s">
        <v>3</v>
      </c>
      <c r="AK4" s="1" t="s">
        <v>4</v>
      </c>
      <c r="AL4" s="1" t="s">
        <v>5</v>
      </c>
      <c r="AM4" s="1" t="s">
        <v>6</v>
      </c>
      <c r="AN4" s="1" t="s">
        <v>7</v>
      </c>
      <c r="AO4" s="18" t="s">
        <v>6</v>
      </c>
    </row>
    <row r="5" spans="1:41" ht="30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>
        <v>1</v>
      </c>
      <c r="G5" s="2" t="s">
        <v>13</v>
      </c>
      <c r="H5" s="2">
        <v>35</v>
      </c>
      <c r="I5" s="6">
        <f>$F5*Sheet1!H5</f>
        <v>35</v>
      </c>
      <c r="J5" s="6">
        <f>_xlfn.RANK.AVG(I5,$I$5:$I$500)</f>
        <v>420.5</v>
      </c>
      <c r="K5" s="6">
        <f>_xlfn.RANK.EQ(I5,$I$5:$I$500)</f>
        <v>420</v>
      </c>
      <c r="L5" s="6">
        <f>SUMIF($G$3:$G$415,G5,$H$3:$H$498)</f>
        <v>2995.5</v>
      </c>
      <c r="M5" s="6">
        <f t="shared" ref="M5:M11" si="0">COUNTIF(G5:G417,G5)</f>
        <v>157</v>
      </c>
      <c r="N5" s="6" t="b">
        <f t="shared" ref="N5:N68" si="1">AND(H5&gt;20,H5&lt;70)</f>
        <v>1</v>
      </c>
      <c r="O5" s="6" t="b">
        <f>OR(H5&gt;50,I5&lt;60)</f>
        <v>1</v>
      </c>
      <c r="P5" s="6" t="str">
        <f t="shared" ref="P5:P68" si="2">_xlfn.CONCAT(B5,"-",G5)</f>
        <v>C004510-ct</v>
      </c>
      <c r="Q5" s="7" t="str">
        <f t="shared" ref="Q5:Q68" si="3">_xlfn.CONCAT(C5,CHAR(10),F5)</f>
        <v>T049189
1</v>
      </c>
      <c r="R5" s="6" t="b">
        <f t="shared" ref="R5:R68" si="4">EXACT(D5,E5)</f>
        <v>0</v>
      </c>
      <c r="S5" s="6" t="str">
        <f t="shared" ref="S5:S68" si="5">MID(D5,4,2)</f>
        <v>17</v>
      </c>
      <c r="T5" s="6" t="str">
        <f t="shared" ref="T5:T68" si="6">UPPER(G5)</f>
        <v>CT</v>
      </c>
      <c r="U5" s="6" t="str">
        <f t="shared" ref="U5:U68" si="7">LOWER(G5)</f>
        <v>ct</v>
      </c>
      <c r="V5" s="6">
        <f t="shared" ref="V5:V68" si="8">SEARCH("0",E5)</f>
        <v>2</v>
      </c>
      <c r="W5" s="6" t="str">
        <f t="shared" ref="W5:W68" si="9">_xlfn.TEXTJOIN(" ",TRUE,C5,F5)</f>
        <v>T049189 1</v>
      </c>
      <c r="X5" s="6" t="str">
        <f>SUBSTITUTE(E5,"0","5")</f>
        <v>S55357</v>
      </c>
      <c r="Y5" s="6" t="str">
        <f t="shared" ref="Y5:Y68" si="10">LEFT(C5,3)</f>
        <v>T04</v>
      </c>
      <c r="Z5" s="6" t="str">
        <f t="shared" ref="Z5:Z68" si="11">RIGHT(C5,3)</f>
        <v>189</v>
      </c>
      <c r="AA5" s="6">
        <f>FIND("0",E5)</f>
        <v>2</v>
      </c>
      <c r="AB5" s="6">
        <f t="shared" ref="AB5:AB68" si="12">LEN(G5)</f>
        <v>2</v>
      </c>
      <c r="AC5" s="6"/>
      <c r="AD5" s="3" t="s">
        <v>13</v>
      </c>
      <c r="AE5" s="12" t="s">
        <v>121</v>
      </c>
      <c r="AG5" s="2" t="s">
        <v>8</v>
      </c>
      <c r="AH5" s="2" t="s">
        <v>9</v>
      </c>
      <c r="AI5" s="2" t="s">
        <v>10</v>
      </c>
      <c r="AJ5" s="2" t="s">
        <v>11</v>
      </c>
      <c r="AK5" s="2" t="s">
        <v>12</v>
      </c>
      <c r="AL5" s="2">
        <v>1</v>
      </c>
      <c r="AM5" s="2" t="s">
        <v>13</v>
      </c>
      <c r="AN5" s="2">
        <v>35</v>
      </c>
      <c r="AO5" s="19" t="s">
        <v>13</v>
      </c>
    </row>
    <row r="6" spans="1:41" ht="30" hidden="1" x14ac:dyDescent="0.25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>
        <v>1</v>
      </c>
      <c r="G6" s="2" t="s">
        <v>19</v>
      </c>
      <c r="H6" s="2">
        <v>26</v>
      </c>
      <c r="I6" s="6">
        <f t="shared" ref="I6:I69" si="13">$F6*H6</f>
        <v>26</v>
      </c>
      <c r="J6" s="6">
        <f t="shared" ref="J6:J11" si="14">_xlfn.RANK.AVG(I6,$I$3:$I$21536)</f>
        <v>451.5</v>
      </c>
      <c r="K6" s="6">
        <f t="shared" ref="K6:K11" si="15">_xlfn.RANK.EQ(I6,$I$3:$I$21536)</f>
        <v>450</v>
      </c>
      <c r="L6" s="6">
        <f t="shared" ref="L6:L69" si="16">SUMIF(G6:G418,G6,H6:H501)</f>
        <v>104</v>
      </c>
      <c r="M6" s="6">
        <f t="shared" si="0"/>
        <v>4</v>
      </c>
      <c r="N6" s="6" t="b">
        <f t="shared" si="1"/>
        <v>1</v>
      </c>
      <c r="O6" s="6" t="b">
        <f>OR(H6&gt;60,I6&lt;10)</f>
        <v>0</v>
      </c>
      <c r="P6" s="6" t="str">
        <f t="shared" si="2"/>
        <v>C008967-rolls</v>
      </c>
      <c r="Q6" s="7" t="str">
        <f t="shared" si="3"/>
        <v>T041209
1</v>
      </c>
      <c r="R6" s="6" t="b">
        <f t="shared" si="4"/>
        <v>0</v>
      </c>
      <c r="S6" s="6" t="str">
        <f t="shared" si="5"/>
        <v>24</v>
      </c>
      <c r="T6" s="6" t="str">
        <f t="shared" si="6"/>
        <v>ROLLS</v>
      </c>
      <c r="U6" s="6" t="str">
        <f t="shared" si="7"/>
        <v>rolls</v>
      </c>
      <c r="V6" s="6">
        <f t="shared" si="8"/>
        <v>2</v>
      </c>
      <c r="W6" s="6" t="str">
        <f t="shared" si="9"/>
        <v>T041209 1</v>
      </c>
      <c r="X6" s="6" t="str">
        <f t="shared" ref="X5:X68" si="17">SUBSTITUTE(E6,"0","5")</f>
        <v>S55595</v>
      </c>
      <c r="Y6" s="6" t="str">
        <f t="shared" si="10"/>
        <v>T04</v>
      </c>
      <c r="Z6" s="6" t="str">
        <f t="shared" si="11"/>
        <v>209</v>
      </c>
      <c r="AA6" s="6">
        <f>FIND("0",A6)</f>
        <v>2</v>
      </c>
      <c r="AB6" s="6">
        <f t="shared" si="12"/>
        <v>5</v>
      </c>
      <c r="AC6" s="6"/>
      <c r="AD6" s="3" t="s">
        <v>19</v>
      </c>
      <c r="AE6" s="29" t="s">
        <v>218</v>
      </c>
      <c r="AF6" s="2"/>
      <c r="AG6" s="2" t="s">
        <v>14</v>
      </c>
      <c r="AH6" s="2" t="s">
        <v>15</v>
      </c>
      <c r="AI6" s="2" t="s">
        <v>16</v>
      </c>
      <c r="AJ6" s="2" t="s">
        <v>17</v>
      </c>
      <c r="AK6" s="2" t="s">
        <v>18</v>
      </c>
      <c r="AL6" s="2">
        <v>1</v>
      </c>
      <c r="AM6" s="2" t="s">
        <v>19</v>
      </c>
      <c r="AN6" s="2">
        <v>26</v>
      </c>
    </row>
    <row r="7" spans="1:41" ht="3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>
        <v>8</v>
      </c>
      <c r="G7" s="2" t="s">
        <v>13</v>
      </c>
      <c r="H7" s="2">
        <v>12.5</v>
      </c>
      <c r="I7" s="6">
        <f t="shared" si="13"/>
        <v>100</v>
      </c>
      <c r="J7" s="6">
        <f t="shared" ref="J7:J8" si="18">_xlfn.RANK.AVG(I7,$I$5:$I$500)</f>
        <v>214.5</v>
      </c>
      <c r="K7" s="6">
        <f t="shared" ref="K7:K8" si="19">_xlfn.RANK.EQ(I7,$I$5:$I$500)</f>
        <v>212</v>
      </c>
      <c r="L7" s="6">
        <f t="shared" si="16"/>
        <v>2974.5</v>
      </c>
      <c r="M7" s="6">
        <f t="shared" si="0"/>
        <v>156</v>
      </c>
      <c r="N7" s="6" t="b">
        <f t="shared" si="1"/>
        <v>0</v>
      </c>
      <c r="O7" s="6" t="b">
        <f t="shared" ref="O7:O70" si="20">OR(H7&gt;10,I7&lt;60)</f>
        <v>1</v>
      </c>
      <c r="P7" s="6" t="str">
        <f t="shared" si="2"/>
        <v>C007261-ct</v>
      </c>
      <c r="Q7" s="7" t="str">
        <f t="shared" si="3"/>
        <v>T03633
8</v>
      </c>
      <c r="R7" s="6" t="b">
        <f t="shared" si="4"/>
        <v>0</v>
      </c>
      <c r="S7" s="6" t="str">
        <f t="shared" si="5"/>
        <v>19</v>
      </c>
      <c r="T7" s="6" t="str">
        <f t="shared" si="6"/>
        <v>CT</v>
      </c>
      <c r="U7" s="6" t="str">
        <f t="shared" si="7"/>
        <v>ct</v>
      </c>
      <c r="V7" s="6">
        <f t="shared" si="8"/>
        <v>2</v>
      </c>
      <c r="W7" s="6" t="str">
        <f t="shared" si="9"/>
        <v>T03633 8</v>
      </c>
      <c r="X7" s="6" t="str">
        <f t="shared" si="17"/>
        <v>S55496</v>
      </c>
      <c r="Y7" s="6" t="str">
        <f t="shared" si="10"/>
        <v>T03</v>
      </c>
      <c r="Z7" s="6" t="str">
        <f t="shared" si="11"/>
        <v>633</v>
      </c>
      <c r="AA7" s="6">
        <f>FIND("0",E7)</f>
        <v>2</v>
      </c>
      <c r="AB7" s="6">
        <f t="shared" si="12"/>
        <v>2</v>
      </c>
      <c r="AC7" s="6"/>
      <c r="AD7" s="3" t="s">
        <v>13</v>
      </c>
      <c r="AE7" s="12" t="s">
        <v>91</v>
      </c>
      <c r="AG7" s="2" t="s">
        <v>20</v>
      </c>
      <c r="AH7" s="2" t="s">
        <v>21</v>
      </c>
      <c r="AI7" s="2" t="s">
        <v>22</v>
      </c>
      <c r="AJ7" s="2" t="s">
        <v>23</v>
      </c>
      <c r="AK7" s="2" t="s">
        <v>24</v>
      </c>
      <c r="AL7" s="2">
        <v>8</v>
      </c>
      <c r="AM7" s="2" t="s">
        <v>13</v>
      </c>
      <c r="AN7" s="2">
        <v>12.5</v>
      </c>
    </row>
    <row r="8" spans="1:41" ht="30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>
        <v>8</v>
      </c>
      <c r="G8" s="2" t="s">
        <v>13</v>
      </c>
      <c r="H8" s="2">
        <v>14</v>
      </c>
      <c r="I8" s="6">
        <f t="shared" si="13"/>
        <v>112</v>
      </c>
      <c r="J8" s="6">
        <f t="shared" si="18"/>
        <v>188.5</v>
      </c>
      <c r="K8" s="6">
        <f t="shared" si="19"/>
        <v>186</v>
      </c>
      <c r="L8" s="6">
        <f t="shared" si="16"/>
        <v>2962</v>
      </c>
      <c r="M8" s="6">
        <f t="shared" si="0"/>
        <v>155</v>
      </c>
      <c r="N8" s="6" t="b">
        <f t="shared" si="1"/>
        <v>0</v>
      </c>
      <c r="O8" s="6" t="b">
        <f t="shared" si="20"/>
        <v>1</v>
      </c>
      <c r="P8" s="6" t="str">
        <f t="shared" si="2"/>
        <v>C007048-ct</v>
      </c>
      <c r="Q8" s="7" t="str">
        <f t="shared" si="3"/>
        <v>T084631
8</v>
      </c>
      <c r="R8" s="6" t="b">
        <f t="shared" si="4"/>
        <v>0</v>
      </c>
      <c r="S8" s="6" t="str">
        <f t="shared" si="5"/>
        <v>13</v>
      </c>
      <c r="T8" s="6" t="str">
        <f t="shared" si="6"/>
        <v>CT</v>
      </c>
      <c r="U8" s="6" t="str">
        <f t="shared" si="7"/>
        <v>ct</v>
      </c>
      <c r="V8" s="6">
        <f t="shared" si="8"/>
        <v>2</v>
      </c>
      <c r="W8" s="6" t="str">
        <f t="shared" si="9"/>
        <v>T084631 8</v>
      </c>
      <c r="X8" s="6" t="str">
        <f t="shared" si="17"/>
        <v>S5586</v>
      </c>
      <c r="Y8" s="6" t="str">
        <f t="shared" si="10"/>
        <v>T08</v>
      </c>
      <c r="Z8" s="6" t="str">
        <f t="shared" si="11"/>
        <v>631</v>
      </c>
      <c r="AA8" s="6">
        <f t="shared" ref="AA8:AA71" si="21">FIND("0",A8)</f>
        <v>2</v>
      </c>
      <c r="AB8" s="6">
        <f t="shared" si="12"/>
        <v>2</v>
      </c>
      <c r="AC8" s="6"/>
      <c r="AD8" s="3" t="s">
        <v>35</v>
      </c>
      <c r="AE8" s="12" t="s">
        <v>359</v>
      </c>
      <c r="AG8" s="2" t="s">
        <v>25</v>
      </c>
      <c r="AH8" s="2" t="s">
        <v>26</v>
      </c>
      <c r="AI8" s="2" t="s">
        <v>27</v>
      </c>
      <c r="AJ8" s="2" t="s">
        <v>28</v>
      </c>
      <c r="AK8" s="2" t="s">
        <v>29</v>
      </c>
      <c r="AL8" s="2">
        <v>8</v>
      </c>
      <c r="AM8" s="2" t="s">
        <v>13</v>
      </c>
      <c r="AN8" s="2">
        <v>14</v>
      </c>
    </row>
    <row r="9" spans="1:41" ht="30" hidden="1" x14ac:dyDescent="0.25">
      <c r="A9" s="2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2">
        <v>8</v>
      </c>
      <c r="G9" s="2" t="s">
        <v>35</v>
      </c>
      <c r="H9" s="2">
        <v>8</v>
      </c>
      <c r="I9" s="6">
        <f t="shared" si="13"/>
        <v>64</v>
      </c>
      <c r="J9" s="6">
        <f t="shared" si="14"/>
        <v>331</v>
      </c>
      <c r="K9" s="6">
        <f t="shared" si="15"/>
        <v>327</v>
      </c>
      <c r="L9" s="6">
        <f t="shared" si="16"/>
        <v>1299.25</v>
      </c>
      <c r="M9" s="6">
        <f t="shared" si="0"/>
        <v>83</v>
      </c>
      <c r="N9" s="6" t="b">
        <f t="shared" si="1"/>
        <v>0</v>
      </c>
      <c r="O9" s="6" t="b">
        <f t="shared" si="20"/>
        <v>0</v>
      </c>
      <c r="P9" s="6" t="str">
        <f t="shared" si="2"/>
        <v>C006430-cans</v>
      </c>
      <c r="Q9" s="7" t="str">
        <f t="shared" si="3"/>
        <v>T071276
8</v>
      </c>
      <c r="R9" s="6" t="b">
        <f t="shared" si="4"/>
        <v>0</v>
      </c>
      <c r="S9" s="6" t="str">
        <f t="shared" si="5"/>
        <v>05</v>
      </c>
      <c r="T9" s="6" t="str">
        <f t="shared" si="6"/>
        <v>CANS</v>
      </c>
      <c r="U9" s="6" t="str">
        <f t="shared" si="7"/>
        <v>cans</v>
      </c>
      <c r="V9" s="6">
        <f t="shared" si="8"/>
        <v>2</v>
      </c>
      <c r="W9" s="6" t="str">
        <f t="shared" si="9"/>
        <v>T071276 8</v>
      </c>
      <c r="X9" s="6" t="str">
        <f t="shared" si="17"/>
        <v>S55488</v>
      </c>
      <c r="Y9" s="6" t="str">
        <f t="shared" si="10"/>
        <v>T07</v>
      </c>
      <c r="Z9" s="6" t="str">
        <f t="shared" si="11"/>
        <v>276</v>
      </c>
      <c r="AA9" s="6">
        <f t="shared" si="21"/>
        <v>2</v>
      </c>
      <c r="AB9" s="6">
        <f t="shared" si="12"/>
        <v>4</v>
      </c>
      <c r="AC9" s="6"/>
      <c r="AD9" s="3" t="s">
        <v>60</v>
      </c>
      <c r="AE9" s="29" t="s">
        <v>523</v>
      </c>
      <c r="AF9" s="2"/>
      <c r="AG9" s="2" t="s">
        <v>30</v>
      </c>
      <c r="AH9" s="2" t="s">
        <v>31</v>
      </c>
      <c r="AI9" s="2" t="s">
        <v>32</v>
      </c>
      <c r="AJ9" s="2" t="s">
        <v>33</v>
      </c>
      <c r="AK9" s="2" t="s">
        <v>34</v>
      </c>
      <c r="AL9" s="2">
        <v>8</v>
      </c>
      <c r="AM9" s="2" t="s">
        <v>35</v>
      </c>
      <c r="AN9" s="2">
        <v>8</v>
      </c>
    </row>
    <row r="10" spans="1:41" ht="30" hidden="1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>
        <v>5</v>
      </c>
      <c r="G10" s="2" t="s">
        <v>60</v>
      </c>
      <c r="H10" s="2">
        <v>22</v>
      </c>
      <c r="I10" s="6">
        <f t="shared" si="13"/>
        <v>110</v>
      </c>
      <c r="J10" s="6">
        <f t="shared" si="14"/>
        <v>197</v>
      </c>
      <c r="K10" s="6">
        <f t="shared" si="15"/>
        <v>195</v>
      </c>
      <c r="L10" s="6">
        <f t="shared" si="16"/>
        <v>1042.5</v>
      </c>
      <c r="M10" s="6">
        <f t="shared" si="0"/>
        <v>58</v>
      </c>
      <c r="N10" s="6" t="b">
        <f t="shared" si="1"/>
        <v>1</v>
      </c>
      <c r="O10" s="6" t="b">
        <f t="shared" si="20"/>
        <v>1</v>
      </c>
      <c r="P10" s="6" t="str">
        <f t="shared" si="2"/>
        <v>C007574-bottles</v>
      </c>
      <c r="Q10" s="7" t="str">
        <f t="shared" si="3"/>
        <v>T026950
5</v>
      </c>
      <c r="R10" s="6" t="b">
        <f t="shared" si="4"/>
        <v>0</v>
      </c>
      <c r="S10" s="6" t="str">
        <f t="shared" si="5"/>
        <v>05</v>
      </c>
      <c r="T10" s="6" t="str">
        <f t="shared" si="6"/>
        <v>BOTTLES</v>
      </c>
      <c r="U10" s="6" t="str">
        <f t="shared" si="7"/>
        <v>bottles</v>
      </c>
      <c r="V10" s="6">
        <f t="shared" si="8"/>
        <v>2</v>
      </c>
      <c r="W10" s="6" t="str">
        <f t="shared" si="9"/>
        <v>T026950 5</v>
      </c>
      <c r="X10" s="6" t="str">
        <f t="shared" si="17"/>
        <v>S55328</v>
      </c>
      <c r="Y10" s="6" t="str">
        <f t="shared" si="10"/>
        <v>T02</v>
      </c>
      <c r="Z10" s="6" t="str">
        <f t="shared" si="11"/>
        <v>950</v>
      </c>
      <c r="AA10" s="6">
        <f t="shared" si="21"/>
        <v>2</v>
      </c>
      <c r="AB10" s="6">
        <f t="shared" si="12"/>
        <v>7</v>
      </c>
      <c r="AC10" s="6"/>
      <c r="AD10" s="3" t="s">
        <v>106</v>
      </c>
      <c r="AE10" s="2" t="s">
        <v>55</v>
      </c>
      <c r="AF10" s="2"/>
      <c r="AG10" s="2" t="s">
        <v>55</v>
      </c>
      <c r="AH10" s="2" t="s">
        <v>56</v>
      </c>
      <c r="AI10" s="2" t="s">
        <v>57</v>
      </c>
      <c r="AJ10" s="2" t="s">
        <v>58</v>
      </c>
      <c r="AK10" s="2" t="s">
        <v>59</v>
      </c>
      <c r="AL10" s="2">
        <v>5</v>
      </c>
      <c r="AM10" s="2" t="s">
        <v>60</v>
      </c>
      <c r="AN10" s="2">
        <v>22</v>
      </c>
    </row>
    <row r="11" spans="1:41" ht="30" hidden="1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>
        <v>2</v>
      </c>
      <c r="G11" s="2" t="s">
        <v>35</v>
      </c>
      <c r="H11" s="2">
        <v>15.5</v>
      </c>
      <c r="I11" s="6">
        <f t="shared" si="13"/>
        <v>31</v>
      </c>
      <c r="J11" s="6">
        <f t="shared" si="14"/>
        <v>441</v>
      </c>
      <c r="K11" s="6">
        <f t="shared" si="15"/>
        <v>441</v>
      </c>
      <c r="L11" s="6">
        <f t="shared" si="16"/>
        <v>1298</v>
      </c>
      <c r="M11" s="6">
        <f t="shared" si="0"/>
        <v>83</v>
      </c>
      <c r="N11" s="6" t="b">
        <f t="shared" si="1"/>
        <v>0</v>
      </c>
      <c r="O11" s="6" t="b">
        <f t="shared" si="20"/>
        <v>1</v>
      </c>
      <c r="P11" s="6" t="str">
        <f t="shared" si="2"/>
        <v>C005695-cans</v>
      </c>
      <c r="Q11" s="7" t="str">
        <f t="shared" si="3"/>
        <v>T096704
2</v>
      </c>
      <c r="R11" s="6" t="b">
        <f t="shared" si="4"/>
        <v>0</v>
      </c>
      <c r="S11" s="6" t="str">
        <f t="shared" si="5"/>
        <v>07</v>
      </c>
      <c r="T11" s="6" t="str">
        <f t="shared" si="6"/>
        <v>CANS</v>
      </c>
      <c r="U11" s="6" t="str">
        <f t="shared" si="7"/>
        <v>cans</v>
      </c>
      <c r="V11" s="6">
        <f t="shared" si="8"/>
        <v>2</v>
      </c>
      <c r="W11" s="6" t="str">
        <f t="shared" si="9"/>
        <v>T096704 2</v>
      </c>
      <c r="X11" s="6" t="str">
        <f t="shared" si="17"/>
        <v>S55196</v>
      </c>
      <c r="Y11" s="6" t="str">
        <f t="shared" si="10"/>
        <v>T09</v>
      </c>
      <c r="Z11" s="6" t="str">
        <f t="shared" si="11"/>
        <v>704</v>
      </c>
      <c r="AA11" s="6">
        <f t="shared" si="21"/>
        <v>2</v>
      </c>
      <c r="AB11" s="6">
        <f t="shared" si="12"/>
        <v>4</v>
      </c>
      <c r="AC11" s="6"/>
      <c r="AD11" s="3" t="s">
        <v>167</v>
      </c>
      <c r="AE11" s="2" t="s">
        <v>743</v>
      </c>
      <c r="AF11" s="2"/>
      <c r="AG11" s="2" t="s">
        <v>55</v>
      </c>
      <c r="AH11" s="2" t="s">
        <v>56</v>
      </c>
      <c r="AI11" s="2" t="s">
        <v>57</v>
      </c>
      <c r="AJ11" s="2" t="s">
        <v>58</v>
      </c>
      <c r="AK11" s="2" t="s">
        <v>59</v>
      </c>
      <c r="AL11" s="2">
        <v>5</v>
      </c>
      <c r="AM11" s="2" t="s">
        <v>60</v>
      </c>
      <c r="AN11" s="2">
        <v>22</v>
      </c>
    </row>
    <row r="12" spans="1:41" ht="3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>
        <v>1</v>
      </c>
      <c r="G12" s="2" t="s">
        <v>13</v>
      </c>
      <c r="H12" s="2">
        <v>14</v>
      </c>
      <c r="I12" s="6">
        <f t="shared" si="13"/>
        <v>14</v>
      </c>
      <c r="J12" s="6">
        <f t="shared" ref="J12:J75" si="22">_xlfn.RANK.AVG(I12,$I$5:$I$500)</f>
        <v>481.5</v>
      </c>
      <c r="K12" s="6">
        <f t="shared" ref="K12:K75" si="23">_xlfn.RANK.EQ(I12,$I$5:$I$500)</f>
        <v>481</v>
      </c>
      <c r="L12" s="6">
        <f t="shared" si="16"/>
        <v>2961</v>
      </c>
      <c r="M12" s="6">
        <f t="shared" ref="M12:M75" si="24">COUNTIF(G12:G424,G12)</f>
        <v>155</v>
      </c>
      <c r="N12" s="6" t="b">
        <f t="shared" si="1"/>
        <v>0</v>
      </c>
      <c r="O12" s="6" t="b">
        <f t="shared" si="20"/>
        <v>1</v>
      </c>
      <c r="P12" s="6" t="str">
        <f t="shared" si="2"/>
        <v>C008728-ct</v>
      </c>
      <c r="Q12" s="7" t="str">
        <f t="shared" si="3"/>
        <v>T010756
1</v>
      </c>
      <c r="R12" s="6" t="b">
        <f t="shared" si="4"/>
        <v>0</v>
      </c>
      <c r="S12" s="6" t="str">
        <f t="shared" si="5"/>
        <v>18</v>
      </c>
      <c r="T12" s="6" t="str">
        <f t="shared" si="6"/>
        <v>CT</v>
      </c>
      <c r="U12" s="6" t="str">
        <f t="shared" si="7"/>
        <v>ct</v>
      </c>
      <c r="V12" s="6">
        <f t="shared" si="8"/>
        <v>2</v>
      </c>
      <c r="W12" s="6" t="str">
        <f t="shared" si="9"/>
        <v>T010756 1</v>
      </c>
      <c r="X12" s="6" t="str">
        <f t="shared" si="17"/>
        <v>S5515</v>
      </c>
      <c r="Y12" s="6" t="str">
        <f t="shared" si="10"/>
        <v>T01</v>
      </c>
      <c r="Z12" s="6" t="str">
        <f t="shared" si="11"/>
        <v>756</v>
      </c>
      <c r="AA12" s="6">
        <f t="shared" si="21"/>
        <v>2</v>
      </c>
      <c r="AB12" s="6">
        <f t="shared" si="12"/>
        <v>2</v>
      </c>
      <c r="AC12" s="6"/>
      <c r="AD12" s="3" t="s">
        <v>178</v>
      </c>
      <c r="AE12" s="12" t="s">
        <v>519</v>
      </c>
    </row>
    <row r="13" spans="1:41" ht="30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>
        <v>11</v>
      </c>
      <c r="G13" s="2" t="s">
        <v>35</v>
      </c>
      <c r="H13" s="2">
        <v>6.75</v>
      </c>
      <c r="I13" s="6">
        <f t="shared" si="13"/>
        <v>74.25</v>
      </c>
      <c r="J13" s="6">
        <f t="shared" si="22"/>
        <v>289.5</v>
      </c>
      <c r="K13" s="6">
        <f t="shared" si="23"/>
        <v>288</v>
      </c>
      <c r="L13" s="6">
        <f t="shared" si="16"/>
        <v>1282.5</v>
      </c>
      <c r="M13" s="6">
        <f t="shared" si="24"/>
        <v>82</v>
      </c>
      <c r="N13" s="6" t="b">
        <f t="shared" si="1"/>
        <v>0</v>
      </c>
      <c r="O13" s="6" t="b">
        <f t="shared" si="20"/>
        <v>0</v>
      </c>
      <c r="P13" s="6" t="str">
        <f t="shared" si="2"/>
        <v>C002764-cans</v>
      </c>
      <c r="Q13" s="7" t="str">
        <f t="shared" si="3"/>
        <v>T017598
11</v>
      </c>
      <c r="R13" s="6" t="b">
        <f t="shared" si="4"/>
        <v>0</v>
      </c>
      <c r="S13" s="6" t="str">
        <f t="shared" si="5"/>
        <v>01</v>
      </c>
      <c r="T13" s="6" t="str">
        <f t="shared" si="6"/>
        <v>CANS</v>
      </c>
      <c r="U13" s="6" t="str">
        <f t="shared" si="7"/>
        <v>cans</v>
      </c>
      <c r="V13" s="6">
        <f t="shared" si="8"/>
        <v>2</v>
      </c>
      <c r="W13" s="6" t="str">
        <f t="shared" si="9"/>
        <v>T017598 11</v>
      </c>
      <c r="X13" s="6" t="str">
        <f t="shared" si="17"/>
        <v>S55164</v>
      </c>
      <c r="Y13" s="6" t="str">
        <f t="shared" si="10"/>
        <v>T01</v>
      </c>
      <c r="Z13" s="6" t="str">
        <f t="shared" si="11"/>
        <v>598</v>
      </c>
      <c r="AA13" s="6">
        <f t="shared" si="21"/>
        <v>2</v>
      </c>
      <c r="AB13" s="6">
        <f t="shared" si="12"/>
        <v>4</v>
      </c>
      <c r="AC13" s="6"/>
      <c r="AD13" s="3" t="s">
        <v>223</v>
      </c>
      <c r="AE13" s="12" t="s">
        <v>288</v>
      </c>
    </row>
    <row r="14" spans="1:41" ht="30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>
        <v>10</v>
      </c>
      <c r="G14" s="2" t="s">
        <v>13</v>
      </c>
      <c r="H14" s="2">
        <v>15</v>
      </c>
      <c r="I14" s="6">
        <f t="shared" si="13"/>
        <v>150</v>
      </c>
      <c r="J14" s="6">
        <f t="shared" si="22"/>
        <v>111</v>
      </c>
      <c r="K14" s="6">
        <f t="shared" si="23"/>
        <v>110</v>
      </c>
      <c r="L14" s="6">
        <f t="shared" si="16"/>
        <v>2947</v>
      </c>
      <c r="M14" s="6">
        <f t="shared" si="24"/>
        <v>154</v>
      </c>
      <c r="N14" s="6" t="b">
        <f t="shared" si="1"/>
        <v>0</v>
      </c>
      <c r="O14" s="6" t="b">
        <f t="shared" si="20"/>
        <v>1</v>
      </c>
      <c r="P14" s="6" t="str">
        <f t="shared" si="2"/>
        <v>C003128-ct</v>
      </c>
      <c r="Q14" s="7" t="str">
        <f t="shared" si="3"/>
        <v>T048812
10</v>
      </c>
      <c r="R14" s="6" t="b">
        <f t="shared" si="4"/>
        <v>0</v>
      </c>
      <c r="S14" s="6" t="str">
        <f t="shared" si="5"/>
        <v>13</v>
      </c>
      <c r="T14" s="6" t="str">
        <f t="shared" si="6"/>
        <v>CT</v>
      </c>
      <c r="U14" s="6" t="str">
        <f t="shared" si="7"/>
        <v>ct</v>
      </c>
      <c r="V14" s="6">
        <f t="shared" si="8"/>
        <v>2</v>
      </c>
      <c r="W14" s="6" t="str">
        <f t="shared" si="9"/>
        <v>T048812 10</v>
      </c>
      <c r="X14" s="6" t="str">
        <f t="shared" si="17"/>
        <v>S55645</v>
      </c>
      <c r="Y14" s="6" t="str">
        <f t="shared" si="10"/>
        <v>T04</v>
      </c>
      <c r="Z14" s="6" t="str">
        <f t="shared" si="11"/>
        <v>812</v>
      </c>
      <c r="AA14" s="6">
        <f t="shared" si="21"/>
        <v>2</v>
      </c>
      <c r="AB14" s="6">
        <f t="shared" si="12"/>
        <v>2</v>
      </c>
      <c r="AC14" s="6"/>
      <c r="AD14" s="3" t="s">
        <v>239</v>
      </c>
      <c r="AE14" s="12" t="s">
        <v>146</v>
      </c>
    </row>
    <row r="15" spans="1:41" ht="30" x14ac:dyDescent="0.25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>
        <v>8</v>
      </c>
      <c r="G15" s="2" t="s">
        <v>60</v>
      </c>
      <c r="H15" s="2">
        <v>20</v>
      </c>
      <c r="I15" s="6">
        <f t="shared" si="13"/>
        <v>160</v>
      </c>
      <c r="J15" s="6">
        <f t="shared" si="22"/>
        <v>90.5</v>
      </c>
      <c r="K15" s="6">
        <f t="shared" si="23"/>
        <v>84</v>
      </c>
      <c r="L15" s="6">
        <f t="shared" si="16"/>
        <v>1040.5</v>
      </c>
      <c r="M15" s="6">
        <f t="shared" si="24"/>
        <v>58</v>
      </c>
      <c r="N15" s="6" t="b">
        <f t="shared" si="1"/>
        <v>0</v>
      </c>
      <c r="O15" s="6" t="b">
        <f t="shared" si="20"/>
        <v>1</v>
      </c>
      <c r="P15" s="6" t="str">
        <f t="shared" si="2"/>
        <v>C006613-bottles</v>
      </c>
      <c r="Q15" s="7" t="str">
        <f t="shared" si="3"/>
        <v>T078755
8</v>
      </c>
      <c r="R15" s="6" t="b">
        <f t="shared" si="4"/>
        <v>0</v>
      </c>
      <c r="S15" s="6" t="str">
        <f t="shared" si="5"/>
        <v>06</v>
      </c>
      <c r="T15" s="6" t="str">
        <f t="shared" si="6"/>
        <v>BOTTLES</v>
      </c>
      <c r="U15" s="6" t="str">
        <f t="shared" si="7"/>
        <v>bottles</v>
      </c>
      <c r="V15" s="6">
        <f t="shared" si="8"/>
        <v>2</v>
      </c>
      <c r="W15" s="6" t="str">
        <f t="shared" si="9"/>
        <v>T078755 8</v>
      </c>
      <c r="X15" s="6" t="str">
        <f t="shared" si="17"/>
        <v>S55545</v>
      </c>
      <c r="Y15" s="6" t="str">
        <f t="shared" si="10"/>
        <v>T07</v>
      </c>
      <c r="Z15" s="6" t="str">
        <f t="shared" si="11"/>
        <v>755</v>
      </c>
      <c r="AA15" s="6">
        <f t="shared" si="21"/>
        <v>2</v>
      </c>
      <c r="AB15" s="6">
        <f t="shared" si="12"/>
        <v>7</v>
      </c>
      <c r="AC15" s="6"/>
      <c r="AD15" s="3" t="s">
        <v>245</v>
      </c>
      <c r="AE15" s="12" t="s">
        <v>101</v>
      </c>
    </row>
    <row r="16" spans="1:41" ht="30" x14ac:dyDescent="0.25">
      <c r="A16" s="2" t="s">
        <v>20</v>
      </c>
      <c r="B16" s="2" t="s">
        <v>87</v>
      </c>
      <c r="C16" s="2" t="s">
        <v>88</v>
      </c>
      <c r="D16" s="2" t="s">
        <v>89</v>
      </c>
      <c r="E16" s="2" t="s">
        <v>90</v>
      </c>
      <c r="F16" s="2">
        <v>10</v>
      </c>
      <c r="G16" s="2" t="s">
        <v>35</v>
      </c>
      <c r="H16" s="2">
        <v>6.75</v>
      </c>
      <c r="I16" s="6">
        <f t="shared" si="13"/>
        <v>67.5</v>
      </c>
      <c r="J16" s="6">
        <f t="shared" si="22"/>
        <v>311.5</v>
      </c>
      <c r="K16" s="6">
        <f t="shared" si="23"/>
        <v>309</v>
      </c>
      <c r="L16" s="6">
        <f t="shared" si="16"/>
        <v>1298.75</v>
      </c>
      <c r="M16" s="6">
        <f t="shared" si="24"/>
        <v>83</v>
      </c>
      <c r="N16" s="6" t="b">
        <f t="shared" si="1"/>
        <v>0</v>
      </c>
      <c r="O16" s="6" t="b">
        <f t="shared" si="20"/>
        <v>0</v>
      </c>
      <c r="P16" s="6" t="str">
        <f t="shared" si="2"/>
        <v>C009139-cans</v>
      </c>
      <c r="Q16" s="7" t="str">
        <f t="shared" si="3"/>
        <v>T037206
10</v>
      </c>
      <c r="R16" s="6" t="b">
        <f t="shared" si="4"/>
        <v>0</v>
      </c>
      <c r="S16" s="6" t="str">
        <f t="shared" si="5"/>
        <v>02</v>
      </c>
      <c r="T16" s="6" t="str">
        <f t="shared" si="6"/>
        <v>CANS</v>
      </c>
      <c r="U16" s="6" t="str">
        <f t="shared" si="7"/>
        <v>cans</v>
      </c>
      <c r="V16" s="6">
        <f t="shared" si="8"/>
        <v>2</v>
      </c>
      <c r="W16" s="6" t="str">
        <f t="shared" si="9"/>
        <v>T037206 10</v>
      </c>
      <c r="X16" s="6" t="str">
        <f t="shared" si="17"/>
        <v>S5532</v>
      </c>
      <c r="Y16" s="6" t="str">
        <f t="shared" si="10"/>
        <v>T03</v>
      </c>
      <c r="Z16" s="6" t="str">
        <f t="shared" si="11"/>
        <v>206</v>
      </c>
      <c r="AA16" s="6">
        <f t="shared" si="21"/>
        <v>2</v>
      </c>
      <c r="AB16" s="6">
        <f t="shared" si="12"/>
        <v>4</v>
      </c>
      <c r="AC16" s="6"/>
      <c r="AD16" s="3" t="s">
        <v>269</v>
      </c>
      <c r="AE16" s="12" t="s">
        <v>162</v>
      </c>
    </row>
    <row r="17" spans="1:31" ht="3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>
        <v>3</v>
      </c>
      <c r="G17" s="2" t="s">
        <v>13</v>
      </c>
      <c r="H17" s="2">
        <v>16</v>
      </c>
      <c r="I17" s="6">
        <f t="shared" si="13"/>
        <v>48</v>
      </c>
      <c r="J17" s="6">
        <f t="shared" si="22"/>
        <v>382.5</v>
      </c>
      <c r="K17" s="6">
        <f t="shared" si="23"/>
        <v>379</v>
      </c>
      <c r="L17" s="6">
        <f t="shared" si="16"/>
        <v>2932</v>
      </c>
      <c r="M17" s="6">
        <f t="shared" si="24"/>
        <v>153</v>
      </c>
      <c r="N17" s="6" t="b">
        <f t="shared" si="1"/>
        <v>0</v>
      </c>
      <c r="O17" s="6" t="b">
        <f t="shared" si="20"/>
        <v>1</v>
      </c>
      <c r="P17" s="6" t="str">
        <f t="shared" si="2"/>
        <v>C000849-ct</v>
      </c>
      <c r="Q17" s="7" t="str">
        <f t="shared" si="3"/>
        <v>T045267
3</v>
      </c>
      <c r="R17" s="6" t="b">
        <f t="shared" si="4"/>
        <v>0</v>
      </c>
      <c r="S17" s="6" t="str">
        <f t="shared" si="5"/>
        <v>23</v>
      </c>
      <c r="T17" s="6" t="str">
        <f t="shared" si="6"/>
        <v>CT</v>
      </c>
      <c r="U17" s="6" t="str">
        <f t="shared" si="7"/>
        <v>ct</v>
      </c>
      <c r="V17" s="6">
        <f t="shared" si="8"/>
        <v>2</v>
      </c>
      <c r="W17" s="6" t="str">
        <f t="shared" si="9"/>
        <v>T045267 3</v>
      </c>
      <c r="X17" s="6" t="str">
        <f t="shared" si="17"/>
        <v>S55631</v>
      </c>
      <c r="Y17" s="6" t="str">
        <f t="shared" si="10"/>
        <v>T04</v>
      </c>
      <c r="Z17" s="6" t="str">
        <f t="shared" si="11"/>
        <v>267</v>
      </c>
      <c r="AA17" s="6">
        <f t="shared" si="21"/>
        <v>2</v>
      </c>
      <c r="AB17" s="6">
        <f t="shared" si="12"/>
        <v>2</v>
      </c>
      <c r="AC17" s="6"/>
      <c r="AD17" s="3" t="s">
        <v>402</v>
      </c>
      <c r="AE17" s="12" t="s">
        <v>116</v>
      </c>
    </row>
    <row r="18" spans="1:31" ht="3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>
        <v>6</v>
      </c>
      <c r="G18" s="2" t="s">
        <v>13</v>
      </c>
      <c r="H18" s="2">
        <v>15</v>
      </c>
      <c r="I18" s="6">
        <f t="shared" si="13"/>
        <v>90</v>
      </c>
      <c r="J18" s="6">
        <f t="shared" si="22"/>
        <v>245</v>
      </c>
      <c r="K18" s="6">
        <f t="shared" si="23"/>
        <v>239</v>
      </c>
      <c r="L18" s="6">
        <f t="shared" si="16"/>
        <v>2937</v>
      </c>
      <c r="M18" s="6">
        <f t="shared" si="24"/>
        <v>153</v>
      </c>
      <c r="N18" s="6" t="b">
        <f t="shared" si="1"/>
        <v>0</v>
      </c>
      <c r="O18" s="6" t="b">
        <f t="shared" si="20"/>
        <v>1</v>
      </c>
      <c r="P18" s="6" t="str">
        <f t="shared" si="2"/>
        <v>C005138-ct</v>
      </c>
      <c r="Q18" s="7" t="str">
        <f t="shared" si="3"/>
        <v>T017837
6</v>
      </c>
      <c r="R18" s="6" t="b">
        <f t="shared" si="4"/>
        <v>0</v>
      </c>
      <c r="S18" s="6" t="str">
        <f t="shared" si="5"/>
        <v>08</v>
      </c>
      <c r="T18" s="6" t="str">
        <f t="shared" si="6"/>
        <v>CT</v>
      </c>
      <c r="U18" s="6" t="str">
        <f t="shared" si="7"/>
        <v>ct</v>
      </c>
      <c r="V18" s="6">
        <f t="shared" si="8"/>
        <v>2</v>
      </c>
      <c r="W18" s="6" t="str">
        <f t="shared" si="9"/>
        <v>T017837 6</v>
      </c>
      <c r="X18" s="6" t="str">
        <f t="shared" si="17"/>
        <v>S5535</v>
      </c>
      <c r="Y18" s="6" t="str">
        <f t="shared" si="10"/>
        <v>T01</v>
      </c>
      <c r="Z18" s="6" t="str">
        <f t="shared" si="11"/>
        <v>837</v>
      </c>
      <c r="AA18" s="6">
        <f t="shared" si="21"/>
        <v>2</v>
      </c>
      <c r="AB18" s="6">
        <f t="shared" si="12"/>
        <v>2</v>
      </c>
      <c r="AC18" s="6"/>
      <c r="AD18" s="3" t="s">
        <v>407</v>
      </c>
      <c r="AE18" s="12" t="s">
        <v>30</v>
      </c>
    </row>
    <row r="19" spans="1:31" ht="30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>
        <v>3</v>
      </c>
      <c r="G19" s="2" t="s">
        <v>106</v>
      </c>
      <c r="H19" s="2">
        <v>15</v>
      </c>
      <c r="I19" s="6">
        <f t="shared" si="13"/>
        <v>45</v>
      </c>
      <c r="J19" s="6">
        <f t="shared" si="22"/>
        <v>396.5</v>
      </c>
      <c r="K19" s="6">
        <f t="shared" si="23"/>
        <v>394</v>
      </c>
      <c r="L19" s="6">
        <f t="shared" si="16"/>
        <v>452</v>
      </c>
      <c r="M19" s="6">
        <f t="shared" si="24"/>
        <v>27</v>
      </c>
      <c r="N19" s="6" t="b">
        <f t="shared" si="1"/>
        <v>0</v>
      </c>
      <c r="O19" s="6" t="b">
        <f t="shared" si="20"/>
        <v>1</v>
      </c>
      <c r="P19" s="6" t="str">
        <f t="shared" si="2"/>
        <v>C000136-bags</v>
      </c>
      <c r="Q19" s="7" t="str">
        <f t="shared" si="3"/>
        <v>T074844
3</v>
      </c>
      <c r="R19" s="6" t="b">
        <f t="shared" si="4"/>
        <v>0</v>
      </c>
      <c r="S19" s="6" t="str">
        <f t="shared" si="5"/>
        <v>16</v>
      </c>
      <c r="T19" s="6" t="str">
        <f t="shared" si="6"/>
        <v>BAGS</v>
      </c>
      <c r="U19" s="6" t="str">
        <f t="shared" si="7"/>
        <v>bags</v>
      </c>
      <c r="V19" s="6">
        <f t="shared" si="8"/>
        <v>2</v>
      </c>
      <c r="W19" s="6" t="str">
        <f t="shared" si="9"/>
        <v>T074844 3</v>
      </c>
      <c r="X19" s="6" t="str">
        <f t="shared" si="17"/>
        <v>S55158</v>
      </c>
      <c r="Y19" s="6" t="str">
        <f t="shared" si="10"/>
        <v>T07</v>
      </c>
      <c r="Z19" s="6" t="str">
        <f t="shared" si="11"/>
        <v>844</v>
      </c>
      <c r="AA19" s="6">
        <f t="shared" si="21"/>
        <v>2</v>
      </c>
      <c r="AB19" s="6">
        <f t="shared" si="12"/>
        <v>4</v>
      </c>
      <c r="AC19" s="6"/>
      <c r="AD19" s="3" t="s">
        <v>904</v>
      </c>
      <c r="AE19" s="12" t="s">
        <v>107</v>
      </c>
    </row>
    <row r="20" spans="1:31" ht="30" x14ac:dyDescent="0.25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111</v>
      </c>
      <c r="F20" s="2">
        <v>2</v>
      </c>
      <c r="G20" s="2" t="s">
        <v>60</v>
      </c>
      <c r="H20" s="2">
        <v>7.5</v>
      </c>
      <c r="I20" s="6">
        <f t="shared" si="13"/>
        <v>15</v>
      </c>
      <c r="J20" s="6">
        <f t="shared" si="22"/>
        <v>476.5</v>
      </c>
      <c r="K20" s="6">
        <f t="shared" si="23"/>
        <v>473</v>
      </c>
      <c r="L20" s="6">
        <f t="shared" si="16"/>
        <v>1020.5</v>
      </c>
      <c r="M20" s="6">
        <f t="shared" si="24"/>
        <v>57</v>
      </c>
      <c r="N20" s="6" t="b">
        <f t="shared" si="1"/>
        <v>0</v>
      </c>
      <c r="O20" s="6" t="b">
        <f t="shared" si="20"/>
        <v>1</v>
      </c>
      <c r="P20" s="6" t="str">
        <f t="shared" si="2"/>
        <v>C007305-bottles</v>
      </c>
      <c r="Q20" s="7" t="str">
        <f t="shared" si="3"/>
        <v>T06087
2</v>
      </c>
      <c r="R20" s="6" t="b">
        <f t="shared" si="4"/>
        <v>0</v>
      </c>
      <c r="S20" s="6" t="str">
        <f t="shared" si="5"/>
        <v>09</v>
      </c>
      <c r="T20" s="6" t="str">
        <f t="shared" si="6"/>
        <v>BOTTLES</v>
      </c>
      <c r="U20" s="6" t="str">
        <f t="shared" si="7"/>
        <v>bottles</v>
      </c>
      <c r="V20" s="6">
        <f t="shared" si="8"/>
        <v>2</v>
      </c>
      <c r="W20" s="6" t="str">
        <f t="shared" si="9"/>
        <v>T06087 2</v>
      </c>
      <c r="X20" s="6" t="str">
        <f t="shared" si="17"/>
        <v>S55455</v>
      </c>
      <c r="Y20" s="6" t="str">
        <f t="shared" si="10"/>
        <v>T06</v>
      </c>
      <c r="Z20" s="6" t="str">
        <f t="shared" si="11"/>
        <v>087</v>
      </c>
      <c r="AA20" s="6">
        <f t="shared" si="21"/>
        <v>2</v>
      </c>
      <c r="AB20" s="6">
        <f t="shared" si="12"/>
        <v>7</v>
      </c>
      <c r="AC20" s="6"/>
      <c r="AD20" s="3" t="s">
        <v>1326</v>
      </c>
      <c r="AE20" s="12" t="s">
        <v>96</v>
      </c>
    </row>
    <row r="21" spans="1:31" ht="30" x14ac:dyDescent="0.25">
      <c r="A21" s="2" t="s">
        <v>82</v>
      </c>
      <c r="B21" s="2" t="s">
        <v>112</v>
      </c>
      <c r="C21" s="2" t="s">
        <v>113</v>
      </c>
      <c r="D21" s="2" t="s">
        <v>114</v>
      </c>
      <c r="E21" s="2" t="s">
        <v>115</v>
      </c>
      <c r="F21" s="2">
        <v>9</v>
      </c>
      <c r="G21" s="2" t="s">
        <v>13</v>
      </c>
      <c r="H21" s="2">
        <v>15</v>
      </c>
      <c r="I21" s="6">
        <f t="shared" si="13"/>
        <v>135</v>
      </c>
      <c r="J21" s="6">
        <f t="shared" si="22"/>
        <v>134.5</v>
      </c>
      <c r="K21" s="6">
        <f t="shared" si="23"/>
        <v>133</v>
      </c>
      <c r="L21" s="6">
        <f t="shared" si="16"/>
        <v>2922</v>
      </c>
      <c r="M21" s="6">
        <f t="shared" si="24"/>
        <v>152</v>
      </c>
      <c r="N21" s="6" t="b">
        <f t="shared" si="1"/>
        <v>0</v>
      </c>
      <c r="O21" s="6" t="b">
        <f t="shared" si="20"/>
        <v>1</v>
      </c>
      <c r="P21" s="6" t="str">
        <f t="shared" si="2"/>
        <v>C006779-ct</v>
      </c>
      <c r="Q21" s="7" t="str">
        <f t="shared" si="3"/>
        <v>T097274
9</v>
      </c>
      <c r="R21" s="6" t="b">
        <f t="shared" si="4"/>
        <v>0</v>
      </c>
      <c r="S21" s="6" t="str">
        <f t="shared" si="5"/>
        <v>12</v>
      </c>
      <c r="T21" s="6" t="str">
        <f t="shared" si="6"/>
        <v>CT</v>
      </c>
      <c r="U21" s="6" t="str">
        <f t="shared" si="7"/>
        <v>ct</v>
      </c>
      <c r="V21" s="6">
        <f t="shared" si="8"/>
        <v>2</v>
      </c>
      <c r="W21" s="6" t="str">
        <f t="shared" si="9"/>
        <v>T097274 9</v>
      </c>
      <c r="X21" s="6" t="str">
        <f t="shared" si="17"/>
        <v>S5571</v>
      </c>
      <c r="Y21" s="6" t="str">
        <f t="shared" si="10"/>
        <v>T09</v>
      </c>
      <c r="Z21" s="6" t="str">
        <f t="shared" si="11"/>
        <v>274</v>
      </c>
      <c r="AA21" s="6">
        <f t="shared" si="21"/>
        <v>2</v>
      </c>
      <c r="AB21" s="6">
        <f t="shared" si="12"/>
        <v>2</v>
      </c>
      <c r="AC21" s="6"/>
      <c r="AD21" s="23"/>
      <c r="AE21" s="12" t="s">
        <v>168</v>
      </c>
    </row>
    <row r="22" spans="1:31" ht="30" x14ac:dyDescent="0.25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>
        <v>9</v>
      </c>
      <c r="G22" s="2" t="s">
        <v>106</v>
      </c>
      <c r="H22" s="2">
        <v>17</v>
      </c>
      <c r="I22" s="6">
        <f t="shared" si="13"/>
        <v>153</v>
      </c>
      <c r="J22" s="6">
        <f t="shared" si="22"/>
        <v>105.5</v>
      </c>
      <c r="K22" s="6">
        <f t="shared" si="23"/>
        <v>103</v>
      </c>
      <c r="L22" s="6">
        <f t="shared" si="16"/>
        <v>437</v>
      </c>
      <c r="M22" s="6">
        <f t="shared" si="24"/>
        <v>26</v>
      </c>
      <c r="N22" s="6" t="b">
        <f t="shared" si="1"/>
        <v>0</v>
      </c>
      <c r="O22" s="6" t="b">
        <f t="shared" si="20"/>
        <v>1</v>
      </c>
      <c r="P22" s="6" t="str">
        <f t="shared" si="2"/>
        <v>C004337-bags</v>
      </c>
      <c r="Q22" s="7" t="str">
        <f t="shared" si="3"/>
        <v>T069004
9</v>
      </c>
      <c r="R22" s="6" t="b">
        <f t="shared" si="4"/>
        <v>0</v>
      </c>
      <c r="S22" s="6" t="str">
        <f t="shared" si="5"/>
        <v>15</v>
      </c>
      <c r="T22" s="6" t="str">
        <f t="shared" si="6"/>
        <v>BAGS</v>
      </c>
      <c r="U22" s="6" t="str">
        <f t="shared" si="7"/>
        <v>bags</v>
      </c>
      <c r="V22" s="6">
        <f t="shared" si="8"/>
        <v>2</v>
      </c>
      <c r="W22" s="6" t="str">
        <f t="shared" si="9"/>
        <v>T069004 9</v>
      </c>
      <c r="X22" s="6" t="str">
        <f t="shared" si="17"/>
        <v>S55616</v>
      </c>
      <c r="Y22" s="6" t="str">
        <f t="shared" si="10"/>
        <v>T06</v>
      </c>
      <c r="Z22" s="6" t="str">
        <f t="shared" si="11"/>
        <v>004</v>
      </c>
      <c r="AA22" s="6">
        <f t="shared" si="21"/>
        <v>2</v>
      </c>
      <c r="AB22" s="6">
        <f t="shared" si="12"/>
        <v>4</v>
      </c>
      <c r="AC22" s="6"/>
      <c r="AD22" s="23"/>
      <c r="AE22" s="12" t="s">
        <v>82</v>
      </c>
    </row>
    <row r="23" spans="1:31" ht="30" x14ac:dyDescent="0.25">
      <c r="A23" s="2" t="s">
        <v>121</v>
      </c>
      <c r="B23" s="2" t="s">
        <v>122</v>
      </c>
      <c r="C23" s="2" t="s">
        <v>123</v>
      </c>
      <c r="D23" s="2" t="s">
        <v>74</v>
      </c>
      <c r="E23" s="2" t="s">
        <v>124</v>
      </c>
      <c r="F23" s="2">
        <v>7</v>
      </c>
      <c r="G23" s="2" t="s">
        <v>35</v>
      </c>
      <c r="H23" s="2">
        <v>6.75</v>
      </c>
      <c r="I23" s="6">
        <f t="shared" si="13"/>
        <v>47.25</v>
      </c>
      <c r="J23" s="6">
        <f t="shared" si="22"/>
        <v>389</v>
      </c>
      <c r="K23" s="6">
        <f t="shared" si="23"/>
        <v>387</v>
      </c>
      <c r="L23" s="6">
        <f t="shared" si="16"/>
        <v>1363.25</v>
      </c>
      <c r="M23" s="6">
        <f t="shared" si="24"/>
        <v>84</v>
      </c>
      <c r="N23" s="6" t="b">
        <f t="shared" si="1"/>
        <v>0</v>
      </c>
      <c r="O23" s="6" t="b">
        <f t="shared" si="20"/>
        <v>1</v>
      </c>
      <c r="P23" s="6" t="str">
        <f t="shared" si="2"/>
        <v>C007044-cans</v>
      </c>
      <c r="Q23" s="7" t="str">
        <f t="shared" si="3"/>
        <v>T049755
7</v>
      </c>
      <c r="R23" s="6" t="b">
        <f t="shared" si="4"/>
        <v>0</v>
      </c>
      <c r="S23" s="6" t="str">
        <f t="shared" si="5"/>
        <v>01</v>
      </c>
      <c r="T23" s="6" t="str">
        <f t="shared" si="6"/>
        <v>CANS</v>
      </c>
      <c r="U23" s="6" t="str">
        <f t="shared" si="7"/>
        <v>cans</v>
      </c>
      <c r="V23" s="6">
        <f t="shared" si="8"/>
        <v>2</v>
      </c>
      <c r="W23" s="6" t="str">
        <f t="shared" si="9"/>
        <v>T049755 7</v>
      </c>
      <c r="X23" s="6" t="str">
        <f t="shared" si="17"/>
        <v>S55423</v>
      </c>
      <c r="Y23" s="6" t="str">
        <f t="shared" si="10"/>
        <v>T04</v>
      </c>
      <c r="Z23" s="6" t="str">
        <f t="shared" si="11"/>
        <v>755</v>
      </c>
      <c r="AA23" s="6">
        <f t="shared" si="21"/>
        <v>2</v>
      </c>
      <c r="AB23" s="6">
        <f t="shared" si="12"/>
        <v>4</v>
      </c>
      <c r="AC23" s="6"/>
      <c r="AD23" s="23"/>
      <c r="AE23" s="12" t="s">
        <v>76</v>
      </c>
    </row>
    <row r="24" spans="1:31" ht="30" x14ac:dyDescent="0.25">
      <c r="A24" s="2" t="s">
        <v>125</v>
      </c>
      <c r="B24" s="2" t="s">
        <v>126</v>
      </c>
      <c r="C24" s="2" t="s">
        <v>127</v>
      </c>
      <c r="D24" s="2" t="s">
        <v>128</v>
      </c>
      <c r="E24" s="2" t="s">
        <v>129</v>
      </c>
      <c r="F24" s="2">
        <v>4</v>
      </c>
      <c r="G24" s="2" t="s">
        <v>106</v>
      </c>
      <c r="H24" s="2">
        <v>15</v>
      </c>
      <c r="I24" s="6">
        <f t="shared" si="13"/>
        <v>60</v>
      </c>
      <c r="J24" s="6">
        <f t="shared" si="22"/>
        <v>344.5</v>
      </c>
      <c r="K24" s="6">
        <f t="shared" si="23"/>
        <v>337</v>
      </c>
      <c r="L24" s="6">
        <f t="shared" si="16"/>
        <v>420</v>
      </c>
      <c r="M24" s="6">
        <f t="shared" si="24"/>
        <v>25</v>
      </c>
      <c r="N24" s="6" t="b">
        <f t="shared" si="1"/>
        <v>0</v>
      </c>
      <c r="O24" s="6" t="b">
        <f t="shared" si="20"/>
        <v>1</v>
      </c>
      <c r="P24" s="6" t="str">
        <f t="shared" si="2"/>
        <v>C004437-bags</v>
      </c>
      <c r="Q24" s="7" t="str">
        <f t="shared" si="3"/>
        <v>T088776
4</v>
      </c>
      <c r="R24" s="6" t="b">
        <f t="shared" si="4"/>
        <v>0</v>
      </c>
      <c r="S24" s="6" t="str">
        <f t="shared" si="5"/>
        <v>15</v>
      </c>
      <c r="T24" s="6" t="str">
        <f t="shared" si="6"/>
        <v>BAGS</v>
      </c>
      <c r="U24" s="6" t="str">
        <f t="shared" si="7"/>
        <v>bags</v>
      </c>
      <c r="V24" s="6">
        <f t="shared" si="8"/>
        <v>2</v>
      </c>
      <c r="W24" s="6" t="str">
        <f t="shared" si="9"/>
        <v>T088776 4</v>
      </c>
      <c r="X24" s="6" t="str">
        <f t="shared" si="17"/>
        <v>S55658</v>
      </c>
      <c r="Y24" s="6" t="str">
        <f t="shared" si="10"/>
        <v>T08</v>
      </c>
      <c r="Z24" s="6" t="str">
        <f t="shared" si="11"/>
        <v>776</v>
      </c>
      <c r="AA24" s="6">
        <f t="shared" si="21"/>
        <v>2</v>
      </c>
      <c r="AB24" s="6">
        <f t="shared" si="12"/>
        <v>4</v>
      </c>
      <c r="AC24" s="6"/>
      <c r="AD24" s="23"/>
      <c r="AE24" s="12" t="s">
        <v>137</v>
      </c>
    </row>
    <row r="25" spans="1:31" ht="30" x14ac:dyDescent="0.25">
      <c r="A25" s="2" t="s">
        <v>91</v>
      </c>
      <c r="B25" s="2" t="s">
        <v>130</v>
      </c>
      <c r="C25" s="2" t="s">
        <v>131</v>
      </c>
      <c r="D25" s="2" t="s">
        <v>132</v>
      </c>
      <c r="E25" s="2" t="s">
        <v>133</v>
      </c>
      <c r="F25" s="2">
        <v>4</v>
      </c>
      <c r="G25" s="2" t="s">
        <v>35</v>
      </c>
      <c r="H25" s="2">
        <v>8</v>
      </c>
      <c r="I25" s="6">
        <f t="shared" si="13"/>
        <v>32</v>
      </c>
      <c r="J25" s="6">
        <f t="shared" si="22"/>
        <v>435</v>
      </c>
      <c r="K25" s="6">
        <f t="shared" si="23"/>
        <v>433</v>
      </c>
      <c r="L25" s="6">
        <f t="shared" si="16"/>
        <v>1372.5</v>
      </c>
      <c r="M25" s="6">
        <f t="shared" si="24"/>
        <v>84</v>
      </c>
      <c r="N25" s="6" t="b">
        <f t="shared" si="1"/>
        <v>0</v>
      </c>
      <c r="O25" s="6" t="b">
        <f t="shared" si="20"/>
        <v>1</v>
      </c>
      <c r="P25" s="6" t="str">
        <f t="shared" si="2"/>
        <v>C006330-cans</v>
      </c>
      <c r="Q25" s="7" t="str">
        <f t="shared" si="3"/>
        <v>T081360
4</v>
      </c>
      <c r="R25" s="6" t="b">
        <f t="shared" si="4"/>
        <v>0</v>
      </c>
      <c r="S25" s="6" t="str">
        <f t="shared" si="5"/>
        <v>04</v>
      </c>
      <c r="T25" s="6" t="str">
        <f t="shared" si="6"/>
        <v>CANS</v>
      </c>
      <c r="U25" s="6" t="str">
        <f t="shared" si="7"/>
        <v>cans</v>
      </c>
      <c r="V25" s="6">
        <f t="shared" si="8"/>
        <v>2</v>
      </c>
      <c r="W25" s="6" t="str">
        <f t="shared" si="9"/>
        <v>T081360 4</v>
      </c>
      <c r="X25" s="6" t="str">
        <f t="shared" si="17"/>
        <v>S55628</v>
      </c>
      <c r="Y25" s="6" t="str">
        <f t="shared" si="10"/>
        <v>T08</v>
      </c>
      <c r="Z25" s="6" t="str">
        <f t="shared" si="11"/>
        <v>360</v>
      </c>
      <c r="AA25" s="6">
        <f t="shared" si="21"/>
        <v>2</v>
      </c>
      <c r="AB25" s="6">
        <f t="shared" si="12"/>
        <v>4</v>
      </c>
      <c r="AC25" s="6"/>
      <c r="AD25" s="23"/>
      <c r="AE25" s="12" t="s">
        <v>209</v>
      </c>
    </row>
    <row r="26" spans="1:31" ht="30" x14ac:dyDescent="0.25">
      <c r="A26" s="2" t="s">
        <v>76</v>
      </c>
      <c r="B26" s="2" t="s">
        <v>134</v>
      </c>
      <c r="C26" s="2" t="s">
        <v>135</v>
      </c>
      <c r="D26" s="2" t="s">
        <v>114</v>
      </c>
      <c r="E26" s="2" t="s">
        <v>136</v>
      </c>
      <c r="F26" s="2">
        <v>7</v>
      </c>
      <c r="G26" s="2" t="s">
        <v>13</v>
      </c>
      <c r="H26" s="2">
        <v>15</v>
      </c>
      <c r="I26" s="6">
        <f t="shared" si="13"/>
        <v>105</v>
      </c>
      <c r="J26" s="6">
        <f t="shared" si="22"/>
        <v>202.5</v>
      </c>
      <c r="K26" s="6">
        <f t="shared" si="23"/>
        <v>199</v>
      </c>
      <c r="L26" s="6">
        <f t="shared" si="16"/>
        <v>2948</v>
      </c>
      <c r="M26" s="6">
        <f t="shared" si="24"/>
        <v>153</v>
      </c>
      <c r="N26" s="6" t="b">
        <f t="shared" si="1"/>
        <v>0</v>
      </c>
      <c r="O26" s="6" t="b">
        <f t="shared" si="20"/>
        <v>1</v>
      </c>
      <c r="P26" s="6" t="str">
        <f t="shared" si="2"/>
        <v>C004953-ct</v>
      </c>
      <c r="Q26" s="7" t="str">
        <f t="shared" si="3"/>
        <v>T064303
7</v>
      </c>
      <c r="R26" s="6" t="b">
        <f t="shared" si="4"/>
        <v>0</v>
      </c>
      <c r="S26" s="6" t="str">
        <f t="shared" si="5"/>
        <v>12</v>
      </c>
      <c r="T26" s="6" t="str">
        <f t="shared" si="6"/>
        <v>CT</v>
      </c>
      <c r="U26" s="6" t="str">
        <f t="shared" si="7"/>
        <v>ct</v>
      </c>
      <c r="V26" s="6">
        <f t="shared" si="8"/>
        <v>2</v>
      </c>
      <c r="W26" s="6" t="str">
        <f t="shared" si="9"/>
        <v>T064303 7</v>
      </c>
      <c r="X26" s="6" t="str">
        <f t="shared" si="17"/>
        <v>S55197</v>
      </c>
      <c r="Y26" s="6" t="str">
        <f t="shared" si="10"/>
        <v>T06</v>
      </c>
      <c r="Z26" s="6" t="str">
        <f t="shared" si="11"/>
        <v>303</v>
      </c>
      <c r="AA26" s="6">
        <f t="shared" si="21"/>
        <v>2</v>
      </c>
      <c r="AB26" s="6">
        <f t="shared" si="12"/>
        <v>2</v>
      </c>
      <c r="AC26" s="6"/>
      <c r="AD26" s="23"/>
      <c r="AE26" s="12" t="s">
        <v>14</v>
      </c>
    </row>
    <row r="27" spans="1:31" ht="30" x14ac:dyDescent="0.2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>
        <v>8</v>
      </c>
      <c r="G27" s="2" t="s">
        <v>60</v>
      </c>
      <c r="H27" s="2">
        <v>17</v>
      </c>
      <c r="I27" s="6">
        <f t="shared" si="13"/>
        <v>136</v>
      </c>
      <c r="J27" s="6">
        <f t="shared" si="22"/>
        <v>130.5</v>
      </c>
      <c r="K27" s="6">
        <f t="shared" si="23"/>
        <v>129</v>
      </c>
      <c r="L27" s="6">
        <f t="shared" si="16"/>
        <v>1013</v>
      </c>
      <c r="M27" s="6">
        <f t="shared" si="24"/>
        <v>56</v>
      </c>
      <c r="N27" s="6" t="b">
        <f t="shared" si="1"/>
        <v>0</v>
      </c>
      <c r="O27" s="6" t="b">
        <f t="shared" si="20"/>
        <v>1</v>
      </c>
      <c r="P27" s="6" t="str">
        <f t="shared" si="2"/>
        <v>C009102-bottles</v>
      </c>
      <c r="Q27" s="7" t="str">
        <f t="shared" si="3"/>
        <v>T034213
8</v>
      </c>
      <c r="R27" s="6" t="b">
        <f t="shared" si="4"/>
        <v>0</v>
      </c>
      <c r="S27" s="6" t="str">
        <f t="shared" si="5"/>
        <v>07</v>
      </c>
      <c r="T27" s="6" t="str">
        <f t="shared" si="6"/>
        <v>BOTTLES</v>
      </c>
      <c r="U27" s="6" t="str">
        <f t="shared" si="7"/>
        <v>bottles</v>
      </c>
      <c r="V27" s="6">
        <f t="shared" si="8"/>
        <v>2</v>
      </c>
      <c r="W27" s="6" t="str">
        <f t="shared" si="9"/>
        <v>T034213 8</v>
      </c>
      <c r="X27" s="6" t="str">
        <f t="shared" si="17"/>
        <v>S55172</v>
      </c>
      <c r="Y27" s="6" t="str">
        <f t="shared" si="10"/>
        <v>T03</v>
      </c>
      <c r="Z27" s="6" t="str">
        <f t="shared" si="11"/>
        <v>213</v>
      </c>
      <c r="AA27" s="6">
        <f t="shared" si="21"/>
        <v>2</v>
      </c>
      <c r="AB27" s="6">
        <f t="shared" si="12"/>
        <v>7</v>
      </c>
      <c r="AC27" s="6"/>
      <c r="AD27" s="23"/>
      <c r="AE27" s="12" t="s">
        <v>61</v>
      </c>
    </row>
    <row r="28" spans="1:31" ht="30" x14ac:dyDescent="0.25">
      <c r="A28" s="2" t="s">
        <v>125</v>
      </c>
      <c r="B28" s="2" t="s">
        <v>142</v>
      </c>
      <c r="C28" s="2" t="s">
        <v>143</v>
      </c>
      <c r="D28" s="2" t="s">
        <v>144</v>
      </c>
      <c r="E28" s="2" t="s">
        <v>145</v>
      </c>
      <c r="F28" s="2">
        <v>1</v>
      </c>
      <c r="G28" s="2" t="s">
        <v>13</v>
      </c>
      <c r="H28" s="2">
        <v>42</v>
      </c>
      <c r="I28" s="6">
        <f t="shared" si="13"/>
        <v>42</v>
      </c>
      <c r="J28" s="6">
        <f t="shared" si="22"/>
        <v>404</v>
      </c>
      <c r="K28" s="6">
        <f t="shared" si="23"/>
        <v>400</v>
      </c>
      <c r="L28" s="6">
        <f t="shared" si="16"/>
        <v>2972</v>
      </c>
      <c r="M28" s="6">
        <f t="shared" si="24"/>
        <v>154</v>
      </c>
      <c r="N28" s="6" t="b">
        <f t="shared" si="1"/>
        <v>1</v>
      </c>
      <c r="O28" s="6" t="b">
        <f t="shared" si="20"/>
        <v>1</v>
      </c>
      <c r="P28" s="6" t="str">
        <f t="shared" si="2"/>
        <v>C001667-ct</v>
      </c>
      <c r="Q28" s="7" t="str">
        <f t="shared" si="3"/>
        <v>T03431
1</v>
      </c>
      <c r="R28" s="6" t="b">
        <f t="shared" si="4"/>
        <v>0</v>
      </c>
      <c r="S28" s="6" t="str">
        <f t="shared" si="5"/>
        <v>11</v>
      </c>
      <c r="T28" s="6" t="str">
        <f t="shared" si="6"/>
        <v>CT</v>
      </c>
      <c r="U28" s="6" t="str">
        <f t="shared" si="7"/>
        <v>ct</v>
      </c>
      <c r="V28" s="6">
        <f t="shared" si="8"/>
        <v>2</v>
      </c>
      <c r="W28" s="6" t="str">
        <f t="shared" si="9"/>
        <v>T03431 1</v>
      </c>
      <c r="X28" s="6" t="str">
        <f t="shared" si="17"/>
        <v>S55319</v>
      </c>
      <c r="Y28" s="6" t="str">
        <f t="shared" si="10"/>
        <v>T03</v>
      </c>
      <c r="Z28" s="6" t="str">
        <f t="shared" si="11"/>
        <v>431</v>
      </c>
      <c r="AA28" s="6">
        <f t="shared" si="21"/>
        <v>2</v>
      </c>
      <c r="AB28" s="6">
        <f t="shared" si="12"/>
        <v>2</v>
      </c>
      <c r="AC28" s="6"/>
      <c r="AD28" s="23"/>
      <c r="AE28" s="12" t="s">
        <v>240</v>
      </c>
    </row>
    <row r="29" spans="1:31" ht="30" x14ac:dyDescent="0.25">
      <c r="A29" s="2" t="s">
        <v>146</v>
      </c>
      <c r="B29" s="2" t="s">
        <v>147</v>
      </c>
      <c r="C29" s="2" t="s">
        <v>148</v>
      </c>
      <c r="D29" s="2" t="s">
        <v>149</v>
      </c>
      <c r="E29" s="2" t="s">
        <v>150</v>
      </c>
      <c r="F29" s="2">
        <v>10</v>
      </c>
      <c r="G29" s="2" t="s">
        <v>60</v>
      </c>
      <c r="H29" s="2">
        <v>17</v>
      </c>
      <c r="I29" s="6">
        <f t="shared" si="13"/>
        <v>170</v>
      </c>
      <c r="J29" s="6">
        <f t="shared" si="22"/>
        <v>74</v>
      </c>
      <c r="K29" s="6">
        <f t="shared" si="23"/>
        <v>72</v>
      </c>
      <c r="L29" s="6">
        <f t="shared" si="16"/>
        <v>996</v>
      </c>
      <c r="M29" s="6">
        <f t="shared" si="24"/>
        <v>55</v>
      </c>
      <c r="N29" s="6" t="b">
        <f t="shared" si="1"/>
        <v>0</v>
      </c>
      <c r="O29" s="6" t="b">
        <f t="shared" si="20"/>
        <v>1</v>
      </c>
      <c r="P29" s="6" t="str">
        <f t="shared" si="2"/>
        <v>C003131-bottles</v>
      </c>
      <c r="Q29" s="7" t="str">
        <f t="shared" si="3"/>
        <v>T072373
10</v>
      </c>
      <c r="R29" s="6" t="b">
        <f t="shared" si="4"/>
        <v>0</v>
      </c>
      <c r="S29" s="6" t="str">
        <f t="shared" si="5"/>
        <v>07</v>
      </c>
      <c r="T29" s="6" t="str">
        <f t="shared" si="6"/>
        <v>BOTTLES</v>
      </c>
      <c r="U29" s="6" t="str">
        <f t="shared" si="7"/>
        <v>bottles</v>
      </c>
      <c r="V29" s="6">
        <f t="shared" si="8"/>
        <v>2</v>
      </c>
      <c r="W29" s="6" t="str">
        <f t="shared" si="9"/>
        <v>T072373 10</v>
      </c>
      <c r="X29" s="6" t="str">
        <f t="shared" si="17"/>
        <v>S55462</v>
      </c>
      <c r="Y29" s="6" t="str">
        <f t="shared" si="10"/>
        <v>T07</v>
      </c>
      <c r="Z29" s="6" t="str">
        <f t="shared" si="11"/>
        <v>373</v>
      </c>
      <c r="AA29" s="6">
        <f t="shared" si="21"/>
        <v>2</v>
      </c>
      <c r="AB29" s="6">
        <f t="shared" si="12"/>
        <v>7</v>
      </c>
      <c r="AC29" s="6"/>
      <c r="AD29" s="23"/>
      <c r="AE29" s="12" t="s">
        <v>71</v>
      </c>
    </row>
    <row r="30" spans="1:31" ht="30" x14ac:dyDescent="0.25">
      <c r="A30" s="2" t="s">
        <v>101</v>
      </c>
      <c r="B30" s="2" t="s">
        <v>151</v>
      </c>
      <c r="C30" s="2" t="s">
        <v>152</v>
      </c>
      <c r="D30" s="2" t="s">
        <v>17</v>
      </c>
      <c r="E30" s="2" t="s">
        <v>153</v>
      </c>
      <c r="F30" s="2">
        <v>2</v>
      </c>
      <c r="G30" s="2" t="s">
        <v>19</v>
      </c>
      <c r="H30" s="2">
        <v>26</v>
      </c>
      <c r="I30" s="6">
        <f t="shared" si="13"/>
        <v>52</v>
      </c>
      <c r="J30" s="6">
        <f t="shared" si="22"/>
        <v>371</v>
      </c>
      <c r="K30" s="6">
        <f t="shared" si="23"/>
        <v>370</v>
      </c>
      <c r="L30" s="6">
        <f t="shared" si="16"/>
        <v>78</v>
      </c>
      <c r="M30" s="6">
        <f t="shared" si="24"/>
        <v>3</v>
      </c>
      <c r="N30" s="6" t="b">
        <f t="shared" si="1"/>
        <v>1</v>
      </c>
      <c r="O30" s="6" t="b">
        <f t="shared" si="20"/>
        <v>1</v>
      </c>
      <c r="P30" s="6" t="str">
        <f t="shared" si="2"/>
        <v>C000117-rolls</v>
      </c>
      <c r="Q30" s="7" t="str">
        <f t="shared" si="3"/>
        <v>T016070
2</v>
      </c>
      <c r="R30" s="6" t="b">
        <f t="shared" si="4"/>
        <v>0</v>
      </c>
      <c r="S30" s="6" t="str">
        <f t="shared" si="5"/>
        <v>24</v>
      </c>
      <c r="T30" s="6" t="str">
        <f t="shared" si="6"/>
        <v>ROLLS</v>
      </c>
      <c r="U30" s="6" t="str">
        <f t="shared" si="7"/>
        <v>rolls</v>
      </c>
      <c r="V30" s="6">
        <f t="shared" si="8"/>
        <v>2</v>
      </c>
      <c r="W30" s="6" t="str">
        <f t="shared" si="9"/>
        <v>T016070 2</v>
      </c>
      <c r="X30" s="6" t="str">
        <f t="shared" si="17"/>
        <v>S55465</v>
      </c>
      <c r="Y30" s="6" t="str">
        <f t="shared" si="10"/>
        <v>T01</v>
      </c>
      <c r="Z30" s="6" t="str">
        <f t="shared" si="11"/>
        <v>070</v>
      </c>
      <c r="AA30" s="6">
        <f t="shared" si="21"/>
        <v>2</v>
      </c>
      <c r="AB30" s="6">
        <f t="shared" si="12"/>
        <v>5</v>
      </c>
      <c r="AC30" s="6"/>
      <c r="AD30" s="23"/>
      <c r="AE30" s="12" t="s">
        <v>8</v>
      </c>
    </row>
    <row r="31" spans="1:31" ht="30" x14ac:dyDescent="0.25">
      <c r="A31" s="2" t="s">
        <v>8</v>
      </c>
      <c r="B31" s="2" t="s">
        <v>154</v>
      </c>
      <c r="C31" s="2" t="s">
        <v>155</v>
      </c>
      <c r="D31" s="2" t="s">
        <v>156</v>
      </c>
      <c r="E31" s="2" t="s">
        <v>157</v>
      </c>
      <c r="F31" s="2">
        <v>8</v>
      </c>
      <c r="G31" s="2" t="s">
        <v>13</v>
      </c>
      <c r="H31" s="2">
        <v>16</v>
      </c>
      <c r="I31" s="6">
        <f t="shared" si="13"/>
        <v>128</v>
      </c>
      <c r="J31" s="6">
        <f t="shared" si="22"/>
        <v>150</v>
      </c>
      <c r="K31" s="6">
        <f t="shared" si="23"/>
        <v>148</v>
      </c>
      <c r="L31" s="6">
        <f t="shared" si="16"/>
        <v>2944</v>
      </c>
      <c r="M31" s="6">
        <f t="shared" si="24"/>
        <v>154</v>
      </c>
      <c r="N31" s="6" t="b">
        <f t="shared" si="1"/>
        <v>0</v>
      </c>
      <c r="O31" s="6" t="b">
        <f t="shared" si="20"/>
        <v>1</v>
      </c>
      <c r="P31" s="6" t="str">
        <f t="shared" si="2"/>
        <v>C008372-ct</v>
      </c>
      <c r="Q31" s="7" t="str">
        <f t="shared" si="3"/>
        <v>T011517
8</v>
      </c>
      <c r="R31" s="6" t="b">
        <f t="shared" si="4"/>
        <v>0</v>
      </c>
      <c r="S31" s="6" t="str">
        <f t="shared" si="5"/>
        <v>11</v>
      </c>
      <c r="T31" s="6" t="str">
        <f t="shared" si="6"/>
        <v>CT</v>
      </c>
      <c r="U31" s="6" t="str">
        <f t="shared" si="7"/>
        <v>ct</v>
      </c>
      <c r="V31" s="6">
        <f t="shared" si="8"/>
        <v>2</v>
      </c>
      <c r="W31" s="6" t="str">
        <f t="shared" si="9"/>
        <v>T011517 8</v>
      </c>
      <c r="X31" s="6" t="str">
        <f t="shared" si="17"/>
        <v>S55415</v>
      </c>
      <c r="Y31" s="6" t="str">
        <f t="shared" si="10"/>
        <v>T01</v>
      </c>
      <c r="Z31" s="6" t="str">
        <f t="shared" si="11"/>
        <v>517</v>
      </c>
      <c r="AA31" s="6">
        <f t="shared" si="21"/>
        <v>2</v>
      </c>
      <c r="AB31" s="6">
        <f t="shared" si="12"/>
        <v>2</v>
      </c>
      <c r="AC31" s="6"/>
      <c r="AD31" s="23"/>
      <c r="AE31" s="12" t="s">
        <v>66</v>
      </c>
    </row>
    <row r="32" spans="1:31" ht="30" x14ac:dyDescent="0.25">
      <c r="A32" s="2" t="s">
        <v>125</v>
      </c>
      <c r="B32" s="2" t="s">
        <v>158</v>
      </c>
      <c r="C32" s="2" t="s">
        <v>159</v>
      </c>
      <c r="D32" s="2" t="s">
        <v>160</v>
      </c>
      <c r="E32" s="2" t="s">
        <v>161</v>
      </c>
      <c r="F32" s="2">
        <v>1</v>
      </c>
      <c r="G32" s="2" t="s">
        <v>60</v>
      </c>
      <c r="H32" s="2">
        <v>20</v>
      </c>
      <c r="I32" s="6">
        <f t="shared" si="13"/>
        <v>20</v>
      </c>
      <c r="J32" s="6">
        <f t="shared" si="22"/>
        <v>464</v>
      </c>
      <c r="K32" s="6">
        <f t="shared" si="23"/>
        <v>462</v>
      </c>
      <c r="L32" s="6">
        <f t="shared" si="16"/>
        <v>1001</v>
      </c>
      <c r="M32" s="6">
        <f t="shared" si="24"/>
        <v>55</v>
      </c>
      <c r="N32" s="6" t="b">
        <f t="shared" si="1"/>
        <v>0</v>
      </c>
      <c r="O32" s="6" t="b">
        <f t="shared" si="20"/>
        <v>1</v>
      </c>
      <c r="P32" s="6" t="str">
        <f t="shared" si="2"/>
        <v>C000587-bottles</v>
      </c>
      <c r="Q32" s="7" t="str">
        <f t="shared" si="3"/>
        <v>T098189
1</v>
      </c>
      <c r="R32" s="6" t="b">
        <f t="shared" si="4"/>
        <v>0</v>
      </c>
      <c r="S32" s="6" t="str">
        <f t="shared" si="5"/>
        <v>06</v>
      </c>
      <c r="T32" s="6" t="str">
        <f t="shared" si="6"/>
        <v>BOTTLES</v>
      </c>
      <c r="U32" s="6" t="str">
        <f t="shared" si="7"/>
        <v>bottles</v>
      </c>
      <c r="V32" s="6">
        <f t="shared" si="8"/>
        <v>2</v>
      </c>
      <c r="W32" s="6" t="str">
        <f t="shared" si="9"/>
        <v>T098189 1</v>
      </c>
      <c r="X32" s="6" t="str">
        <f t="shared" si="17"/>
        <v>S55142</v>
      </c>
      <c r="Y32" s="6" t="str">
        <f t="shared" si="10"/>
        <v>T09</v>
      </c>
      <c r="Z32" s="6" t="str">
        <f t="shared" si="11"/>
        <v>189</v>
      </c>
      <c r="AA32" s="6">
        <f t="shared" si="21"/>
        <v>2</v>
      </c>
      <c r="AB32" s="6">
        <f t="shared" si="12"/>
        <v>7</v>
      </c>
      <c r="AC32" s="6"/>
      <c r="AD32" s="23"/>
      <c r="AE32" s="12" t="s">
        <v>125</v>
      </c>
    </row>
    <row r="33" spans="1:31" ht="30" x14ac:dyDescent="0.25">
      <c r="A33" s="2" t="s">
        <v>162</v>
      </c>
      <c r="B33" s="2" t="s">
        <v>163</v>
      </c>
      <c r="C33" s="2" t="s">
        <v>164</v>
      </c>
      <c r="D33" s="2" t="s">
        <v>165</v>
      </c>
      <c r="E33" s="2" t="s">
        <v>166</v>
      </c>
      <c r="F33" s="2">
        <v>2</v>
      </c>
      <c r="G33" s="2" t="s">
        <v>167</v>
      </c>
      <c r="H33" s="2">
        <v>15</v>
      </c>
      <c r="I33" s="6">
        <f t="shared" si="13"/>
        <v>30</v>
      </c>
      <c r="J33" s="6">
        <f t="shared" si="22"/>
        <v>440.5</v>
      </c>
      <c r="K33" s="6">
        <f t="shared" si="23"/>
        <v>439</v>
      </c>
      <c r="L33" s="6">
        <f t="shared" si="16"/>
        <v>470.5</v>
      </c>
      <c r="M33" s="6">
        <f t="shared" si="24"/>
        <v>30</v>
      </c>
      <c r="N33" s="6" t="b">
        <f t="shared" si="1"/>
        <v>0</v>
      </c>
      <c r="O33" s="6" t="b">
        <f t="shared" si="20"/>
        <v>1</v>
      </c>
      <c r="P33" s="6" t="str">
        <f t="shared" si="2"/>
        <v>C002814-oz</v>
      </c>
      <c r="Q33" s="7" t="str">
        <f t="shared" si="3"/>
        <v>T095863
2</v>
      </c>
      <c r="R33" s="6" t="b">
        <f t="shared" si="4"/>
        <v>0</v>
      </c>
      <c r="S33" s="6" t="str">
        <f t="shared" si="5"/>
        <v>10</v>
      </c>
      <c r="T33" s="6" t="str">
        <f t="shared" si="6"/>
        <v>OZ</v>
      </c>
      <c r="U33" s="6" t="str">
        <f t="shared" si="7"/>
        <v>oz</v>
      </c>
      <c r="V33" s="6">
        <f t="shared" si="8"/>
        <v>2</v>
      </c>
      <c r="W33" s="6" t="str">
        <f t="shared" si="9"/>
        <v>T095863 2</v>
      </c>
      <c r="X33" s="6" t="str">
        <f t="shared" si="17"/>
        <v>S55563</v>
      </c>
      <c r="Y33" s="6" t="str">
        <f t="shared" si="10"/>
        <v>T09</v>
      </c>
      <c r="Z33" s="6" t="str">
        <f t="shared" si="11"/>
        <v>863</v>
      </c>
      <c r="AA33" s="6">
        <f t="shared" si="21"/>
        <v>2</v>
      </c>
      <c r="AB33" s="6">
        <f t="shared" si="12"/>
        <v>2</v>
      </c>
      <c r="AC33" s="6"/>
      <c r="AD33" s="23"/>
      <c r="AE33" s="12" t="s">
        <v>187</v>
      </c>
    </row>
    <row r="34" spans="1:31" ht="30" x14ac:dyDescent="0.25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>
        <v>11</v>
      </c>
      <c r="G34" s="2" t="s">
        <v>35</v>
      </c>
      <c r="H34" s="2">
        <v>6.75</v>
      </c>
      <c r="I34" s="6">
        <f t="shared" si="13"/>
        <v>74.25</v>
      </c>
      <c r="J34" s="6">
        <f t="shared" si="22"/>
        <v>289.5</v>
      </c>
      <c r="K34" s="6">
        <f t="shared" si="23"/>
        <v>288</v>
      </c>
      <c r="L34" s="6">
        <f t="shared" si="16"/>
        <v>1411.25</v>
      </c>
      <c r="M34" s="6">
        <f t="shared" si="24"/>
        <v>85</v>
      </c>
      <c r="N34" s="6" t="b">
        <f t="shared" si="1"/>
        <v>0</v>
      </c>
      <c r="O34" s="6" t="b">
        <f t="shared" si="20"/>
        <v>0</v>
      </c>
      <c r="P34" s="6" t="str">
        <f t="shared" si="2"/>
        <v>C006599-cans</v>
      </c>
      <c r="Q34" s="7" t="str">
        <f t="shared" si="3"/>
        <v>T01535
11</v>
      </c>
      <c r="R34" s="6" t="b">
        <f t="shared" si="4"/>
        <v>0</v>
      </c>
      <c r="S34" s="6" t="str">
        <f t="shared" si="5"/>
        <v>07</v>
      </c>
      <c r="T34" s="6" t="str">
        <f t="shared" si="6"/>
        <v>CANS</v>
      </c>
      <c r="U34" s="6" t="str">
        <f t="shared" si="7"/>
        <v>cans</v>
      </c>
      <c r="V34" s="6">
        <f t="shared" si="8"/>
        <v>2</v>
      </c>
      <c r="W34" s="6" t="str">
        <f t="shared" si="9"/>
        <v>T01535 11</v>
      </c>
      <c r="X34" s="6" t="str">
        <f t="shared" si="17"/>
        <v>S55317</v>
      </c>
      <c r="Y34" s="6" t="str">
        <f t="shared" si="10"/>
        <v>T01</v>
      </c>
      <c r="Z34" s="6" t="str">
        <f t="shared" si="11"/>
        <v>535</v>
      </c>
      <c r="AA34" s="6">
        <f t="shared" si="21"/>
        <v>2</v>
      </c>
      <c r="AB34" s="6">
        <f t="shared" si="12"/>
        <v>4</v>
      </c>
      <c r="AC34" s="6"/>
      <c r="AD34" s="23"/>
      <c r="AE34" s="12" t="s">
        <v>20</v>
      </c>
    </row>
    <row r="35" spans="1:31" ht="30" x14ac:dyDescent="0.2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177</v>
      </c>
      <c r="F35" s="2">
        <v>6</v>
      </c>
      <c r="G35" s="2" t="s">
        <v>178</v>
      </c>
      <c r="H35" s="2">
        <v>15</v>
      </c>
      <c r="I35" s="6">
        <f t="shared" si="13"/>
        <v>90</v>
      </c>
      <c r="J35" s="6">
        <f t="shared" si="22"/>
        <v>245</v>
      </c>
      <c r="K35" s="6">
        <f t="shared" si="23"/>
        <v>239</v>
      </c>
      <c r="L35" s="6">
        <f t="shared" si="16"/>
        <v>93</v>
      </c>
      <c r="M35" s="6">
        <f t="shared" si="24"/>
        <v>6</v>
      </c>
      <c r="N35" s="6" t="b">
        <f t="shared" si="1"/>
        <v>0</v>
      </c>
      <c r="O35" s="6" t="b">
        <f t="shared" si="20"/>
        <v>1</v>
      </c>
      <c r="P35" s="6" t="str">
        <f t="shared" si="2"/>
        <v>C004506-tubs</v>
      </c>
      <c r="Q35" s="7" t="str">
        <f t="shared" si="3"/>
        <v>T034740
6</v>
      </c>
      <c r="R35" s="6" t="b">
        <f t="shared" si="4"/>
        <v>0</v>
      </c>
      <c r="S35" s="6" t="str">
        <f t="shared" si="5"/>
        <v>10</v>
      </c>
      <c r="T35" s="6" t="str">
        <f t="shared" si="6"/>
        <v>TUBS</v>
      </c>
      <c r="U35" s="6" t="str">
        <f t="shared" si="7"/>
        <v>tubs</v>
      </c>
      <c r="V35" s="6">
        <f t="shared" si="8"/>
        <v>2</v>
      </c>
      <c r="W35" s="6" t="str">
        <f t="shared" si="9"/>
        <v>T034740 6</v>
      </c>
      <c r="X35" s="6" t="str">
        <f t="shared" si="17"/>
        <v>S5595</v>
      </c>
      <c r="Y35" s="6" t="str">
        <f t="shared" si="10"/>
        <v>T03</v>
      </c>
      <c r="Z35" s="6" t="str">
        <f t="shared" si="11"/>
        <v>740</v>
      </c>
      <c r="AA35" s="6">
        <f t="shared" si="21"/>
        <v>2</v>
      </c>
      <c r="AB35" s="6">
        <f t="shared" si="12"/>
        <v>4</v>
      </c>
      <c r="AC35" s="6"/>
      <c r="AD35" s="23"/>
      <c r="AE35" s="12" t="s">
        <v>307</v>
      </c>
    </row>
    <row r="36" spans="1:31" ht="30" x14ac:dyDescent="0.25">
      <c r="A36" s="2" t="s">
        <v>96</v>
      </c>
      <c r="B36" s="2" t="s">
        <v>179</v>
      </c>
      <c r="C36" s="2" t="s">
        <v>180</v>
      </c>
      <c r="D36" s="2" t="s">
        <v>181</v>
      </c>
      <c r="E36" s="2" t="s">
        <v>182</v>
      </c>
      <c r="F36" s="2">
        <v>3</v>
      </c>
      <c r="G36" s="2" t="s">
        <v>13</v>
      </c>
      <c r="H36" s="2">
        <v>6</v>
      </c>
      <c r="I36" s="6">
        <f t="shared" si="13"/>
        <v>18</v>
      </c>
      <c r="J36" s="6">
        <f t="shared" si="22"/>
        <v>467</v>
      </c>
      <c r="K36" s="6">
        <f t="shared" si="23"/>
        <v>467</v>
      </c>
      <c r="L36" s="6">
        <f t="shared" si="16"/>
        <v>2957</v>
      </c>
      <c r="M36" s="6">
        <f t="shared" si="24"/>
        <v>154</v>
      </c>
      <c r="N36" s="6" t="b">
        <f t="shared" si="1"/>
        <v>0</v>
      </c>
      <c r="O36" s="6" t="b">
        <f t="shared" si="20"/>
        <v>1</v>
      </c>
      <c r="P36" s="6" t="str">
        <f t="shared" si="2"/>
        <v>C003012-ct</v>
      </c>
      <c r="Q36" s="7" t="str">
        <f t="shared" si="3"/>
        <v>T066927
3</v>
      </c>
      <c r="R36" s="6" t="b">
        <f t="shared" si="4"/>
        <v>0</v>
      </c>
      <c r="S36" s="6" t="str">
        <f t="shared" si="5"/>
        <v>21</v>
      </c>
      <c r="T36" s="6" t="str">
        <f t="shared" si="6"/>
        <v>CT</v>
      </c>
      <c r="U36" s="6" t="str">
        <f t="shared" si="7"/>
        <v>ct</v>
      </c>
      <c r="V36" s="6">
        <f t="shared" si="8"/>
        <v>2</v>
      </c>
      <c r="W36" s="6" t="str">
        <f t="shared" si="9"/>
        <v>T066927 3</v>
      </c>
      <c r="X36" s="6" t="str">
        <f t="shared" si="17"/>
        <v>S55395</v>
      </c>
      <c r="Y36" s="6" t="str">
        <f t="shared" si="10"/>
        <v>T06</v>
      </c>
      <c r="Z36" s="6" t="str">
        <f t="shared" si="11"/>
        <v>927</v>
      </c>
      <c r="AA36" s="6">
        <f t="shared" si="21"/>
        <v>2</v>
      </c>
      <c r="AB36" s="6">
        <f t="shared" si="12"/>
        <v>2</v>
      </c>
      <c r="AC36" s="6"/>
      <c r="AD36" s="23"/>
      <c r="AE36" s="12" t="s">
        <v>25</v>
      </c>
    </row>
    <row r="37" spans="1:31" ht="30" x14ac:dyDescent="0.25">
      <c r="A37" s="2" t="s">
        <v>55</v>
      </c>
      <c r="B37" s="2" t="s">
        <v>183</v>
      </c>
      <c r="C37" s="2" t="s">
        <v>184</v>
      </c>
      <c r="D37" s="2" t="s">
        <v>185</v>
      </c>
      <c r="E37" s="2" t="s">
        <v>186</v>
      </c>
      <c r="F37" s="2">
        <v>6</v>
      </c>
      <c r="G37" s="2" t="s">
        <v>13</v>
      </c>
      <c r="H37" s="2">
        <v>14</v>
      </c>
      <c r="I37" s="6">
        <f t="shared" si="13"/>
        <v>84</v>
      </c>
      <c r="J37" s="6">
        <f t="shared" si="22"/>
        <v>263.5</v>
      </c>
      <c r="K37" s="6">
        <f t="shared" si="23"/>
        <v>260</v>
      </c>
      <c r="L37" s="6">
        <f t="shared" si="16"/>
        <v>2951</v>
      </c>
      <c r="M37" s="6">
        <f t="shared" si="24"/>
        <v>153</v>
      </c>
      <c r="N37" s="6" t="b">
        <f t="shared" si="1"/>
        <v>0</v>
      </c>
      <c r="O37" s="6" t="b">
        <f t="shared" si="20"/>
        <v>1</v>
      </c>
      <c r="P37" s="6" t="str">
        <f t="shared" si="2"/>
        <v>C002416-ct</v>
      </c>
      <c r="Q37" s="7" t="str">
        <f t="shared" si="3"/>
        <v>T016376
6</v>
      </c>
      <c r="R37" s="6" t="b">
        <f t="shared" si="4"/>
        <v>0</v>
      </c>
      <c r="S37" s="6" t="str">
        <f t="shared" si="5"/>
        <v>13</v>
      </c>
      <c r="T37" s="6" t="str">
        <f t="shared" si="6"/>
        <v>CT</v>
      </c>
      <c r="U37" s="6" t="str">
        <f t="shared" si="7"/>
        <v>ct</v>
      </c>
      <c r="V37" s="6">
        <f t="shared" si="8"/>
        <v>2</v>
      </c>
      <c r="W37" s="6" t="str">
        <f t="shared" si="9"/>
        <v>T016376 6</v>
      </c>
      <c r="X37" s="6" t="str">
        <f t="shared" si="17"/>
        <v>S5565</v>
      </c>
      <c r="Y37" s="6" t="str">
        <f t="shared" si="10"/>
        <v>T01</v>
      </c>
      <c r="Z37" s="6" t="str">
        <f t="shared" si="11"/>
        <v>376</v>
      </c>
      <c r="AA37" s="6">
        <f t="shared" si="21"/>
        <v>2</v>
      </c>
      <c r="AB37" s="6">
        <f t="shared" si="12"/>
        <v>2</v>
      </c>
      <c r="AC37" s="6"/>
      <c r="AD37" s="23"/>
      <c r="AE37" s="12" t="s">
        <v>173</v>
      </c>
    </row>
    <row r="38" spans="1:31" ht="30" x14ac:dyDescent="0.25">
      <c r="A38" s="2" t="s">
        <v>187</v>
      </c>
      <c r="B38" s="2" t="s">
        <v>188</v>
      </c>
      <c r="C38" s="2" t="s">
        <v>189</v>
      </c>
      <c r="D38" s="2" t="s">
        <v>190</v>
      </c>
      <c r="E38" s="2" t="s">
        <v>191</v>
      </c>
      <c r="F38" s="2">
        <v>3</v>
      </c>
      <c r="G38" s="2" t="s">
        <v>13</v>
      </c>
      <c r="H38" s="2">
        <v>20</v>
      </c>
      <c r="I38" s="6">
        <f t="shared" si="13"/>
        <v>60</v>
      </c>
      <c r="J38" s="6">
        <f t="shared" si="22"/>
        <v>344.5</v>
      </c>
      <c r="K38" s="6">
        <f t="shared" si="23"/>
        <v>337</v>
      </c>
      <c r="L38" s="6">
        <f t="shared" si="16"/>
        <v>2963</v>
      </c>
      <c r="M38" s="6">
        <f t="shared" si="24"/>
        <v>153</v>
      </c>
      <c r="N38" s="6" t="b">
        <f t="shared" si="1"/>
        <v>0</v>
      </c>
      <c r="O38" s="6" t="b">
        <f t="shared" si="20"/>
        <v>1</v>
      </c>
      <c r="P38" s="6" t="str">
        <f t="shared" si="2"/>
        <v>C004635-ct</v>
      </c>
      <c r="Q38" s="7" t="str">
        <f t="shared" si="3"/>
        <v>T058922
3</v>
      </c>
      <c r="R38" s="6" t="b">
        <f t="shared" si="4"/>
        <v>0</v>
      </c>
      <c r="S38" s="6" t="str">
        <f t="shared" si="5"/>
        <v>24</v>
      </c>
      <c r="T38" s="6" t="str">
        <f t="shared" si="6"/>
        <v>CT</v>
      </c>
      <c r="U38" s="6" t="str">
        <f t="shared" si="7"/>
        <v>ct</v>
      </c>
      <c r="V38" s="6">
        <f t="shared" si="8"/>
        <v>2</v>
      </c>
      <c r="W38" s="6" t="str">
        <f t="shared" si="9"/>
        <v>T058922 3</v>
      </c>
      <c r="X38" s="6" t="str">
        <f t="shared" si="17"/>
        <v>S5537</v>
      </c>
      <c r="Y38" s="6" t="str">
        <f t="shared" si="10"/>
        <v>T05</v>
      </c>
      <c r="Z38" s="6" t="str">
        <f t="shared" si="11"/>
        <v>922</v>
      </c>
      <c r="AA38" s="6">
        <f t="shared" si="21"/>
        <v>2</v>
      </c>
      <c r="AB38" s="6">
        <f t="shared" si="12"/>
        <v>2</v>
      </c>
      <c r="AC38" s="6"/>
      <c r="AD38" s="23"/>
      <c r="AE38" s="12" t="s">
        <v>274</v>
      </c>
    </row>
    <row r="39" spans="1:31" ht="30" x14ac:dyDescent="0.25">
      <c r="A39" s="2" t="s">
        <v>121</v>
      </c>
      <c r="B39" s="2" t="s">
        <v>192</v>
      </c>
      <c r="C39" s="2" t="s">
        <v>193</v>
      </c>
      <c r="D39" s="2" t="s">
        <v>194</v>
      </c>
      <c r="E39" s="2" t="s">
        <v>195</v>
      </c>
      <c r="F39" s="2">
        <v>11</v>
      </c>
      <c r="G39" s="2" t="s">
        <v>13</v>
      </c>
      <c r="H39" s="2">
        <v>9</v>
      </c>
      <c r="I39" s="6">
        <f t="shared" si="13"/>
        <v>99</v>
      </c>
      <c r="J39" s="6">
        <f t="shared" si="22"/>
        <v>219</v>
      </c>
      <c r="K39" s="6">
        <f t="shared" si="23"/>
        <v>218</v>
      </c>
      <c r="L39" s="6">
        <f t="shared" si="16"/>
        <v>2943</v>
      </c>
      <c r="M39" s="6">
        <f t="shared" si="24"/>
        <v>152</v>
      </c>
      <c r="N39" s="6" t="b">
        <f t="shared" si="1"/>
        <v>0</v>
      </c>
      <c r="O39" s="6" t="b">
        <f t="shared" si="20"/>
        <v>0</v>
      </c>
      <c r="P39" s="6" t="str">
        <f t="shared" si="2"/>
        <v>C002106-ct</v>
      </c>
      <c r="Q39" s="7" t="str">
        <f t="shared" si="3"/>
        <v>T084934
11</v>
      </c>
      <c r="R39" s="6" t="b">
        <f t="shared" si="4"/>
        <v>0</v>
      </c>
      <c r="S39" s="6" t="str">
        <f t="shared" si="5"/>
        <v>12</v>
      </c>
      <c r="T39" s="6" t="str">
        <f t="shared" si="6"/>
        <v>CT</v>
      </c>
      <c r="U39" s="6" t="str">
        <f t="shared" si="7"/>
        <v>ct</v>
      </c>
      <c r="V39" s="6">
        <f t="shared" si="8"/>
        <v>2</v>
      </c>
      <c r="W39" s="6" t="str">
        <f t="shared" si="9"/>
        <v>T084934 11</v>
      </c>
      <c r="X39" s="6" t="str">
        <f t="shared" si="17"/>
        <v>S55676</v>
      </c>
      <c r="Y39" s="6" t="str">
        <f t="shared" si="10"/>
        <v>T08</v>
      </c>
      <c r="Z39" s="6" t="str">
        <f t="shared" si="11"/>
        <v>934</v>
      </c>
      <c r="AA39" s="6">
        <f t="shared" si="21"/>
        <v>2</v>
      </c>
      <c r="AB39" s="6">
        <f t="shared" si="12"/>
        <v>2</v>
      </c>
      <c r="AC39" s="6"/>
      <c r="AD39" s="23"/>
      <c r="AE39" s="12" t="s">
        <v>224</v>
      </c>
    </row>
    <row r="40" spans="1:31" ht="30" x14ac:dyDescent="0.25">
      <c r="A40" s="2" t="s">
        <v>8</v>
      </c>
      <c r="B40" s="2" t="s">
        <v>196</v>
      </c>
      <c r="C40" s="2" t="s">
        <v>197</v>
      </c>
      <c r="D40" s="2" t="s">
        <v>198</v>
      </c>
      <c r="E40" s="2" t="s">
        <v>199</v>
      </c>
      <c r="F40" s="2">
        <v>5</v>
      </c>
      <c r="G40" s="2" t="s">
        <v>60</v>
      </c>
      <c r="H40" s="2">
        <v>20</v>
      </c>
      <c r="I40" s="6">
        <f t="shared" si="13"/>
        <v>100</v>
      </c>
      <c r="J40" s="6">
        <f t="shared" si="22"/>
        <v>214.5</v>
      </c>
      <c r="K40" s="6">
        <f t="shared" si="23"/>
        <v>212</v>
      </c>
      <c r="L40" s="6">
        <f t="shared" si="16"/>
        <v>1001</v>
      </c>
      <c r="M40" s="6">
        <f t="shared" si="24"/>
        <v>55</v>
      </c>
      <c r="N40" s="6" t="b">
        <f t="shared" si="1"/>
        <v>0</v>
      </c>
      <c r="O40" s="6" t="b">
        <f t="shared" si="20"/>
        <v>1</v>
      </c>
      <c r="P40" s="6" t="str">
        <f t="shared" si="2"/>
        <v>C002014-bottles</v>
      </c>
      <c r="Q40" s="7" t="str">
        <f t="shared" si="3"/>
        <v>T075762
5</v>
      </c>
      <c r="R40" s="6" t="b">
        <f t="shared" si="4"/>
        <v>0</v>
      </c>
      <c r="S40" s="6" t="str">
        <f t="shared" si="5"/>
        <v>06</v>
      </c>
      <c r="T40" s="6" t="str">
        <f t="shared" si="6"/>
        <v>BOTTLES</v>
      </c>
      <c r="U40" s="6" t="str">
        <f t="shared" si="7"/>
        <v>bottles</v>
      </c>
      <c r="V40" s="6">
        <f t="shared" si="8"/>
        <v>2</v>
      </c>
      <c r="W40" s="6" t="str">
        <f t="shared" si="9"/>
        <v>T075762 5</v>
      </c>
      <c r="X40" s="6" t="str">
        <f t="shared" si="17"/>
        <v>S55759</v>
      </c>
      <c r="Y40" s="6" t="str">
        <f t="shared" si="10"/>
        <v>T07</v>
      </c>
      <c r="Z40" s="6" t="str">
        <f t="shared" si="11"/>
        <v>762</v>
      </c>
      <c r="AA40" s="6">
        <f t="shared" si="21"/>
        <v>2</v>
      </c>
      <c r="AB40" s="6">
        <f t="shared" si="12"/>
        <v>7</v>
      </c>
      <c r="AC40" s="6"/>
      <c r="AD40" s="23"/>
      <c r="AE40" s="12" t="s">
        <v>200</v>
      </c>
    </row>
    <row r="41" spans="1:31" ht="30" x14ac:dyDescent="0.25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>
        <v>1</v>
      </c>
      <c r="G41" s="2" t="s">
        <v>35</v>
      </c>
      <c r="H41" s="2">
        <v>6.75</v>
      </c>
      <c r="I41" s="6">
        <f t="shared" si="13"/>
        <v>6.75</v>
      </c>
      <c r="J41" s="6">
        <f t="shared" si="22"/>
        <v>494</v>
      </c>
      <c r="K41" s="6">
        <f t="shared" si="23"/>
        <v>493</v>
      </c>
      <c r="L41" s="6">
        <f t="shared" si="16"/>
        <v>1444.5</v>
      </c>
      <c r="M41" s="6">
        <f t="shared" si="24"/>
        <v>85</v>
      </c>
      <c r="N41" s="6" t="b">
        <f t="shared" si="1"/>
        <v>0</v>
      </c>
      <c r="O41" s="6" t="b">
        <f t="shared" si="20"/>
        <v>1</v>
      </c>
      <c r="P41" s="6" t="str">
        <f t="shared" si="2"/>
        <v>C006673-cans</v>
      </c>
      <c r="Q41" s="7" t="str">
        <f t="shared" si="3"/>
        <v>T067888
1</v>
      </c>
      <c r="R41" s="6" t="b">
        <f t="shared" si="4"/>
        <v>0</v>
      </c>
      <c r="S41" s="6" t="str">
        <f t="shared" si="5"/>
        <v>01</v>
      </c>
      <c r="T41" s="6" t="str">
        <f t="shared" si="6"/>
        <v>CANS</v>
      </c>
      <c r="U41" s="6" t="str">
        <f t="shared" si="7"/>
        <v>cans</v>
      </c>
      <c r="V41" s="6">
        <f t="shared" si="8"/>
        <v>2</v>
      </c>
      <c r="W41" s="6" t="str">
        <f t="shared" si="9"/>
        <v>T067888 1</v>
      </c>
      <c r="X41" s="6" t="str">
        <f t="shared" si="17"/>
        <v>S55547</v>
      </c>
      <c r="Y41" s="6" t="str">
        <f t="shared" si="10"/>
        <v>T06</v>
      </c>
      <c r="Z41" s="6" t="str">
        <f t="shared" si="11"/>
        <v>888</v>
      </c>
      <c r="AA41" s="6">
        <f t="shared" si="21"/>
        <v>2</v>
      </c>
      <c r="AB41" s="6">
        <f t="shared" si="12"/>
        <v>4</v>
      </c>
      <c r="AC41" s="6"/>
      <c r="AD41" s="23"/>
      <c r="AE41" s="12" t="s">
        <v>339</v>
      </c>
    </row>
    <row r="42" spans="1:31" ht="30" x14ac:dyDescent="0.25">
      <c r="A42" s="2" t="s">
        <v>137</v>
      </c>
      <c r="B42" s="2" t="s">
        <v>205</v>
      </c>
      <c r="C42" s="2" t="s">
        <v>206</v>
      </c>
      <c r="D42" s="2" t="s">
        <v>207</v>
      </c>
      <c r="E42" s="2" t="s">
        <v>208</v>
      </c>
      <c r="F42" s="2">
        <v>7</v>
      </c>
      <c r="G42" s="2" t="s">
        <v>35</v>
      </c>
      <c r="H42" s="2">
        <v>16</v>
      </c>
      <c r="I42" s="6">
        <f t="shared" si="13"/>
        <v>112</v>
      </c>
      <c r="J42" s="6">
        <f t="shared" si="22"/>
        <v>188.5</v>
      </c>
      <c r="K42" s="6">
        <f t="shared" si="23"/>
        <v>186</v>
      </c>
      <c r="L42" s="6">
        <f t="shared" si="16"/>
        <v>1437.75</v>
      </c>
      <c r="M42" s="6">
        <f t="shared" si="24"/>
        <v>84</v>
      </c>
      <c r="N42" s="6" t="b">
        <f t="shared" si="1"/>
        <v>0</v>
      </c>
      <c r="O42" s="6" t="b">
        <f t="shared" si="20"/>
        <v>1</v>
      </c>
      <c r="P42" s="6" t="str">
        <f t="shared" si="2"/>
        <v>C003551-cans</v>
      </c>
      <c r="Q42" s="7" t="str">
        <f t="shared" si="3"/>
        <v>T064445
7</v>
      </c>
      <c r="R42" s="6" t="b">
        <f t="shared" si="4"/>
        <v>0</v>
      </c>
      <c r="S42" s="6" t="str">
        <f t="shared" si="5"/>
        <v>03</v>
      </c>
      <c r="T42" s="6" t="str">
        <f t="shared" si="6"/>
        <v>CANS</v>
      </c>
      <c r="U42" s="6" t="str">
        <f t="shared" si="7"/>
        <v>cans</v>
      </c>
      <c r="V42" s="6">
        <f t="shared" si="8"/>
        <v>2</v>
      </c>
      <c r="W42" s="6" t="str">
        <f t="shared" si="9"/>
        <v>T064445 7</v>
      </c>
      <c r="X42" s="6" t="str">
        <f t="shared" si="17"/>
        <v>S55343</v>
      </c>
      <c r="Y42" s="6" t="str">
        <f t="shared" si="10"/>
        <v>T06</v>
      </c>
      <c r="Z42" s="6" t="str">
        <f t="shared" si="11"/>
        <v>445</v>
      </c>
      <c r="AA42" s="6">
        <f t="shared" si="21"/>
        <v>2</v>
      </c>
      <c r="AB42" s="6">
        <f t="shared" si="12"/>
        <v>4</v>
      </c>
      <c r="AC42" s="6"/>
      <c r="AD42" s="23"/>
      <c r="AE42" s="12" t="s">
        <v>459</v>
      </c>
    </row>
    <row r="43" spans="1:31" ht="30" x14ac:dyDescent="0.25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>
        <v>6</v>
      </c>
      <c r="G43" s="2" t="s">
        <v>13</v>
      </c>
      <c r="H43" s="2">
        <v>45</v>
      </c>
      <c r="I43" s="6">
        <f t="shared" si="13"/>
        <v>270</v>
      </c>
      <c r="J43" s="6">
        <f t="shared" si="22"/>
        <v>22</v>
      </c>
      <c r="K43" s="6">
        <f t="shared" si="23"/>
        <v>22</v>
      </c>
      <c r="L43" s="6">
        <f t="shared" si="16"/>
        <v>3042</v>
      </c>
      <c r="M43" s="6">
        <f t="shared" si="24"/>
        <v>155</v>
      </c>
      <c r="N43" s="6" t="b">
        <f t="shared" si="1"/>
        <v>1</v>
      </c>
      <c r="O43" s="6" t="b">
        <f t="shared" si="20"/>
        <v>1</v>
      </c>
      <c r="P43" s="6" t="str">
        <f t="shared" si="2"/>
        <v>C004163-ct</v>
      </c>
      <c r="Q43" s="7" t="str">
        <f t="shared" si="3"/>
        <v>T04044
6</v>
      </c>
      <c r="R43" s="6" t="b">
        <f t="shared" si="4"/>
        <v>0</v>
      </c>
      <c r="S43" s="6" t="str">
        <f t="shared" si="5"/>
        <v>12</v>
      </c>
      <c r="T43" s="6" t="str">
        <f t="shared" si="6"/>
        <v>CT</v>
      </c>
      <c r="U43" s="6" t="str">
        <f t="shared" si="7"/>
        <v>ct</v>
      </c>
      <c r="V43" s="6">
        <f t="shared" si="8"/>
        <v>2</v>
      </c>
      <c r="W43" s="6" t="str">
        <f t="shared" si="9"/>
        <v>T04044 6</v>
      </c>
      <c r="X43" s="6" t="str">
        <f t="shared" si="17"/>
        <v>S5579</v>
      </c>
      <c r="Y43" s="6" t="str">
        <f t="shared" si="10"/>
        <v>T04</v>
      </c>
      <c r="Z43" s="6" t="str">
        <f t="shared" si="11"/>
        <v>044</v>
      </c>
      <c r="AA43" s="6">
        <f t="shared" si="21"/>
        <v>2</v>
      </c>
      <c r="AB43" s="6">
        <f t="shared" si="12"/>
        <v>2</v>
      </c>
      <c r="AC43" s="6"/>
      <c r="AD43" s="23"/>
      <c r="AE43" s="12" t="s">
        <v>283</v>
      </c>
    </row>
    <row r="44" spans="1:31" ht="30" x14ac:dyDescent="0.25">
      <c r="A44" s="2" t="s">
        <v>173</v>
      </c>
      <c r="B44" s="2" t="s">
        <v>214</v>
      </c>
      <c r="C44" s="2" t="s">
        <v>215</v>
      </c>
      <c r="D44" s="2" t="s">
        <v>216</v>
      </c>
      <c r="E44" s="2" t="s">
        <v>217</v>
      </c>
      <c r="F44" s="2">
        <v>5</v>
      </c>
      <c r="G44" s="2" t="s">
        <v>13</v>
      </c>
      <c r="H44" s="2">
        <v>17</v>
      </c>
      <c r="I44" s="6">
        <f t="shared" si="13"/>
        <v>85</v>
      </c>
      <c r="J44" s="6">
        <f t="shared" si="22"/>
        <v>258</v>
      </c>
      <c r="K44" s="6">
        <f t="shared" si="23"/>
        <v>257</v>
      </c>
      <c r="L44" s="6">
        <f t="shared" si="16"/>
        <v>2997</v>
      </c>
      <c r="M44" s="6">
        <f t="shared" si="24"/>
        <v>154</v>
      </c>
      <c r="N44" s="6" t="b">
        <f t="shared" si="1"/>
        <v>0</v>
      </c>
      <c r="O44" s="6" t="b">
        <f t="shared" si="20"/>
        <v>1</v>
      </c>
      <c r="P44" s="6" t="str">
        <f t="shared" si="2"/>
        <v>C008636-ct</v>
      </c>
      <c r="Q44" s="7" t="str">
        <f t="shared" si="3"/>
        <v>T086840
5</v>
      </c>
      <c r="R44" s="6" t="b">
        <f t="shared" si="4"/>
        <v>0</v>
      </c>
      <c r="S44" s="6" t="str">
        <f t="shared" si="5"/>
        <v>20</v>
      </c>
      <c r="T44" s="6" t="str">
        <f t="shared" si="6"/>
        <v>CT</v>
      </c>
      <c r="U44" s="6" t="str">
        <f t="shared" si="7"/>
        <v>ct</v>
      </c>
      <c r="V44" s="6">
        <f t="shared" si="8"/>
        <v>2</v>
      </c>
      <c r="W44" s="6" t="str">
        <f t="shared" si="9"/>
        <v>T086840 5</v>
      </c>
      <c r="X44" s="6" t="str">
        <f t="shared" si="17"/>
        <v>S55643</v>
      </c>
      <c r="Y44" s="6" t="str">
        <f t="shared" si="10"/>
        <v>T08</v>
      </c>
      <c r="Z44" s="6" t="str">
        <f t="shared" si="11"/>
        <v>840</v>
      </c>
      <c r="AA44" s="6">
        <f t="shared" si="21"/>
        <v>2</v>
      </c>
      <c r="AB44" s="6">
        <f t="shared" si="12"/>
        <v>2</v>
      </c>
      <c r="AC44" s="6"/>
      <c r="AD44" s="23"/>
    </row>
    <row r="45" spans="1:31" ht="30" x14ac:dyDescent="0.25">
      <c r="A45" s="2" t="s">
        <v>218</v>
      </c>
      <c r="B45" s="2" t="s">
        <v>219</v>
      </c>
      <c r="C45" s="2" t="s">
        <v>220</v>
      </c>
      <c r="D45" s="2" t="s">
        <v>221</v>
      </c>
      <c r="E45" s="2" t="s">
        <v>222</v>
      </c>
      <c r="F45" s="2">
        <v>11</v>
      </c>
      <c r="G45" s="2" t="s">
        <v>223</v>
      </c>
      <c r="H45" s="2">
        <v>19</v>
      </c>
      <c r="I45" s="6">
        <f t="shared" si="13"/>
        <v>209</v>
      </c>
      <c r="J45" s="6">
        <f t="shared" si="22"/>
        <v>42.5</v>
      </c>
      <c r="K45" s="6">
        <f t="shared" si="23"/>
        <v>42</v>
      </c>
      <c r="L45" s="6">
        <f t="shared" si="16"/>
        <v>38</v>
      </c>
      <c r="M45" s="6">
        <f t="shared" si="24"/>
        <v>2</v>
      </c>
      <c r="N45" s="6" t="b">
        <f t="shared" si="1"/>
        <v>0</v>
      </c>
      <c r="O45" s="6" t="b">
        <f t="shared" si="20"/>
        <v>1</v>
      </c>
      <c r="P45" s="6" t="str">
        <f t="shared" si="2"/>
        <v>C006607-cartons</v>
      </c>
      <c r="Q45" s="7" t="str">
        <f t="shared" si="3"/>
        <v>T096401
11</v>
      </c>
      <c r="R45" s="6" t="b">
        <f t="shared" si="4"/>
        <v>0</v>
      </c>
      <c r="S45" s="6" t="str">
        <f t="shared" si="5"/>
        <v>09</v>
      </c>
      <c r="T45" s="6" t="str">
        <f t="shared" si="6"/>
        <v>CARTONS</v>
      </c>
      <c r="U45" s="6" t="str">
        <f t="shared" si="7"/>
        <v>cartons</v>
      </c>
      <c r="V45" s="6">
        <f t="shared" si="8"/>
        <v>2</v>
      </c>
      <c r="W45" s="6" t="str">
        <f t="shared" si="9"/>
        <v>T096401 11</v>
      </c>
      <c r="X45" s="6" t="str">
        <f t="shared" si="17"/>
        <v>S55293</v>
      </c>
      <c r="Y45" s="6" t="str">
        <f t="shared" si="10"/>
        <v>T09</v>
      </c>
      <c r="Z45" s="6" t="str">
        <f t="shared" si="11"/>
        <v>401</v>
      </c>
      <c r="AA45" s="6">
        <f t="shared" si="21"/>
        <v>2</v>
      </c>
      <c r="AB45" s="6">
        <f t="shared" si="12"/>
        <v>7</v>
      </c>
      <c r="AC45" s="6"/>
      <c r="AD45" s="23"/>
    </row>
    <row r="46" spans="1:31" ht="30" x14ac:dyDescent="0.25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>
        <v>5</v>
      </c>
      <c r="G46" s="2" t="s">
        <v>13</v>
      </c>
      <c r="H46" s="2">
        <v>12</v>
      </c>
      <c r="I46" s="6">
        <f t="shared" si="13"/>
        <v>60</v>
      </c>
      <c r="J46" s="6">
        <f t="shared" si="22"/>
        <v>344.5</v>
      </c>
      <c r="K46" s="6">
        <f t="shared" si="23"/>
        <v>337</v>
      </c>
      <c r="L46" s="6">
        <f t="shared" si="16"/>
        <v>3018</v>
      </c>
      <c r="M46" s="6">
        <f t="shared" si="24"/>
        <v>155</v>
      </c>
      <c r="N46" s="6" t="b">
        <f t="shared" si="1"/>
        <v>0</v>
      </c>
      <c r="O46" s="6" t="b">
        <f t="shared" si="20"/>
        <v>1</v>
      </c>
      <c r="P46" s="6" t="str">
        <f t="shared" si="2"/>
        <v>C004785-ct</v>
      </c>
      <c r="Q46" s="7" t="str">
        <f t="shared" si="3"/>
        <v>T027401
5</v>
      </c>
      <c r="R46" s="6" t="b">
        <f t="shared" si="4"/>
        <v>0</v>
      </c>
      <c r="S46" s="6" t="str">
        <f t="shared" si="5"/>
        <v>21</v>
      </c>
      <c r="T46" s="6" t="str">
        <f t="shared" si="6"/>
        <v>CT</v>
      </c>
      <c r="U46" s="6" t="str">
        <f t="shared" si="7"/>
        <v>ct</v>
      </c>
      <c r="V46" s="6">
        <f t="shared" si="8"/>
        <v>2</v>
      </c>
      <c r="W46" s="6" t="str">
        <f t="shared" si="9"/>
        <v>T027401 5</v>
      </c>
      <c r="X46" s="6" t="str">
        <f t="shared" si="17"/>
        <v>S55716</v>
      </c>
      <c r="Y46" s="6" t="str">
        <f t="shared" si="10"/>
        <v>T02</v>
      </c>
      <c r="Z46" s="6" t="str">
        <f t="shared" si="11"/>
        <v>401</v>
      </c>
      <c r="AA46" s="6">
        <f t="shared" si="21"/>
        <v>2</v>
      </c>
      <c r="AB46" s="6">
        <f t="shared" si="12"/>
        <v>2</v>
      </c>
      <c r="AC46" s="6"/>
      <c r="AD46" s="23"/>
    </row>
    <row r="47" spans="1:31" ht="30" x14ac:dyDescent="0.25">
      <c r="A47" s="2" t="s">
        <v>20</v>
      </c>
      <c r="B47" s="2" t="s">
        <v>229</v>
      </c>
      <c r="C47" s="2" t="s">
        <v>230</v>
      </c>
      <c r="D47" s="2" t="s">
        <v>160</v>
      </c>
      <c r="E47" s="2" t="s">
        <v>75</v>
      </c>
      <c r="F47" s="2">
        <v>1</v>
      </c>
      <c r="G47" s="2" t="s">
        <v>60</v>
      </c>
      <c r="H47" s="2">
        <v>20</v>
      </c>
      <c r="I47" s="6">
        <f t="shared" si="13"/>
        <v>20</v>
      </c>
      <c r="J47" s="6">
        <f t="shared" si="22"/>
        <v>464</v>
      </c>
      <c r="K47" s="6">
        <f t="shared" si="23"/>
        <v>462</v>
      </c>
      <c r="L47" s="6">
        <f t="shared" si="16"/>
        <v>981</v>
      </c>
      <c r="M47" s="6">
        <f t="shared" si="24"/>
        <v>54</v>
      </c>
      <c r="N47" s="6" t="b">
        <f t="shared" si="1"/>
        <v>0</v>
      </c>
      <c r="O47" s="6" t="b">
        <f t="shared" si="20"/>
        <v>1</v>
      </c>
      <c r="P47" s="6" t="str">
        <f t="shared" si="2"/>
        <v>C007584-bottles</v>
      </c>
      <c r="Q47" s="7" t="str">
        <f t="shared" si="3"/>
        <v>T097121
1</v>
      </c>
      <c r="R47" s="6" t="b">
        <f t="shared" si="4"/>
        <v>0</v>
      </c>
      <c r="S47" s="6" t="str">
        <f t="shared" si="5"/>
        <v>06</v>
      </c>
      <c r="T47" s="6" t="str">
        <f t="shared" si="6"/>
        <v>BOTTLES</v>
      </c>
      <c r="U47" s="6" t="str">
        <f t="shared" si="7"/>
        <v>bottles</v>
      </c>
      <c r="V47" s="6">
        <f t="shared" si="8"/>
        <v>2</v>
      </c>
      <c r="W47" s="6" t="str">
        <f t="shared" si="9"/>
        <v>T097121 1</v>
      </c>
      <c r="X47" s="6" t="str">
        <f t="shared" si="17"/>
        <v>S55164</v>
      </c>
      <c r="Y47" s="6" t="str">
        <f t="shared" si="10"/>
        <v>T09</v>
      </c>
      <c r="Z47" s="6" t="str">
        <f t="shared" si="11"/>
        <v>121</v>
      </c>
      <c r="AA47" s="6">
        <f t="shared" si="21"/>
        <v>2</v>
      </c>
      <c r="AB47" s="6">
        <f t="shared" si="12"/>
        <v>7</v>
      </c>
      <c r="AC47" s="6"/>
      <c r="AD47" s="23"/>
    </row>
    <row r="48" spans="1:31" ht="30" x14ac:dyDescent="0.25">
      <c r="A48" s="2" t="s">
        <v>125</v>
      </c>
      <c r="B48" s="2" t="s">
        <v>231</v>
      </c>
      <c r="C48" s="2" t="s">
        <v>232</v>
      </c>
      <c r="D48" s="2" t="s">
        <v>233</v>
      </c>
      <c r="E48" s="2" t="s">
        <v>234</v>
      </c>
      <c r="F48" s="2">
        <v>8</v>
      </c>
      <c r="G48" s="2" t="s">
        <v>35</v>
      </c>
      <c r="H48" s="2">
        <v>6.75</v>
      </c>
      <c r="I48" s="6">
        <f t="shared" si="13"/>
        <v>54</v>
      </c>
      <c r="J48" s="6">
        <f t="shared" si="22"/>
        <v>366.5</v>
      </c>
      <c r="K48" s="6">
        <f t="shared" si="23"/>
        <v>365</v>
      </c>
      <c r="L48" s="6">
        <f t="shared" si="16"/>
        <v>1492.75</v>
      </c>
      <c r="M48" s="6">
        <f t="shared" si="24"/>
        <v>86</v>
      </c>
      <c r="N48" s="6" t="b">
        <f t="shared" si="1"/>
        <v>0</v>
      </c>
      <c r="O48" s="6" t="b">
        <f t="shared" si="20"/>
        <v>1</v>
      </c>
      <c r="P48" s="6" t="str">
        <f t="shared" si="2"/>
        <v>C000794-cans</v>
      </c>
      <c r="Q48" s="7" t="str">
        <f t="shared" si="3"/>
        <v>T061460
8</v>
      </c>
      <c r="R48" s="6" t="b">
        <f t="shared" si="4"/>
        <v>0</v>
      </c>
      <c r="S48" s="6" t="str">
        <f t="shared" si="5"/>
        <v>00</v>
      </c>
      <c r="T48" s="6" t="str">
        <f t="shared" si="6"/>
        <v>CANS</v>
      </c>
      <c r="U48" s="6" t="str">
        <f t="shared" si="7"/>
        <v>cans</v>
      </c>
      <c r="V48" s="6">
        <f t="shared" si="8"/>
        <v>2</v>
      </c>
      <c r="W48" s="6" t="str">
        <f t="shared" si="9"/>
        <v>T061460 8</v>
      </c>
      <c r="X48" s="6" t="str">
        <f t="shared" si="17"/>
        <v>S55654</v>
      </c>
      <c r="Y48" s="6" t="str">
        <f t="shared" si="10"/>
        <v>T06</v>
      </c>
      <c r="Z48" s="6" t="str">
        <f t="shared" si="11"/>
        <v>460</v>
      </c>
      <c r="AA48" s="6">
        <f t="shared" si="21"/>
        <v>2</v>
      </c>
      <c r="AB48" s="6">
        <f t="shared" si="12"/>
        <v>4</v>
      </c>
      <c r="AC48" s="6"/>
      <c r="AD48" s="23"/>
    </row>
    <row r="49" spans="1:30" ht="30" x14ac:dyDescent="0.25">
      <c r="A49" s="2" t="s">
        <v>55</v>
      </c>
      <c r="B49" s="2" t="s">
        <v>235</v>
      </c>
      <c r="C49" s="2" t="s">
        <v>236</v>
      </c>
      <c r="D49" s="2" t="s">
        <v>237</v>
      </c>
      <c r="E49" s="2" t="s">
        <v>238</v>
      </c>
      <c r="F49" s="2">
        <v>4</v>
      </c>
      <c r="G49" s="2" t="s">
        <v>239</v>
      </c>
      <c r="H49" s="2">
        <v>15</v>
      </c>
      <c r="I49" s="6">
        <f t="shared" si="13"/>
        <v>60</v>
      </c>
      <c r="J49" s="6">
        <f t="shared" si="22"/>
        <v>344.5</v>
      </c>
      <c r="K49" s="6">
        <f t="shared" si="23"/>
        <v>337</v>
      </c>
      <c r="L49" s="6">
        <f t="shared" si="16"/>
        <v>60</v>
      </c>
      <c r="M49" s="6">
        <f t="shared" si="24"/>
        <v>4</v>
      </c>
      <c r="N49" s="6" t="b">
        <f t="shared" si="1"/>
        <v>0</v>
      </c>
      <c r="O49" s="6" t="b">
        <f t="shared" si="20"/>
        <v>1</v>
      </c>
      <c r="P49" s="6" t="str">
        <f t="shared" si="2"/>
        <v>C006515-lb</v>
      </c>
      <c r="Q49" s="7" t="str">
        <f t="shared" si="3"/>
        <v>T070970
4</v>
      </c>
      <c r="R49" s="6" t="b">
        <f t="shared" si="4"/>
        <v>0</v>
      </c>
      <c r="S49" s="6" t="str">
        <f t="shared" si="5"/>
        <v>22</v>
      </c>
      <c r="T49" s="6" t="str">
        <f t="shared" si="6"/>
        <v>LB</v>
      </c>
      <c r="U49" s="6" t="str">
        <f t="shared" si="7"/>
        <v>lb</v>
      </c>
      <c r="V49" s="6">
        <f t="shared" si="8"/>
        <v>2</v>
      </c>
      <c r="W49" s="6" t="str">
        <f t="shared" si="9"/>
        <v>T070970 4</v>
      </c>
      <c r="X49" s="6" t="str">
        <f t="shared" si="17"/>
        <v>S55582</v>
      </c>
      <c r="Y49" s="6" t="str">
        <f t="shared" si="10"/>
        <v>T07</v>
      </c>
      <c r="Z49" s="6" t="str">
        <f t="shared" si="11"/>
        <v>970</v>
      </c>
      <c r="AA49" s="6">
        <f t="shared" si="21"/>
        <v>2</v>
      </c>
      <c r="AB49" s="6">
        <f t="shared" si="12"/>
        <v>2</v>
      </c>
      <c r="AC49" s="6"/>
      <c r="AD49" s="23"/>
    </row>
    <row r="50" spans="1:30" ht="30" x14ac:dyDescent="0.25">
      <c r="A50" s="2" t="s">
        <v>240</v>
      </c>
      <c r="B50" s="2" t="s">
        <v>241</v>
      </c>
      <c r="C50" s="2" t="s">
        <v>242</v>
      </c>
      <c r="D50" s="2" t="s">
        <v>243</v>
      </c>
      <c r="E50" s="2" t="s">
        <v>244</v>
      </c>
      <c r="F50" s="2">
        <v>10</v>
      </c>
      <c r="G50" s="2" t="s">
        <v>245</v>
      </c>
      <c r="H50" s="2">
        <v>12</v>
      </c>
      <c r="I50" s="6">
        <f t="shared" si="13"/>
        <v>120</v>
      </c>
      <c r="J50" s="6">
        <f t="shared" si="22"/>
        <v>169.5</v>
      </c>
      <c r="K50" s="6">
        <f t="shared" si="23"/>
        <v>162</v>
      </c>
      <c r="L50" s="6">
        <f t="shared" si="16"/>
        <v>36</v>
      </c>
      <c r="M50" s="6">
        <f t="shared" si="24"/>
        <v>3</v>
      </c>
      <c r="N50" s="6" t="b">
        <f t="shared" si="1"/>
        <v>0</v>
      </c>
      <c r="O50" s="6" t="b">
        <f t="shared" si="20"/>
        <v>1</v>
      </c>
      <c r="P50" s="6" t="str">
        <f t="shared" si="2"/>
        <v>C006654-tins</v>
      </c>
      <c r="Q50" s="7" t="str">
        <f t="shared" si="3"/>
        <v>T094539
10</v>
      </c>
      <c r="R50" s="6" t="b">
        <f t="shared" si="4"/>
        <v>0</v>
      </c>
      <c r="S50" s="6" t="str">
        <f t="shared" si="5"/>
        <v>23</v>
      </c>
      <c r="T50" s="6" t="str">
        <f t="shared" si="6"/>
        <v>TINS</v>
      </c>
      <c r="U50" s="6" t="str">
        <f t="shared" si="7"/>
        <v>tins</v>
      </c>
      <c r="V50" s="6">
        <f t="shared" si="8"/>
        <v>2</v>
      </c>
      <c r="W50" s="6" t="str">
        <f t="shared" si="9"/>
        <v>T094539 10</v>
      </c>
      <c r="X50" s="6" t="str">
        <f t="shared" si="17"/>
        <v>S55169</v>
      </c>
      <c r="Y50" s="6" t="str">
        <f t="shared" si="10"/>
        <v>T09</v>
      </c>
      <c r="Z50" s="6" t="str">
        <f t="shared" si="11"/>
        <v>539</v>
      </c>
      <c r="AA50" s="6">
        <f t="shared" si="21"/>
        <v>2</v>
      </c>
      <c r="AB50" s="6">
        <f t="shared" si="12"/>
        <v>4</v>
      </c>
      <c r="AC50" s="6"/>
      <c r="AD50" s="23"/>
    </row>
    <row r="51" spans="1:30" ht="30" x14ac:dyDescent="0.25">
      <c r="A51" s="2" t="s">
        <v>187</v>
      </c>
      <c r="B51" s="2" t="s">
        <v>246</v>
      </c>
      <c r="C51" s="2" t="s">
        <v>247</v>
      </c>
      <c r="D51" s="2" t="s">
        <v>248</v>
      </c>
      <c r="E51" s="2" t="s">
        <v>249</v>
      </c>
      <c r="F51" s="2">
        <v>3</v>
      </c>
      <c r="G51" s="2" t="s">
        <v>13</v>
      </c>
      <c r="H51" s="2">
        <v>24</v>
      </c>
      <c r="I51" s="6">
        <f t="shared" si="13"/>
        <v>72</v>
      </c>
      <c r="J51" s="6">
        <f t="shared" si="22"/>
        <v>295.5</v>
      </c>
      <c r="K51" s="6">
        <f t="shared" si="23"/>
        <v>292</v>
      </c>
      <c r="L51" s="6">
        <f t="shared" si="16"/>
        <v>3006</v>
      </c>
      <c r="M51" s="6">
        <f t="shared" si="24"/>
        <v>154</v>
      </c>
      <c r="N51" s="6" t="b">
        <f t="shared" si="1"/>
        <v>1</v>
      </c>
      <c r="O51" s="6" t="b">
        <f t="shared" si="20"/>
        <v>1</v>
      </c>
      <c r="P51" s="6" t="str">
        <f t="shared" si="2"/>
        <v>C004238-ct</v>
      </c>
      <c r="Q51" s="7" t="str">
        <f t="shared" si="3"/>
        <v>T043327
3</v>
      </c>
      <c r="R51" s="6" t="b">
        <f t="shared" si="4"/>
        <v>0</v>
      </c>
      <c r="S51" s="6" t="str">
        <f t="shared" si="5"/>
        <v>19</v>
      </c>
      <c r="T51" s="6" t="str">
        <f t="shared" si="6"/>
        <v>CT</v>
      </c>
      <c r="U51" s="6" t="str">
        <f t="shared" si="7"/>
        <v>ct</v>
      </c>
      <c r="V51" s="6">
        <f t="shared" si="8"/>
        <v>2</v>
      </c>
      <c r="W51" s="6" t="str">
        <f t="shared" si="9"/>
        <v>T043327 3</v>
      </c>
      <c r="X51" s="6" t="str">
        <f t="shared" si="17"/>
        <v>S5543</v>
      </c>
      <c r="Y51" s="6" t="str">
        <f t="shared" si="10"/>
        <v>T04</v>
      </c>
      <c r="Z51" s="6" t="str">
        <f t="shared" si="11"/>
        <v>327</v>
      </c>
      <c r="AA51" s="6">
        <f t="shared" si="21"/>
        <v>2</v>
      </c>
      <c r="AB51" s="6">
        <f t="shared" si="12"/>
        <v>2</v>
      </c>
      <c r="AC51" s="6"/>
      <c r="AD51" s="23"/>
    </row>
    <row r="52" spans="1:30" ht="30" x14ac:dyDescent="0.25">
      <c r="A52" s="2" t="s">
        <v>125</v>
      </c>
      <c r="B52" s="2" t="s">
        <v>250</v>
      </c>
      <c r="C52" s="2" t="s">
        <v>251</v>
      </c>
      <c r="D52" s="2" t="s">
        <v>252</v>
      </c>
      <c r="E52" s="2" t="s">
        <v>253</v>
      </c>
      <c r="F52" s="2">
        <v>1</v>
      </c>
      <c r="G52" s="2" t="s">
        <v>35</v>
      </c>
      <c r="H52" s="2">
        <v>6.75</v>
      </c>
      <c r="I52" s="6">
        <f t="shared" si="13"/>
        <v>6.75</v>
      </c>
      <c r="J52" s="6">
        <f t="shared" si="22"/>
        <v>494</v>
      </c>
      <c r="K52" s="6">
        <f t="shared" si="23"/>
        <v>493</v>
      </c>
      <c r="L52" s="6">
        <f t="shared" si="16"/>
        <v>1509</v>
      </c>
      <c r="M52" s="6">
        <f t="shared" si="24"/>
        <v>87</v>
      </c>
      <c r="N52" s="6" t="b">
        <f t="shared" si="1"/>
        <v>0</v>
      </c>
      <c r="O52" s="6" t="b">
        <f t="shared" si="20"/>
        <v>1</v>
      </c>
      <c r="P52" s="6" t="str">
        <f t="shared" si="2"/>
        <v>C005911-cans</v>
      </c>
      <c r="Q52" s="7" t="str">
        <f t="shared" si="3"/>
        <v>T047958
1</v>
      </c>
      <c r="R52" s="6" t="b">
        <f t="shared" si="4"/>
        <v>0</v>
      </c>
      <c r="S52" s="6" t="str">
        <f t="shared" si="5"/>
        <v>00</v>
      </c>
      <c r="T52" s="6" t="str">
        <f t="shared" si="6"/>
        <v>CANS</v>
      </c>
      <c r="U52" s="6" t="str">
        <f t="shared" si="7"/>
        <v>cans</v>
      </c>
      <c r="V52" s="6">
        <f t="shared" si="8"/>
        <v>2</v>
      </c>
      <c r="W52" s="6" t="str">
        <f t="shared" si="9"/>
        <v>T047958 1</v>
      </c>
      <c r="X52" s="6" t="str">
        <f t="shared" si="17"/>
        <v>S55155</v>
      </c>
      <c r="Y52" s="6" t="str">
        <f t="shared" si="10"/>
        <v>T04</v>
      </c>
      <c r="Z52" s="6" t="str">
        <f t="shared" si="11"/>
        <v>958</v>
      </c>
      <c r="AA52" s="6">
        <f t="shared" si="21"/>
        <v>2</v>
      </c>
      <c r="AB52" s="6">
        <f t="shared" si="12"/>
        <v>4</v>
      </c>
      <c r="AC52" s="6"/>
      <c r="AD52" s="23"/>
    </row>
    <row r="53" spans="1:30" ht="30" x14ac:dyDescent="0.25">
      <c r="A53" s="2" t="s">
        <v>224</v>
      </c>
      <c r="B53" s="2" t="s">
        <v>254</v>
      </c>
      <c r="C53" s="2" t="s">
        <v>255</v>
      </c>
      <c r="D53" s="2" t="s">
        <v>252</v>
      </c>
      <c r="E53" s="2" t="s">
        <v>256</v>
      </c>
      <c r="F53" s="2">
        <v>10</v>
      </c>
      <c r="G53" s="2" t="s">
        <v>35</v>
      </c>
      <c r="H53" s="2">
        <v>6.75</v>
      </c>
      <c r="I53" s="6">
        <f t="shared" si="13"/>
        <v>67.5</v>
      </c>
      <c r="J53" s="6">
        <f t="shared" si="22"/>
        <v>311.5</v>
      </c>
      <c r="K53" s="6">
        <f t="shared" si="23"/>
        <v>309</v>
      </c>
      <c r="L53" s="6">
        <f t="shared" si="16"/>
        <v>1513.75</v>
      </c>
      <c r="M53" s="6">
        <f t="shared" si="24"/>
        <v>87</v>
      </c>
      <c r="N53" s="6" t="b">
        <f t="shared" si="1"/>
        <v>0</v>
      </c>
      <c r="O53" s="6" t="b">
        <f t="shared" si="20"/>
        <v>0</v>
      </c>
      <c r="P53" s="6" t="str">
        <f t="shared" si="2"/>
        <v>C002711-cans</v>
      </c>
      <c r="Q53" s="7" t="str">
        <f t="shared" si="3"/>
        <v>T099187
10</v>
      </c>
      <c r="R53" s="6" t="b">
        <f t="shared" si="4"/>
        <v>0</v>
      </c>
      <c r="S53" s="6" t="str">
        <f t="shared" si="5"/>
        <v>00</v>
      </c>
      <c r="T53" s="6" t="str">
        <f t="shared" si="6"/>
        <v>CANS</v>
      </c>
      <c r="U53" s="6" t="str">
        <f t="shared" si="7"/>
        <v>cans</v>
      </c>
      <c r="V53" s="6">
        <f t="shared" si="8"/>
        <v>2</v>
      </c>
      <c r="W53" s="6" t="str">
        <f t="shared" si="9"/>
        <v>T099187 10</v>
      </c>
      <c r="X53" s="6" t="str">
        <f t="shared" si="17"/>
        <v>S55291</v>
      </c>
      <c r="Y53" s="6" t="str">
        <f t="shared" si="10"/>
        <v>T09</v>
      </c>
      <c r="Z53" s="6" t="str">
        <f t="shared" si="11"/>
        <v>187</v>
      </c>
      <c r="AA53" s="6">
        <f t="shared" si="21"/>
        <v>2</v>
      </c>
      <c r="AB53" s="6">
        <f t="shared" si="12"/>
        <v>4</v>
      </c>
      <c r="AC53" s="6"/>
      <c r="AD53" s="23"/>
    </row>
    <row r="54" spans="1:30" ht="30" x14ac:dyDescent="0.25">
      <c r="A54" s="2" t="s">
        <v>137</v>
      </c>
      <c r="B54" s="2" t="s">
        <v>257</v>
      </c>
      <c r="C54" s="2" t="s">
        <v>258</v>
      </c>
      <c r="D54" s="2" t="s">
        <v>259</v>
      </c>
      <c r="E54" s="2" t="s">
        <v>260</v>
      </c>
      <c r="F54" s="2">
        <v>4</v>
      </c>
      <c r="G54" s="2" t="s">
        <v>106</v>
      </c>
      <c r="H54" s="2">
        <v>17</v>
      </c>
      <c r="I54" s="6">
        <f t="shared" si="13"/>
        <v>68</v>
      </c>
      <c r="J54" s="6">
        <f t="shared" si="22"/>
        <v>306</v>
      </c>
      <c r="K54" s="6">
        <f t="shared" si="23"/>
        <v>304</v>
      </c>
      <c r="L54" s="6">
        <f t="shared" si="16"/>
        <v>421</v>
      </c>
      <c r="M54" s="6">
        <f t="shared" si="24"/>
        <v>25</v>
      </c>
      <c r="N54" s="6" t="b">
        <f t="shared" si="1"/>
        <v>0</v>
      </c>
      <c r="O54" s="6" t="b">
        <f t="shared" si="20"/>
        <v>1</v>
      </c>
      <c r="P54" s="6" t="str">
        <f t="shared" si="2"/>
        <v>C002588-bags</v>
      </c>
      <c r="Q54" s="7" t="str">
        <f t="shared" si="3"/>
        <v>T067143
4</v>
      </c>
      <c r="R54" s="6" t="b">
        <f t="shared" si="4"/>
        <v>0</v>
      </c>
      <c r="S54" s="6" t="str">
        <f t="shared" si="5"/>
        <v>15</v>
      </c>
      <c r="T54" s="6" t="str">
        <f t="shared" si="6"/>
        <v>BAGS</v>
      </c>
      <c r="U54" s="6" t="str">
        <f t="shared" si="7"/>
        <v>bags</v>
      </c>
      <c r="V54" s="6">
        <f t="shared" si="8"/>
        <v>2</v>
      </c>
      <c r="W54" s="6" t="str">
        <f t="shared" si="9"/>
        <v>T067143 4</v>
      </c>
      <c r="X54" s="6" t="str">
        <f t="shared" si="17"/>
        <v>S55416</v>
      </c>
      <c r="Y54" s="6" t="str">
        <f t="shared" si="10"/>
        <v>T06</v>
      </c>
      <c r="Z54" s="6" t="str">
        <f t="shared" si="11"/>
        <v>143</v>
      </c>
      <c r="AA54" s="6">
        <f t="shared" si="21"/>
        <v>2</v>
      </c>
      <c r="AB54" s="6">
        <f t="shared" si="12"/>
        <v>4</v>
      </c>
      <c r="AC54" s="6"/>
      <c r="AD54" s="23"/>
    </row>
    <row r="55" spans="1:30" ht="30" x14ac:dyDescent="0.25">
      <c r="A55" s="2" t="s">
        <v>162</v>
      </c>
      <c r="B55" s="2" t="s">
        <v>261</v>
      </c>
      <c r="C55" s="2" t="s">
        <v>262</v>
      </c>
      <c r="D55" s="2" t="s">
        <v>263</v>
      </c>
      <c r="E55" s="2" t="s">
        <v>264</v>
      </c>
      <c r="F55" s="2">
        <v>9</v>
      </c>
      <c r="G55" s="2" t="s">
        <v>13</v>
      </c>
      <c r="H55" s="2">
        <v>14</v>
      </c>
      <c r="I55" s="6">
        <f t="shared" si="13"/>
        <v>126</v>
      </c>
      <c r="J55" s="6">
        <f t="shared" si="22"/>
        <v>157</v>
      </c>
      <c r="K55" s="6">
        <f t="shared" si="23"/>
        <v>154</v>
      </c>
      <c r="L55" s="6">
        <f t="shared" si="16"/>
        <v>3011</v>
      </c>
      <c r="M55" s="6">
        <f t="shared" si="24"/>
        <v>154</v>
      </c>
      <c r="N55" s="6" t="b">
        <f t="shared" si="1"/>
        <v>0</v>
      </c>
      <c r="O55" s="6" t="b">
        <f t="shared" si="20"/>
        <v>1</v>
      </c>
      <c r="P55" s="6" t="str">
        <f t="shared" si="2"/>
        <v>C001376-ct</v>
      </c>
      <c r="Q55" s="7" t="str">
        <f t="shared" si="3"/>
        <v>T095018
9</v>
      </c>
      <c r="R55" s="6" t="b">
        <f t="shared" si="4"/>
        <v>0</v>
      </c>
      <c r="S55" s="6" t="str">
        <f t="shared" si="5"/>
        <v>24</v>
      </c>
      <c r="T55" s="6" t="str">
        <f t="shared" si="6"/>
        <v>CT</v>
      </c>
      <c r="U55" s="6" t="str">
        <f t="shared" si="7"/>
        <v>ct</v>
      </c>
      <c r="V55" s="6">
        <f t="shared" si="8"/>
        <v>2</v>
      </c>
      <c r="W55" s="6" t="str">
        <f t="shared" si="9"/>
        <v>T095018 9</v>
      </c>
      <c r="X55" s="6" t="str">
        <f t="shared" si="17"/>
        <v>S55483</v>
      </c>
      <c r="Y55" s="6" t="str">
        <f t="shared" si="10"/>
        <v>T09</v>
      </c>
      <c r="Z55" s="6" t="str">
        <f t="shared" si="11"/>
        <v>018</v>
      </c>
      <c r="AA55" s="6">
        <f t="shared" si="21"/>
        <v>2</v>
      </c>
      <c r="AB55" s="6">
        <f t="shared" si="12"/>
        <v>2</v>
      </c>
      <c r="AC55" s="6"/>
      <c r="AD55" s="23"/>
    </row>
    <row r="56" spans="1:30" ht="30" x14ac:dyDescent="0.25">
      <c r="A56" s="2" t="s">
        <v>25</v>
      </c>
      <c r="B56" s="2" t="s">
        <v>335</v>
      </c>
      <c r="C56" s="2" t="s">
        <v>336</v>
      </c>
      <c r="D56" s="2" t="s">
        <v>337</v>
      </c>
      <c r="E56" s="2" t="s">
        <v>338</v>
      </c>
      <c r="F56" s="2">
        <v>3</v>
      </c>
      <c r="G56" s="2" t="s">
        <v>35</v>
      </c>
      <c r="H56" s="2">
        <v>6.75</v>
      </c>
      <c r="I56" s="6">
        <f t="shared" si="13"/>
        <v>20.25</v>
      </c>
      <c r="J56" s="6">
        <f t="shared" si="22"/>
        <v>459.5</v>
      </c>
      <c r="K56" s="6">
        <f t="shared" si="23"/>
        <v>458</v>
      </c>
      <c r="L56" s="6">
        <f t="shared" si="16"/>
        <v>1531.75</v>
      </c>
      <c r="M56" s="6">
        <f t="shared" si="24"/>
        <v>88</v>
      </c>
      <c r="N56" s="6" t="b">
        <f t="shared" si="1"/>
        <v>0</v>
      </c>
      <c r="O56" s="6" t="b">
        <f t="shared" si="20"/>
        <v>1</v>
      </c>
      <c r="P56" s="6" t="str">
        <f t="shared" si="2"/>
        <v>C005655-cans</v>
      </c>
      <c r="Q56" s="7" t="str">
        <f t="shared" si="3"/>
        <v>T013343
3</v>
      </c>
      <c r="R56" s="6" t="b">
        <f t="shared" si="4"/>
        <v>0</v>
      </c>
      <c r="S56" s="6" t="str">
        <f t="shared" si="5"/>
        <v>02</v>
      </c>
      <c r="T56" s="6" t="str">
        <f t="shared" si="6"/>
        <v>CANS</v>
      </c>
      <c r="U56" s="6" t="str">
        <f t="shared" si="7"/>
        <v>cans</v>
      </c>
      <c r="V56" s="6">
        <f t="shared" si="8"/>
        <v>2</v>
      </c>
      <c r="W56" s="6" t="str">
        <f t="shared" si="9"/>
        <v>T013343 3</v>
      </c>
      <c r="X56" s="6" t="str">
        <f t="shared" si="17"/>
        <v>S5545</v>
      </c>
      <c r="Y56" s="6" t="str">
        <f t="shared" si="10"/>
        <v>T01</v>
      </c>
      <c r="Z56" s="6" t="str">
        <f t="shared" si="11"/>
        <v>343</v>
      </c>
      <c r="AA56" s="6">
        <f t="shared" si="21"/>
        <v>2</v>
      </c>
      <c r="AB56" s="6">
        <f t="shared" si="12"/>
        <v>4</v>
      </c>
      <c r="AC56" s="6"/>
      <c r="AD56" s="23"/>
    </row>
    <row r="57" spans="1:30" ht="30" x14ac:dyDescent="0.25">
      <c r="A57" s="2" t="s">
        <v>339</v>
      </c>
      <c r="B57" s="2" t="s">
        <v>340</v>
      </c>
      <c r="C57" s="2" t="s">
        <v>341</v>
      </c>
      <c r="D57" s="2" t="s">
        <v>119</v>
      </c>
      <c r="E57" s="2" t="s">
        <v>342</v>
      </c>
      <c r="F57" s="2">
        <v>9</v>
      </c>
      <c r="G57" s="2" t="s">
        <v>106</v>
      </c>
      <c r="H57" s="2">
        <v>17</v>
      </c>
      <c r="I57" s="6">
        <f t="shared" si="13"/>
        <v>153</v>
      </c>
      <c r="J57" s="6">
        <f t="shared" si="22"/>
        <v>105.5</v>
      </c>
      <c r="K57" s="6">
        <f t="shared" si="23"/>
        <v>103</v>
      </c>
      <c r="L57" s="6">
        <f t="shared" si="16"/>
        <v>421</v>
      </c>
      <c r="M57" s="6">
        <f t="shared" si="24"/>
        <v>25</v>
      </c>
      <c r="N57" s="6" t="b">
        <f t="shared" si="1"/>
        <v>0</v>
      </c>
      <c r="O57" s="6" t="b">
        <f t="shared" si="20"/>
        <v>1</v>
      </c>
      <c r="P57" s="6" t="str">
        <f t="shared" si="2"/>
        <v>C000616-bags</v>
      </c>
      <c r="Q57" s="7" t="str">
        <f t="shared" si="3"/>
        <v>T046239
9</v>
      </c>
      <c r="R57" s="6" t="b">
        <f t="shared" si="4"/>
        <v>0</v>
      </c>
      <c r="S57" s="6" t="str">
        <f t="shared" si="5"/>
        <v>15</v>
      </c>
      <c r="T57" s="6" t="str">
        <f t="shared" si="6"/>
        <v>BAGS</v>
      </c>
      <c r="U57" s="6" t="str">
        <f t="shared" si="7"/>
        <v>bags</v>
      </c>
      <c r="V57" s="6">
        <f t="shared" si="8"/>
        <v>2</v>
      </c>
      <c r="W57" s="6" t="str">
        <f t="shared" si="9"/>
        <v>T046239 9</v>
      </c>
      <c r="X57" s="6" t="str">
        <f t="shared" si="17"/>
        <v>S55754</v>
      </c>
      <c r="Y57" s="6" t="str">
        <f t="shared" si="10"/>
        <v>T04</v>
      </c>
      <c r="Z57" s="6" t="str">
        <f t="shared" si="11"/>
        <v>239</v>
      </c>
      <c r="AA57" s="6">
        <f t="shared" si="21"/>
        <v>2</v>
      </c>
      <c r="AB57" s="6">
        <f t="shared" si="12"/>
        <v>4</v>
      </c>
      <c r="AC57" s="6"/>
      <c r="AD57" s="23"/>
    </row>
    <row r="58" spans="1:30" ht="30" x14ac:dyDescent="0.25">
      <c r="A58" s="2" t="s">
        <v>187</v>
      </c>
      <c r="B58" s="2" t="s">
        <v>343</v>
      </c>
      <c r="C58" s="2" t="s">
        <v>344</v>
      </c>
      <c r="D58" s="2" t="s">
        <v>94</v>
      </c>
      <c r="E58" s="2" t="s">
        <v>345</v>
      </c>
      <c r="F58" s="2">
        <v>11</v>
      </c>
      <c r="G58" s="2" t="s">
        <v>13</v>
      </c>
      <c r="H58" s="2">
        <v>16</v>
      </c>
      <c r="I58" s="6">
        <f t="shared" si="13"/>
        <v>176</v>
      </c>
      <c r="J58" s="6">
        <f t="shared" si="22"/>
        <v>67</v>
      </c>
      <c r="K58" s="6">
        <f t="shared" si="23"/>
        <v>65</v>
      </c>
      <c r="L58" s="6">
        <f t="shared" si="16"/>
        <v>2997</v>
      </c>
      <c r="M58" s="6">
        <f t="shared" si="24"/>
        <v>153</v>
      </c>
      <c r="N58" s="6" t="b">
        <f t="shared" si="1"/>
        <v>0</v>
      </c>
      <c r="O58" s="6" t="b">
        <f t="shared" si="20"/>
        <v>1</v>
      </c>
      <c r="P58" s="6" t="str">
        <f t="shared" si="2"/>
        <v>C006210-ct</v>
      </c>
      <c r="Q58" s="7" t="str">
        <f t="shared" si="3"/>
        <v>T012085
11</v>
      </c>
      <c r="R58" s="6" t="b">
        <f t="shared" si="4"/>
        <v>0</v>
      </c>
      <c r="S58" s="6" t="str">
        <f t="shared" si="5"/>
        <v>23</v>
      </c>
      <c r="T58" s="6" t="str">
        <f t="shared" si="6"/>
        <v>CT</v>
      </c>
      <c r="U58" s="6" t="str">
        <f t="shared" si="7"/>
        <v>ct</v>
      </c>
      <c r="V58" s="6">
        <f t="shared" si="8"/>
        <v>2</v>
      </c>
      <c r="W58" s="6" t="str">
        <f t="shared" si="9"/>
        <v>T012085 11</v>
      </c>
      <c r="X58" s="6" t="str">
        <f t="shared" si="17"/>
        <v>S55389</v>
      </c>
      <c r="Y58" s="6" t="str">
        <f t="shared" si="10"/>
        <v>T01</v>
      </c>
      <c r="Z58" s="6" t="str">
        <f t="shared" si="11"/>
        <v>085</v>
      </c>
      <c r="AA58" s="6">
        <f t="shared" si="21"/>
        <v>2</v>
      </c>
      <c r="AB58" s="6">
        <f t="shared" si="12"/>
        <v>2</v>
      </c>
      <c r="AC58" s="6"/>
      <c r="AD58" s="23"/>
    </row>
    <row r="59" spans="1:30" ht="30" x14ac:dyDescent="0.25">
      <c r="A59" s="2" t="s">
        <v>30</v>
      </c>
      <c r="B59" s="2" t="s">
        <v>346</v>
      </c>
      <c r="C59" s="2" t="s">
        <v>347</v>
      </c>
      <c r="D59" s="2" t="s">
        <v>348</v>
      </c>
      <c r="E59" s="2" t="s">
        <v>349</v>
      </c>
      <c r="F59" s="2">
        <v>7</v>
      </c>
      <c r="G59" s="2" t="s">
        <v>35</v>
      </c>
      <c r="H59" s="2">
        <v>16</v>
      </c>
      <c r="I59" s="6">
        <f t="shared" si="13"/>
        <v>112</v>
      </c>
      <c r="J59" s="6">
        <f t="shared" si="22"/>
        <v>188.5</v>
      </c>
      <c r="K59" s="6">
        <f t="shared" si="23"/>
        <v>186</v>
      </c>
      <c r="L59" s="6">
        <f t="shared" si="16"/>
        <v>1531.75</v>
      </c>
      <c r="M59" s="6">
        <f t="shared" si="24"/>
        <v>88</v>
      </c>
      <c r="N59" s="6" t="b">
        <f t="shared" si="1"/>
        <v>0</v>
      </c>
      <c r="O59" s="6" t="b">
        <f t="shared" si="20"/>
        <v>1</v>
      </c>
      <c r="P59" s="6" t="str">
        <f t="shared" si="2"/>
        <v>C005781-cans</v>
      </c>
      <c r="Q59" s="7" t="str">
        <f t="shared" si="3"/>
        <v>T089241
7</v>
      </c>
      <c r="R59" s="6" t="b">
        <f t="shared" si="4"/>
        <v>0</v>
      </c>
      <c r="S59" s="6" t="str">
        <f t="shared" si="5"/>
        <v>03</v>
      </c>
      <c r="T59" s="6" t="str">
        <f t="shared" si="6"/>
        <v>CANS</v>
      </c>
      <c r="U59" s="6" t="str">
        <f t="shared" si="7"/>
        <v>cans</v>
      </c>
      <c r="V59" s="6">
        <f t="shared" si="8"/>
        <v>2</v>
      </c>
      <c r="W59" s="6" t="str">
        <f t="shared" si="9"/>
        <v>T089241 7</v>
      </c>
      <c r="X59" s="6" t="str">
        <f t="shared" si="17"/>
        <v>S55362</v>
      </c>
      <c r="Y59" s="6" t="str">
        <f t="shared" si="10"/>
        <v>T08</v>
      </c>
      <c r="Z59" s="6" t="str">
        <f t="shared" si="11"/>
        <v>241</v>
      </c>
      <c r="AA59" s="6">
        <f t="shared" si="21"/>
        <v>2</v>
      </c>
      <c r="AB59" s="6">
        <f t="shared" si="12"/>
        <v>4</v>
      </c>
      <c r="AC59" s="6"/>
      <c r="AD59" s="23"/>
    </row>
    <row r="60" spans="1:30" ht="30" x14ac:dyDescent="0.25">
      <c r="A60" s="2" t="s">
        <v>173</v>
      </c>
      <c r="B60" s="2" t="s">
        <v>350</v>
      </c>
      <c r="C60" s="2" t="s">
        <v>351</v>
      </c>
      <c r="D60" s="2" t="s">
        <v>212</v>
      </c>
      <c r="E60" s="2" t="s">
        <v>228</v>
      </c>
      <c r="F60" s="2">
        <v>2</v>
      </c>
      <c r="G60" s="2" t="s">
        <v>13</v>
      </c>
      <c r="H60" s="2">
        <v>45</v>
      </c>
      <c r="I60" s="6">
        <f t="shared" si="13"/>
        <v>90</v>
      </c>
      <c r="J60" s="6">
        <f t="shared" si="22"/>
        <v>245</v>
      </c>
      <c r="K60" s="6">
        <f t="shared" si="23"/>
        <v>239</v>
      </c>
      <c r="L60" s="6">
        <f t="shared" si="16"/>
        <v>3000.5</v>
      </c>
      <c r="M60" s="6">
        <f t="shared" si="24"/>
        <v>153</v>
      </c>
      <c r="N60" s="6" t="b">
        <f t="shared" si="1"/>
        <v>1</v>
      </c>
      <c r="O60" s="6" t="b">
        <f t="shared" si="20"/>
        <v>1</v>
      </c>
      <c r="P60" s="6" t="str">
        <f t="shared" si="2"/>
        <v>C000769-ct</v>
      </c>
      <c r="Q60" s="7" t="str">
        <f t="shared" si="3"/>
        <v>T048488
2</v>
      </c>
      <c r="R60" s="6" t="b">
        <f t="shared" si="4"/>
        <v>0</v>
      </c>
      <c r="S60" s="6" t="str">
        <f t="shared" si="5"/>
        <v>12</v>
      </c>
      <c r="T60" s="6" t="str">
        <f t="shared" si="6"/>
        <v>CT</v>
      </c>
      <c r="U60" s="6" t="str">
        <f t="shared" si="7"/>
        <v>ct</v>
      </c>
      <c r="V60" s="6">
        <f t="shared" si="8"/>
        <v>2</v>
      </c>
      <c r="W60" s="6" t="str">
        <f t="shared" si="9"/>
        <v>T048488 2</v>
      </c>
      <c r="X60" s="6" t="str">
        <f t="shared" si="17"/>
        <v>S55716</v>
      </c>
      <c r="Y60" s="6" t="str">
        <f t="shared" si="10"/>
        <v>T04</v>
      </c>
      <c r="Z60" s="6" t="str">
        <f t="shared" si="11"/>
        <v>488</v>
      </c>
      <c r="AA60" s="6">
        <f t="shared" si="21"/>
        <v>2</v>
      </c>
      <c r="AB60" s="6">
        <f t="shared" si="12"/>
        <v>2</v>
      </c>
      <c r="AC60" s="6"/>
      <c r="AD60" s="23"/>
    </row>
    <row r="61" spans="1:30" ht="30" x14ac:dyDescent="0.25">
      <c r="A61" s="2" t="s">
        <v>55</v>
      </c>
      <c r="B61" s="2" t="s">
        <v>352</v>
      </c>
      <c r="C61" s="2" t="s">
        <v>353</v>
      </c>
      <c r="D61" s="2" t="s">
        <v>354</v>
      </c>
      <c r="E61" s="2" t="s">
        <v>355</v>
      </c>
      <c r="F61" s="2">
        <v>3</v>
      </c>
      <c r="G61" s="2" t="s">
        <v>167</v>
      </c>
      <c r="H61" s="2">
        <v>17</v>
      </c>
      <c r="I61" s="6">
        <f t="shared" si="13"/>
        <v>51</v>
      </c>
      <c r="J61" s="6">
        <f t="shared" si="22"/>
        <v>374</v>
      </c>
      <c r="K61" s="6">
        <f t="shared" si="23"/>
        <v>373</v>
      </c>
      <c r="L61" s="6">
        <f t="shared" si="16"/>
        <v>475</v>
      </c>
      <c r="M61" s="6">
        <f t="shared" si="24"/>
        <v>30</v>
      </c>
      <c r="N61" s="6" t="b">
        <f t="shared" si="1"/>
        <v>0</v>
      </c>
      <c r="O61" s="6" t="b">
        <f t="shared" si="20"/>
        <v>1</v>
      </c>
      <c r="P61" s="6" t="str">
        <f t="shared" si="2"/>
        <v>C005135-oz</v>
      </c>
      <c r="Q61" s="7" t="str">
        <f t="shared" si="3"/>
        <v>T012987
3</v>
      </c>
      <c r="R61" s="6" t="b">
        <f t="shared" si="4"/>
        <v>0</v>
      </c>
      <c r="S61" s="6" t="str">
        <f t="shared" si="5"/>
        <v>10</v>
      </c>
      <c r="T61" s="6" t="str">
        <f t="shared" si="6"/>
        <v>OZ</v>
      </c>
      <c r="U61" s="6" t="str">
        <f t="shared" si="7"/>
        <v>oz</v>
      </c>
      <c r="V61" s="6">
        <f t="shared" si="8"/>
        <v>2</v>
      </c>
      <c r="W61" s="6" t="str">
        <f t="shared" si="9"/>
        <v>T012987 3</v>
      </c>
      <c r="X61" s="6" t="str">
        <f t="shared" si="17"/>
        <v>S55635</v>
      </c>
      <c r="Y61" s="6" t="str">
        <f t="shared" si="10"/>
        <v>T01</v>
      </c>
      <c r="Z61" s="6" t="str">
        <f t="shared" si="11"/>
        <v>987</v>
      </c>
      <c r="AA61" s="6">
        <f t="shared" si="21"/>
        <v>2</v>
      </c>
      <c r="AB61" s="6">
        <f t="shared" si="12"/>
        <v>2</v>
      </c>
      <c r="AC61" s="6"/>
      <c r="AD61" s="23"/>
    </row>
    <row r="62" spans="1:30" ht="30" x14ac:dyDescent="0.25">
      <c r="A62" s="2" t="s">
        <v>91</v>
      </c>
      <c r="B62" s="2" t="s">
        <v>356</v>
      </c>
      <c r="C62" s="2" t="s">
        <v>357</v>
      </c>
      <c r="D62" s="2" t="s">
        <v>330</v>
      </c>
      <c r="E62" s="2" t="s">
        <v>358</v>
      </c>
      <c r="F62" s="2">
        <v>9</v>
      </c>
      <c r="G62" s="2" t="s">
        <v>13</v>
      </c>
      <c r="H62" s="2">
        <v>17</v>
      </c>
      <c r="I62" s="6">
        <f t="shared" si="13"/>
        <v>153</v>
      </c>
      <c r="J62" s="6">
        <f t="shared" si="22"/>
        <v>105.5</v>
      </c>
      <c r="K62" s="6">
        <f t="shared" si="23"/>
        <v>103</v>
      </c>
      <c r="L62" s="6">
        <f t="shared" si="16"/>
        <v>2970.5</v>
      </c>
      <c r="M62" s="6">
        <f t="shared" si="24"/>
        <v>153</v>
      </c>
      <c r="N62" s="6" t="b">
        <f t="shared" si="1"/>
        <v>0</v>
      </c>
      <c r="O62" s="6" t="b">
        <f t="shared" si="20"/>
        <v>1</v>
      </c>
      <c r="P62" s="6" t="str">
        <f t="shared" si="2"/>
        <v>C001614-ct</v>
      </c>
      <c r="Q62" s="7" t="str">
        <f t="shared" si="3"/>
        <v>T073649
9</v>
      </c>
      <c r="R62" s="6" t="b">
        <f t="shared" si="4"/>
        <v>0</v>
      </c>
      <c r="S62" s="6" t="str">
        <f t="shared" si="5"/>
        <v>12</v>
      </c>
      <c r="T62" s="6" t="str">
        <f t="shared" si="6"/>
        <v>CT</v>
      </c>
      <c r="U62" s="6" t="str">
        <f t="shared" si="7"/>
        <v>ct</v>
      </c>
      <c r="V62" s="6">
        <f t="shared" si="8"/>
        <v>2</v>
      </c>
      <c r="W62" s="6" t="str">
        <f t="shared" si="9"/>
        <v>T073649 9</v>
      </c>
      <c r="X62" s="6" t="str">
        <f t="shared" si="17"/>
        <v>S55518</v>
      </c>
      <c r="Y62" s="6" t="str">
        <f t="shared" si="10"/>
        <v>T07</v>
      </c>
      <c r="Z62" s="6" t="str">
        <f t="shared" si="11"/>
        <v>649</v>
      </c>
      <c r="AA62" s="6">
        <f t="shared" si="21"/>
        <v>2</v>
      </c>
      <c r="AB62" s="6">
        <f t="shared" si="12"/>
        <v>2</v>
      </c>
      <c r="AC62" s="6"/>
      <c r="AD62" s="23"/>
    </row>
    <row r="63" spans="1:30" ht="30" x14ac:dyDescent="0.25">
      <c r="A63" s="2" t="s">
        <v>359</v>
      </c>
      <c r="B63" s="2" t="s">
        <v>360</v>
      </c>
      <c r="C63" s="2" t="s">
        <v>361</v>
      </c>
      <c r="D63" s="2" t="s">
        <v>362</v>
      </c>
      <c r="E63" s="2" t="s">
        <v>363</v>
      </c>
      <c r="F63" s="2">
        <v>1</v>
      </c>
      <c r="G63" s="2" t="s">
        <v>13</v>
      </c>
      <c r="H63" s="2">
        <v>24</v>
      </c>
      <c r="I63" s="6">
        <f t="shared" si="13"/>
        <v>24</v>
      </c>
      <c r="J63" s="6">
        <f t="shared" si="22"/>
        <v>453</v>
      </c>
      <c r="K63" s="6">
        <f t="shared" si="23"/>
        <v>451</v>
      </c>
      <c r="L63" s="6">
        <f t="shared" si="16"/>
        <v>2966.5</v>
      </c>
      <c r="M63" s="6">
        <f t="shared" si="24"/>
        <v>153</v>
      </c>
      <c r="N63" s="6" t="b">
        <f t="shared" si="1"/>
        <v>1</v>
      </c>
      <c r="O63" s="6" t="b">
        <f t="shared" si="20"/>
        <v>1</v>
      </c>
      <c r="P63" s="6" t="str">
        <f t="shared" si="2"/>
        <v>C007507-ct</v>
      </c>
      <c r="Q63" s="7" t="str">
        <f t="shared" si="3"/>
        <v>T099848
1</v>
      </c>
      <c r="R63" s="6" t="b">
        <f t="shared" si="4"/>
        <v>0</v>
      </c>
      <c r="S63" s="6" t="str">
        <f t="shared" si="5"/>
        <v>13</v>
      </c>
      <c r="T63" s="6" t="str">
        <f t="shared" si="6"/>
        <v>CT</v>
      </c>
      <c r="U63" s="6" t="str">
        <f t="shared" si="7"/>
        <v>ct</v>
      </c>
      <c r="V63" s="6">
        <f t="shared" si="8"/>
        <v>2</v>
      </c>
      <c r="W63" s="6" t="str">
        <f t="shared" si="9"/>
        <v>T099848 1</v>
      </c>
      <c r="X63" s="6" t="str">
        <f t="shared" si="17"/>
        <v>S55591</v>
      </c>
      <c r="Y63" s="6" t="str">
        <f t="shared" si="10"/>
        <v>T09</v>
      </c>
      <c r="Z63" s="6" t="str">
        <f t="shared" si="11"/>
        <v>848</v>
      </c>
      <c r="AA63" s="6">
        <f t="shared" si="21"/>
        <v>2</v>
      </c>
      <c r="AB63" s="6">
        <f t="shared" si="12"/>
        <v>2</v>
      </c>
      <c r="AC63" s="6"/>
      <c r="AD63" s="23"/>
    </row>
    <row r="64" spans="1:30" ht="30" x14ac:dyDescent="0.25">
      <c r="A64" s="2" t="s">
        <v>25</v>
      </c>
      <c r="B64" s="2" t="s">
        <v>364</v>
      </c>
      <c r="C64" s="2" t="s">
        <v>365</v>
      </c>
      <c r="D64" s="2" t="s">
        <v>366</v>
      </c>
      <c r="E64" s="2" t="s">
        <v>367</v>
      </c>
      <c r="F64" s="2">
        <v>3</v>
      </c>
      <c r="G64" s="2" t="s">
        <v>60</v>
      </c>
      <c r="H64" s="2">
        <v>17.5</v>
      </c>
      <c r="I64" s="6">
        <f t="shared" si="13"/>
        <v>52.5</v>
      </c>
      <c r="J64" s="6">
        <f t="shared" si="22"/>
        <v>369</v>
      </c>
      <c r="K64" s="6">
        <f t="shared" si="23"/>
        <v>369</v>
      </c>
      <c r="L64" s="6">
        <f t="shared" si="16"/>
        <v>1005</v>
      </c>
      <c r="M64" s="6">
        <f t="shared" si="24"/>
        <v>55</v>
      </c>
      <c r="N64" s="6" t="b">
        <f t="shared" si="1"/>
        <v>0</v>
      </c>
      <c r="O64" s="6" t="b">
        <f t="shared" si="20"/>
        <v>1</v>
      </c>
      <c r="P64" s="6" t="str">
        <f t="shared" si="2"/>
        <v>C005973-bottles</v>
      </c>
      <c r="Q64" s="7" t="str">
        <f t="shared" si="3"/>
        <v>T035211
3</v>
      </c>
      <c r="R64" s="6" t="b">
        <f t="shared" si="4"/>
        <v>0</v>
      </c>
      <c r="S64" s="6" t="str">
        <f t="shared" si="5"/>
        <v>07</v>
      </c>
      <c r="T64" s="6" t="str">
        <f t="shared" si="6"/>
        <v>BOTTLES</v>
      </c>
      <c r="U64" s="6" t="str">
        <f t="shared" si="7"/>
        <v>bottles</v>
      </c>
      <c r="V64" s="6">
        <f t="shared" si="8"/>
        <v>2</v>
      </c>
      <c r="W64" s="6" t="str">
        <f t="shared" si="9"/>
        <v>T035211 3</v>
      </c>
      <c r="X64" s="6" t="str">
        <f t="shared" si="17"/>
        <v>S55143</v>
      </c>
      <c r="Y64" s="6" t="str">
        <f t="shared" si="10"/>
        <v>T03</v>
      </c>
      <c r="Z64" s="6" t="str">
        <f t="shared" si="11"/>
        <v>211</v>
      </c>
      <c r="AA64" s="6">
        <f t="shared" si="21"/>
        <v>2</v>
      </c>
      <c r="AB64" s="6">
        <f t="shared" si="12"/>
        <v>7</v>
      </c>
      <c r="AC64" s="6"/>
      <c r="AD64" s="23"/>
    </row>
    <row r="65" spans="1:30" ht="30" x14ac:dyDescent="0.25">
      <c r="A65" s="2" t="s">
        <v>339</v>
      </c>
      <c r="B65" s="2" t="s">
        <v>368</v>
      </c>
      <c r="C65" s="2" t="s">
        <v>369</v>
      </c>
      <c r="D65" s="2" t="s">
        <v>370</v>
      </c>
      <c r="E65" s="2" t="s">
        <v>371</v>
      </c>
      <c r="F65" s="2">
        <v>3</v>
      </c>
      <c r="G65" s="2" t="s">
        <v>167</v>
      </c>
      <c r="H65" s="2">
        <v>17</v>
      </c>
      <c r="I65" s="6">
        <f t="shared" si="13"/>
        <v>51</v>
      </c>
      <c r="J65" s="6">
        <f t="shared" si="22"/>
        <v>374</v>
      </c>
      <c r="K65" s="6">
        <f t="shared" si="23"/>
        <v>373</v>
      </c>
      <c r="L65" s="6">
        <f t="shared" si="16"/>
        <v>458</v>
      </c>
      <c r="M65" s="6">
        <f t="shared" si="24"/>
        <v>29</v>
      </c>
      <c r="N65" s="6" t="b">
        <f t="shared" si="1"/>
        <v>0</v>
      </c>
      <c r="O65" s="6" t="b">
        <f t="shared" si="20"/>
        <v>1</v>
      </c>
      <c r="P65" s="6" t="str">
        <f t="shared" si="2"/>
        <v>C009137-oz</v>
      </c>
      <c r="Q65" s="7" t="str">
        <f t="shared" si="3"/>
        <v>T052586
3</v>
      </c>
      <c r="R65" s="6" t="b">
        <f t="shared" si="4"/>
        <v>0</v>
      </c>
      <c r="S65" s="6" t="str">
        <f t="shared" si="5"/>
        <v>10</v>
      </c>
      <c r="T65" s="6" t="str">
        <f t="shared" si="6"/>
        <v>OZ</v>
      </c>
      <c r="U65" s="6" t="str">
        <f t="shared" si="7"/>
        <v>oz</v>
      </c>
      <c r="V65" s="6">
        <f t="shared" si="8"/>
        <v>2</v>
      </c>
      <c r="W65" s="6" t="str">
        <f t="shared" si="9"/>
        <v>T052586 3</v>
      </c>
      <c r="X65" s="6" t="str">
        <f t="shared" si="17"/>
        <v>S55378</v>
      </c>
      <c r="Y65" s="6" t="str">
        <f t="shared" si="10"/>
        <v>T05</v>
      </c>
      <c r="Z65" s="6" t="str">
        <f t="shared" si="11"/>
        <v>586</v>
      </c>
      <c r="AA65" s="6">
        <f t="shared" si="21"/>
        <v>2</v>
      </c>
      <c r="AB65" s="6">
        <f t="shared" si="12"/>
        <v>2</v>
      </c>
      <c r="AC65" s="6"/>
      <c r="AD65" s="23"/>
    </row>
    <row r="66" spans="1:30" ht="30" x14ac:dyDescent="0.25">
      <c r="A66" s="2" t="s">
        <v>218</v>
      </c>
      <c r="B66" s="2" t="s">
        <v>372</v>
      </c>
      <c r="C66" s="2" t="s">
        <v>373</v>
      </c>
      <c r="D66" s="2" t="s">
        <v>374</v>
      </c>
      <c r="E66" s="2" t="s">
        <v>375</v>
      </c>
      <c r="F66" s="2">
        <v>11</v>
      </c>
      <c r="G66" s="2" t="s">
        <v>60</v>
      </c>
      <c r="H66" s="2">
        <v>20</v>
      </c>
      <c r="I66" s="6">
        <f t="shared" si="13"/>
        <v>220</v>
      </c>
      <c r="J66" s="6">
        <f t="shared" si="22"/>
        <v>35</v>
      </c>
      <c r="K66" s="6">
        <f t="shared" si="23"/>
        <v>34</v>
      </c>
      <c r="L66" s="6">
        <f t="shared" si="16"/>
        <v>987.5</v>
      </c>
      <c r="M66" s="6">
        <f t="shared" si="24"/>
        <v>54</v>
      </c>
      <c r="N66" s="6" t="b">
        <f t="shared" si="1"/>
        <v>0</v>
      </c>
      <c r="O66" s="6" t="b">
        <f t="shared" si="20"/>
        <v>1</v>
      </c>
      <c r="P66" s="6" t="str">
        <f t="shared" si="2"/>
        <v>C001890-bottles</v>
      </c>
      <c r="Q66" s="7" t="str">
        <f t="shared" si="3"/>
        <v>T04692
11</v>
      </c>
      <c r="R66" s="6" t="b">
        <f t="shared" si="4"/>
        <v>0</v>
      </c>
      <c r="S66" s="6" t="str">
        <f t="shared" si="5"/>
        <v>07</v>
      </c>
      <c r="T66" s="6" t="str">
        <f t="shared" si="6"/>
        <v>BOTTLES</v>
      </c>
      <c r="U66" s="6" t="str">
        <f t="shared" si="7"/>
        <v>bottles</v>
      </c>
      <c r="V66" s="6">
        <f t="shared" si="8"/>
        <v>2</v>
      </c>
      <c r="W66" s="6" t="str">
        <f t="shared" si="9"/>
        <v>T04692 11</v>
      </c>
      <c r="X66" s="6" t="str">
        <f t="shared" si="17"/>
        <v>S55257</v>
      </c>
      <c r="Y66" s="6" t="str">
        <f t="shared" si="10"/>
        <v>T04</v>
      </c>
      <c r="Z66" s="6" t="str">
        <f t="shared" si="11"/>
        <v>692</v>
      </c>
      <c r="AA66" s="6">
        <f t="shared" si="21"/>
        <v>2</v>
      </c>
      <c r="AB66" s="6">
        <f t="shared" si="12"/>
        <v>7</v>
      </c>
      <c r="AC66" s="6"/>
      <c r="AD66" s="23"/>
    </row>
    <row r="67" spans="1:30" ht="30" x14ac:dyDescent="0.25">
      <c r="A67" s="2" t="s">
        <v>25</v>
      </c>
      <c r="B67" s="2" t="s">
        <v>376</v>
      </c>
      <c r="C67" s="2" t="s">
        <v>377</v>
      </c>
      <c r="D67" s="2" t="s">
        <v>378</v>
      </c>
      <c r="E67" s="2" t="s">
        <v>379</v>
      </c>
      <c r="F67" s="2">
        <v>9</v>
      </c>
      <c r="G67" s="2" t="s">
        <v>13</v>
      </c>
      <c r="H67" s="2">
        <v>33</v>
      </c>
      <c r="I67" s="6">
        <f t="shared" si="13"/>
        <v>297</v>
      </c>
      <c r="J67" s="6">
        <f t="shared" si="22"/>
        <v>19</v>
      </c>
      <c r="K67" s="6">
        <f t="shared" si="23"/>
        <v>19</v>
      </c>
      <c r="L67" s="6">
        <f t="shared" si="16"/>
        <v>2954.5</v>
      </c>
      <c r="M67" s="6">
        <f t="shared" si="24"/>
        <v>153</v>
      </c>
      <c r="N67" s="6" t="b">
        <f t="shared" si="1"/>
        <v>1</v>
      </c>
      <c r="O67" s="6" t="b">
        <f t="shared" si="20"/>
        <v>1</v>
      </c>
      <c r="P67" s="6" t="str">
        <f t="shared" si="2"/>
        <v>C005857-ct</v>
      </c>
      <c r="Q67" s="7" t="str">
        <f t="shared" si="3"/>
        <v>T079642
9</v>
      </c>
      <c r="R67" s="6" t="b">
        <f t="shared" si="4"/>
        <v>0</v>
      </c>
      <c r="S67" s="6" t="str">
        <f t="shared" si="5"/>
        <v>26</v>
      </c>
      <c r="T67" s="6" t="str">
        <f t="shared" si="6"/>
        <v>CT</v>
      </c>
      <c r="U67" s="6" t="str">
        <f t="shared" si="7"/>
        <v>ct</v>
      </c>
      <c r="V67" s="6">
        <f t="shared" si="8"/>
        <v>2</v>
      </c>
      <c r="W67" s="6" t="str">
        <f t="shared" si="9"/>
        <v>T079642 9</v>
      </c>
      <c r="X67" s="6" t="str">
        <f t="shared" si="17"/>
        <v>S55558</v>
      </c>
      <c r="Y67" s="6" t="str">
        <f t="shared" si="10"/>
        <v>T07</v>
      </c>
      <c r="Z67" s="6" t="str">
        <f t="shared" si="11"/>
        <v>642</v>
      </c>
      <c r="AA67" s="6">
        <f t="shared" si="21"/>
        <v>2</v>
      </c>
      <c r="AB67" s="6">
        <f t="shared" si="12"/>
        <v>2</v>
      </c>
      <c r="AC67" s="6"/>
      <c r="AD67" s="23"/>
    </row>
    <row r="68" spans="1:30" ht="30" x14ac:dyDescent="0.25">
      <c r="A68" s="2" t="s">
        <v>187</v>
      </c>
      <c r="B68" s="2" t="s">
        <v>380</v>
      </c>
      <c r="C68" s="2" t="s">
        <v>381</v>
      </c>
      <c r="D68" s="2" t="s">
        <v>156</v>
      </c>
      <c r="E68" s="2" t="s">
        <v>382</v>
      </c>
      <c r="F68" s="2">
        <v>3</v>
      </c>
      <c r="G68" s="2" t="s">
        <v>13</v>
      </c>
      <c r="H68" s="2">
        <v>16</v>
      </c>
      <c r="I68" s="6">
        <f t="shared" si="13"/>
        <v>48</v>
      </c>
      <c r="J68" s="6">
        <f t="shared" si="22"/>
        <v>382.5</v>
      </c>
      <c r="K68" s="6">
        <f t="shared" si="23"/>
        <v>379</v>
      </c>
      <c r="L68" s="6">
        <f t="shared" si="16"/>
        <v>2921.5</v>
      </c>
      <c r="M68" s="6">
        <f t="shared" si="24"/>
        <v>152</v>
      </c>
      <c r="N68" s="6" t="b">
        <f t="shared" si="1"/>
        <v>0</v>
      </c>
      <c r="O68" s="6" t="b">
        <f t="shared" si="20"/>
        <v>1</v>
      </c>
      <c r="P68" s="6" t="str">
        <f t="shared" si="2"/>
        <v>C001213-ct</v>
      </c>
      <c r="Q68" s="7" t="str">
        <f t="shared" si="3"/>
        <v>T088078
3</v>
      </c>
      <c r="R68" s="6" t="b">
        <f t="shared" si="4"/>
        <v>0</v>
      </c>
      <c r="S68" s="6" t="str">
        <f t="shared" si="5"/>
        <v>11</v>
      </c>
      <c r="T68" s="6" t="str">
        <f t="shared" si="6"/>
        <v>CT</v>
      </c>
      <c r="U68" s="6" t="str">
        <f t="shared" si="7"/>
        <v>ct</v>
      </c>
      <c r="V68" s="6">
        <f t="shared" si="8"/>
        <v>2</v>
      </c>
      <c r="W68" s="6" t="str">
        <f t="shared" si="9"/>
        <v>T088078 3</v>
      </c>
      <c r="X68" s="6" t="str">
        <f t="shared" si="17"/>
        <v>S55485</v>
      </c>
      <c r="Y68" s="6" t="str">
        <f t="shared" si="10"/>
        <v>T08</v>
      </c>
      <c r="Z68" s="6" t="str">
        <f t="shared" si="11"/>
        <v>078</v>
      </c>
      <c r="AA68" s="6">
        <f t="shared" si="21"/>
        <v>2</v>
      </c>
      <c r="AB68" s="6">
        <f t="shared" si="12"/>
        <v>2</v>
      </c>
      <c r="AC68" s="6"/>
      <c r="AD68" s="23"/>
    </row>
    <row r="69" spans="1:30" ht="30" x14ac:dyDescent="0.25">
      <c r="A69" s="2" t="s">
        <v>107</v>
      </c>
      <c r="B69" s="2" t="s">
        <v>383</v>
      </c>
      <c r="C69" s="2" t="s">
        <v>384</v>
      </c>
      <c r="D69" s="2" t="s">
        <v>385</v>
      </c>
      <c r="E69" s="2" t="s">
        <v>386</v>
      </c>
      <c r="F69" s="2">
        <v>7</v>
      </c>
      <c r="G69" s="2" t="s">
        <v>269</v>
      </c>
      <c r="H69" s="2">
        <v>14</v>
      </c>
      <c r="I69" s="6">
        <f t="shared" si="13"/>
        <v>98</v>
      </c>
      <c r="J69" s="6">
        <f t="shared" si="22"/>
        <v>221.5</v>
      </c>
      <c r="K69" s="6">
        <f t="shared" si="23"/>
        <v>221</v>
      </c>
      <c r="L69" s="6">
        <f t="shared" si="16"/>
        <v>231</v>
      </c>
      <c r="M69" s="6">
        <f t="shared" si="24"/>
        <v>17</v>
      </c>
      <c r="N69" s="6" t="b">
        <f t="shared" ref="N69:N132" si="25">AND(H69&gt;20,H69&lt;70)</f>
        <v>0</v>
      </c>
      <c r="O69" s="6" t="b">
        <f t="shared" si="20"/>
        <v>1</v>
      </c>
      <c r="P69" s="6" t="str">
        <f t="shared" ref="P69:P132" si="26">_xlfn.CONCAT(B69,"-",G69)</f>
        <v>C008426-ct.</v>
      </c>
      <c r="Q69" s="7" t="str">
        <f t="shared" ref="Q69:Q132" si="27">_xlfn.CONCAT(C69,CHAR(10),F69)</f>
        <v>T075777
7</v>
      </c>
      <c r="R69" s="6" t="b">
        <f t="shared" ref="R69:R132" si="28">EXACT(D69,E69)</f>
        <v>0</v>
      </c>
      <c r="S69" s="6" t="str">
        <f t="shared" ref="S69:S132" si="29">MID(D69,4,2)</f>
        <v>21</v>
      </c>
      <c r="T69" s="6" t="str">
        <f t="shared" ref="T69:T132" si="30">UPPER(G69)</f>
        <v>CT.</v>
      </c>
      <c r="U69" s="6" t="str">
        <f t="shared" ref="U69:U132" si="31">LOWER(G69)</f>
        <v>ct.</v>
      </c>
      <c r="V69" s="6">
        <f t="shared" ref="V69:V132" si="32">SEARCH("0",E69)</f>
        <v>2</v>
      </c>
      <c r="W69" s="6" t="str">
        <f t="shared" ref="W69:W132" si="33">_xlfn.TEXTJOIN(" ",TRUE,C69,F69)</f>
        <v>T075777 7</v>
      </c>
      <c r="X69" s="6" t="str">
        <f t="shared" ref="X69:X132" si="34">SUBSTITUTE(E69,"0","5")</f>
        <v>S55537</v>
      </c>
      <c r="Y69" s="6" t="str">
        <f t="shared" ref="Y69:Y132" si="35">LEFT(C69,3)</f>
        <v>T07</v>
      </c>
      <c r="Z69" s="6" t="str">
        <f t="shared" ref="Z69:Z132" si="36">RIGHT(C69,3)</f>
        <v>777</v>
      </c>
      <c r="AA69" s="6">
        <f t="shared" si="21"/>
        <v>2</v>
      </c>
      <c r="AB69" s="6">
        <f t="shared" ref="AB69:AB132" si="37">LEN(G69)</f>
        <v>3</v>
      </c>
      <c r="AC69" s="6"/>
      <c r="AD69" s="23"/>
    </row>
    <row r="70" spans="1:30" ht="30" x14ac:dyDescent="0.25">
      <c r="A70" s="2" t="s">
        <v>125</v>
      </c>
      <c r="B70" s="2" t="s">
        <v>387</v>
      </c>
      <c r="C70" s="2" t="s">
        <v>388</v>
      </c>
      <c r="D70" s="2" t="s">
        <v>389</v>
      </c>
      <c r="E70" s="2" t="s">
        <v>390</v>
      </c>
      <c r="F70" s="2">
        <v>3</v>
      </c>
      <c r="G70" s="2" t="s">
        <v>35</v>
      </c>
      <c r="H70" s="2">
        <v>6.75</v>
      </c>
      <c r="I70" s="6">
        <f t="shared" ref="I70:I133" si="38">$F70*H70</f>
        <v>20.25</v>
      </c>
      <c r="J70" s="6">
        <f t="shared" si="22"/>
        <v>459.5</v>
      </c>
      <c r="K70" s="6">
        <f t="shared" si="23"/>
        <v>458</v>
      </c>
      <c r="L70" s="6">
        <f t="shared" ref="L70:L133" si="39">SUMIF(G70:G482,G70,H70:H565)</f>
        <v>1522.5</v>
      </c>
      <c r="M70" s="6">
        <f t="shared" si="24"/>
        <v>88</v>
      </c>
      <c r="N70" s="6" t="b">
        <f t="shared" si="25"/>
        <v>0</v>
      </c>
      <c r="O70" s="6" t="b">
        <f t="shared" si="20"/>
        <v>1</v>
      </c>
      <c r="P70" s="6" t="str">
        <f t="shared" si="26"/>
        <v>C005265-cans</v>
      </c>
      <c r="Q70" s="7" t="str">
        <f t="shared" si="27"/>
        <v>T084200
3</v>
      </c>
      <c r="R70" s="6" t="b">
        <f t="shared" si="28"/>
        <v>0</v>
      </c>
      <c r="S70" s="6" t="str">
        <f t="shared" si="29"/>
        <v>01</v>
      </c>
      <c r="T70" s="6" t="str">
        <f t="shared" si="30"/>
        <v>CANS</v>
      </c>
      <c r="U70" s="6" t="str">
        <f t="shared" si="31"/>
        <v>cans</v>
      </c>
      <c r="V70" s="6">
        <f t="shared" si="32"/>
        <v>2</v>
      </c>
      <c r="W70" s="6" t="str">
        <f t="shared" si="33"/>
        <v>T084200 3</v>
      </c>
      <c r="X70" s="6" t="str">
        <f t="shared" si="34"/>
        <v>S5545</v>
      </c>
      <c r="Y70" s="6" t="str">
        <f t="shared" si="35"/>
        <v>T08</v>
      </c>
      <c r="Z70" s="6" t="str">
        <f t="shared" si="36"/>
        <v>200</v>
      </c>
      <c r="AA70" s="6">
        <f t="shared" si="21"/>
        <v>2</v>
      </c>
      <c r="AB70" s="6">
        <f t="shared" si="37"/>
        <v>4</v>
      </c>
      <c r="AC70" s="6"/>
      <c r="AD70" s="23"/>
    </row>
    <row r="71" spans="1:30" ht="30" x14ac:dyDescent="0.25">
      <c r="A71" s="2" t="s">
        <v>101</v>
      </c>
      <c r="B71" s="2" t="s">
        <v>391</v>
      </c>
      <c r="C71" s="2" t="s">
        <v>392</v>
      </c>
      <c r="D71" s="2" t="s">
        <v>393</v>
      </c>
      <c r="E71" s="2" t="s">
        <v>394</v>
      </c>
      <c r="F71" s="2">
        <v>8</v>
      </c>
      <c r="G71" s="2" t="s">
        <v>167</v>
      </c>
      <c r="H71" s="2">
        <v>15</v>
      </c>
      <c r="I71" s="6">
        <f t="shared" si="38"/>
        <v>120</v>
      </c>
      <c r="J71" s="6">
        <f t="shared" si="22"/>
        <v>169.5</v>
      </c>
      <c r="K71" s="6">
        <f t="shared" si="23"/>
        <v>162</v>
      </c>
      <c r="L71" s="6">
        <f t="shared" si="39"/>
        <v>441</v>
      </c>
      <c r="M71" s="6">
        <f t="shared" si="24"/>
        <v>28</v>
      </c>
      <c r="N71" s="6" t="b">
        <f t="shared" si="25"/>
        <v>0</v>
      </c>
      <c r="O71" s="6" t="b">
        <f t="shared" ref="O71:O134" si="40">OR(H71&gt;10,I71&lt;60)</f>
        <v>1</v>
      </c>
      <c r="P71" s="6" t="str">
        <f t="shared" si="26"/>
        <v>C007155-oz</v>
      </c>
      <c r="Q71" s="7" t="str">
        <f t="shared" si="27"/>
        <v>T015488
8</v>
      </c>
      <c r="R71" s="6" t="b">
        <f t="shared" si="28"/>
        <v>0</v>
      </c>
      <c r="S71" s="6" t="str">
        <f t="shared" si="29"/>
        <v>24</v>
      </c>
      <c r="T71" s="6" t="str">
        <f t="shared" si="30"/>
        <v>OZ</v>
      </c>
      <c r="U71" s="6" t="str">
        <f t="shared" si="31"/>
        <v>oz</v>
      </c>
      <c r="V71" s="6">
        <f t="shared" si="32"/>
        <v>2</v>
      </c>
      <c r="W71" s="6" t="str">
        <f t="shared" si="33"/>
        <v>T015488 8</v>
      </c>
      <c r="X71" s="6" t="str">
        <f t="shared" si="34"/>
        <v>S55372</v>
      </c>
      <c r="Y71" s="6" t="str">
        <f t="shared" si="35"/>
        <v>T01</v>
      </c>
      <c r="Z71" s="6" t="str">
        <f t="shared" si="36"/>
        <v>488</v>
      </c>
      <c r="AA71" s="6">
        <f t="shared" si="21"/>
        <v>2</v>
      </c>
      <c r="AB71" s="6">
        <f t="shared" si="37"/>
        <v>2</v>
      </c>
      <c r="AC71" s="6"/>
      <c r="AD71" s="23"/>
    </row>
    <row r="72" spans="1:30" ht="30" x14ac:dyDescent="0.25">
      <c r="A72" s="2" t="s">
        <v>168</v>
      </c>
      <c r="B72" s="2" t="s">
        <v>395</v>
      </c>
      <c r="C72" s="2" t="s">
        <v>396</v>
      </c>
      <c r="D72" s="2" t="s">
        <v>397</v>
      </c>
      <c r="E72" s="2" t="s">
        <v>398</v>
      </c>
      <c r="F72" s="2">
        <v>2</v>
      </c>
      <c r="G72" s="2" t="s">
        <v>35</v>
      </c>
      <c r="H72" s="2">
        <v>16.25</v>
      </c>
      <c r="I72" s="6">
        <f t="shared" si="38"/>
        <v>32.5</v>
      </c>
      <c r="J72" s="6">
        <f t="shared" si="22"/>
        <v>430.5</v>
      </c>
      <c r="K72" s="6">
        <f t="shared" si="23"/>
        <v>429</v>
      </c>
      <c r="L72" s="6">
        <f t="shared" si="39"/>
        <v>1515.75</v>
      </c>
      <c r="M72" s="6">
        <f t="shared" si="24"/>
        <v>87</v>
      </c>
      <c r="N72" s="6" t="b">
        <f t="shared" si="25"/>
        <v>0</v>
      </c>
      <c r="O72" s="6" t="b">
        <f t="shared" si="40"/>
        <v>1</v>
      </c>
      <c r="P72" s="6" t="str">
        <f t="shared" si="26"/>
        <v>C008945-cans</v>
      </c>
      <c r="Q72" s="7" t="str">
        <f t="shared" si="27"/>
        <v>T091863
2</v>
      </c>
      <c r="R72" s="6" t="b">
        <f t="shared" si="28"/>
        <v>0</v>
      </c>
      <c r="S72" s="6" t="str">
        <f t="shared" si="29"/>
        <v>00</v>
      </c>
      <c r="T72" s="6" t="str">
        <f t="shared" si="30"/>
        <v>CANS</v>
      </c>
      <c r="U72" s="6" t="str">
        <f t="shared" si="31"/>
        <v>cans</v>
      </c>
      <c r="V72" s="6">
        <f t="shared" si="32"/>
        <v>2</v>
      </c>
      <c r="W72" s="6" t="str">
        <f t="shared" si="33"/>
        <v>T091863 2</v>
      </c>
      <c r="X72" s="6" t="str">
        <f t="shared" si="34"/>
        <v>S55715</v>
      </c>
      <c r="Y72" s="6" t="str">
        <f t="shared" si="35"/>
        <v>T09</v>
      </c>
      <c r="Z72" s="6" t="str">
        <f t="shared" si="36"/>
        <v>863</v>
      </c>
      <c r="AA72" s="6">
        <f t="shared" ref="AA72:AA135" si="41">FIND("0",A72)</f>
        <v>2</v>
      </c>
      <c r="AB72" s="6">
        <f t="shared" si="37"/>
        <v>4</v>
      </c>
      <c r="AC72" s="6"/>
      <c r="AD72" s="23"/>
    </row>
    <row r="73" spans="1:30" ht="30" x14ac:dyDescent="0.25">
      <c r="A73" s="2" t="s">
        <v>146</v>
      </c>
      <c r="B73" s="2" t="s">
        <v>399</v>
      </c>
      <c r="C73" s="2" t="s">
        <v>400</v>
      </c>
      <c r="D73" s="2" t="s">
        <v>401</v>
      </c>
      <c r="E73" s="2" t="s">
        <v>111</v>
      </c>
      <c r="F73" s="2">
        <v>8</v>
      </c>
      <c r="G73" s="2" t="s">
        <v>402</v>
      </c>
      <c r="H73" s="2">
        <v>20</v>
      </c>
      <c r="I73" s="6">
        <f t="shared" si="38"/>
        <v>160</v>
      </c>
      <c r="J73" s="6">
        <f t="shared" si="22"/>
        <v>90.5</v>
      </c>
      <c r="K73" s="6">
        <f t="shared" si="23"/>
        <v>84</v>
      </c>
      <c r="L73" s="6">
        <f t="shared" si="39"/>
        <v>240</v>
      </c>
      <c r="M73" s="6">
        <f t="shared" si="24"/>
        <v>12</v>
      </c>
      <c r="N73" s="6" t="b">
        <f t="shared" si="25"/>
        <v>0</v>
      </c>
      <c r="O73" s="6" t="b">
        <f t="shared" si="40"/>
        <v>1</v>
      </c>
      <c r="P73" s="6" t="str">
        <f t="shared" si="26"/>
        <v>C006321-pack</v>
      </c>
      <c r="Q73" s="7" t="str">
        <f t="shared" si="27"/>
        <v>T075495
8</v>
      </c>
      <c r="R73" s="6" t="b">
        <f t="shared" si="28"/>
        <v>0</v>
      </c>
      <c r="S73" s="6" t="str">
        <f t="shared" si="29"/>
        <v>25</v>
      </c>
      <c r="T73" s="6" t="str">
        <f t="shared" si="30"/>
        <v>PACK</v>
      </c>
      <c r="U73" s="6" t="str">
        <f t="shared" si="31"/>
        <v>pack</v>
      </c>
      <c r="V73" s="6">
        <f t="shared" si="32"/>
        <v>2</v>
      </c>
      <c r="W73" s="6" t="str">
        <f t="shared" si="33"/>
        <v>T075495 8</v>
      </c>
      <c r="X73" s="6" t="str">
        <f t="shared" si="34"/>
        <v>S55455</v>
      </c>
      <c r="Y73" s="6" t="str">
        <f t="shared" si="35"/>
        <v>T07</v>
      </c>
      <c r="Z73" s="6" t="str">
        <f t="shared" si="36"/>
        <v>495</v>
      </c>
      <c r="AA73" s="6">
        <f t="shared" si="41"/>
        <v>2</v>
      </c>
      <c r="AB73" s="6">
        <f t="shared" si="37"/>
        <v>4</v>
      </c>
      <c r="AC73" s="6"/>
      <c r="AD73" s="23"/>
    </row>
    <row r="74" spans="1:30" ht="30" x14ac:dyDescent="0.25">
      <c r="A74" s="2" t="s">
        <v>218</v>
      </c>
      <c r="B74" s="2" t="s">
        <v>403</v>
      </c>
      <c r="C74" s="2" t="s">
        <v>404</v>
      </c>
      <c r="D74" s="2" t="s">
        <v>405</v>
      </c>
      <c r="E74" s="2" t="s">
        <v>406</v>
      </c>
      <c r="F74" s="2">
        <v>11</v>
      </c>
      <c r="G74" s="2" t="s">
        <v>407</v>
      </c>
      <c r="H74" s="2">
        <v>18</v>
      </c>
      <c r="I74" s="6">
        <f t="shared" si="38"/>
        <v>198</v>
      </c>
      <c r="J74" s="6">
        <f t="shared" si="22"/>
        <v>51</v>
      </c>
      <c r="K74" s="6">
        <f t="shared" si="23"/>
        <v>51</v>
      </c>
      <c r="L74" s="6">
        <f t="shared" si="39"/>
        <v>246.5</v>
      </c>
      <c r="M74" s="6">
        <f t="shared" si="24"/>
        <v>16</v>
      </c>
      <c r="N74" s="6" t="b">
        <f t="shared" si="25"/>
        <v>0</v>
      </c>
      <c r="O74" s="6" t="b">
        <f t="shared" si="40"/>
        <v>1</v>
      </c>
      <c r="P74" s="6" t="str">
        <f t="shared" si="26"/>
        <v>C000850-pk</v>
      </c>
      <c r="Q74" s="7" t="str">
        <f t="shared" si="27"/>
        <v>T023269
11</v>
      </c>
      <c r="R74" s="6" t="b">
        <f t="shared" si="28"/>
        <v>0</v>
      </c>
      <c r="S74" s="6" t="str">
        <f t="shared" si="29"/>
        <v>12</v>
      </c>
      <c r="T74" s="6" t="str">
        <f t="shared" si="30"/>
        <v>PK</v>
      </c>
      <c r="U74" s="6" t="str">
        <f t="shared" si="31"/>
        <v>pk</v>
      </c>
      <c r="V74" s="6">
        <f t="shared" si="32"/>
        <v>2</v>
      </c>
      <c r="W74" s="6" t="str">
        <f t="shared" si="33"/>
        <v>T023269 11</v>
      </c>
      <c r="X74" s="6" t="str">
        <f t="shared" si="34"/>
        <v>S55355</v>
      </c>
      <c r="Y74" s="6" t="str">
        <f t="shared" si="35"/>
        <v>T02</v>
      </c>
      <c r="Z74" s="6" t="str">
        <f t="shared" si="36"/>
        <v>269</v>
      </c>
      <c r="AA74" s="6">
        <f t="shared" si="41"/>
        <v>2</v>
      </c>
      <c r="AB74" s="6">
        <f t="shared" si="37"/>
        <v>2</v>
      </c>
      <c r="AC74" s="6"/>
      <c r="AD74" s="23"/>
    </row>
    <row r="75" spans="1:30" ht="30" x14ac:dyDescent="0.25">
      <c r="A75" s="2" t="s">
        <v>55</v>
      </c>
      <c r="B75" s="2" t="s">
        <v>408</v>
      </c>
      <c r="C75" s="2" t="s">
        <v>409</v>
      </c>
      <c r="D75" s="2" t="s">
        <v>410</v>
      </c>
      <c r="E75" s="2" t="s">
        <v>411</v>
      </c>
      <c r="F75" s="2">
        <v>4</v>
      </c>
      <c r="G75" s="2" t="s">
        <v>60</v>
      </c>
      <c r="H75" s="2">
        <v>24</v>
      </c>
      <c r="I75" s="6">
        <f t="shared" si="38"/>
        <v>96</v>
      </c>
      <c r="J75" s="6">
        <f t="shared" si="22"/>
        <v>231.5</v>
      </c>
      <c r="K75" s="6">
        <f t="shared" si="23"/>
        <v>228</v>
      </c>
      <c r="L75" s="6">
        <f t="shared" si="39"/>
        <v>996.5</v>
      </c>
      <c r="M75" s="6">
        <f t="shared" si="24"/>
        <v>55</v>
      </c>
      <c r="N75" s="6" t="b">
        <f t="shared" si="25"/>
        <v>1</v>
      </c>
      <c r="O75" s="6" t="b">
        <f t="shared" si="40"/>
        <v>1</v>
      </c>
      <c r="P75" s="6" t="str">
        <f t="shared" si="26"/>
        <v>C006253-bottles</v>
      </c>
      <c r="Q75" s="7" t="str">
        <f t="shared" si="27"/>
        <v>T038332
4</v>
      </c>
      <c r="R75" s="6" t="b">
        <f t="shared" si="28"/>
        <v>0</v>
      </c>
      <c r="S75" s="6" t="str">
        <f t="shared" si="29"/>
        <v>05</v>
      </c>
      <c r="T75" s="6" t="str">
        <f t="shared" si="30"/>
        <v>BOTTLES</v>
      </c>
      <c r="U75" s="6" t="str">
        <f t="shared" si="31"/>
        <v>bottles</v>
      </c>
      <c r="V75" s="6">
        <f t="shared" si="32"/>
        <v>2</v>
      </c>
      <c r="W75" s="6" t="str">
        <f t="shared" si="33"/>
        <v>T038332 4</v>
      </c>
      <c r="X75" s="6" t="str">
        <f t="shared" si="34"/>
        <v>S55256</v>
      </c>
      <c r="Y75" s="6" t="str">
        <f t="shared" si="35"/>
        <v>T03</v>
      </c>
      <c r="Z75" s="6" t="str">
        <f t="shared" si="36"/>
        <v>332</v>
      </c>
      <c r="AA75" s="6">
        <f t="shared" si="41"/>
        <v>2</v>
      </c>
      <c r="AB75" s="6">
        <f t="shared" si="37"/>
        <v>7</v>
      </c>
      <c r="AC75" s="6"/>
      <c r="AD75" s="23"/>
    </row>
    <row r="76" spans="1:30" ht="30" x14ac:dyDescent="0.25">
      <c r="A76" s="2" t="s">
        <v>121</v>
      </c>
      <c r="B76" s="2" t="s">
        <v>412</v>
      </c>
      <c r="C76" s="2" t="s">
        <v>413</v>
      </c>
      <c r="D76" s="2" t="s">
        <v>414</v>
      </c>
      <c r="E76" s="2" t="s">
        <v>415</v>
      </c>
      <c r="F76" s="2">
        <v>7</v>
      </c>
      <c r="G76" s="2" t="s">
        <v>407</v>
      </c>
      <c r="H76" s="2">
        <v>15</v>
      </c>
      <c r="I76" s="6">
        <f t="shared" si="38"/>
        <v>105</v>
      </c>
      <c r="J76" s="6">
        <f t="shared" ref="J76:J139" si="42">_xlfn.RANK.AVG(I76,$I$5:$I$500)</f>
        <v>202.5</v>
      </c>
      <c r="K76" s="6">
        <f t="shared" ref="K76:K139" si="43">_xlfn.RANK.EQ(I76,$I$5:$I$500)</f>
        <v>199</v>
      </c>
      <c r="L76" s="6">
        <f t="shared" si="39"/>
        <v>228.5</v>
      </c>
      <c r="M76" s="6">
        <f t="shared" ref="M76:M139" si="44">COUNTIF(G76:G488,G76)</f>
        <v>15</v>
      </c>
      <c r="N76" s="6" t="b">
        <f t="shared" si="25"/>
        <v>0</v>
      </c>
      <c r="O76" s="6" t="b">
        <f t="shared" si="40"/>
        <v>1</v>
      </c>
      <c r="P76" s="6" t="str">
        <f t="shared" si="26"/>
        <v>C001743-pk</v>
      </c>
      <c r="Q76" s="7" t="str">
        <f t="shared" si="27"/>
        <v>T080396
7</v>
      </c>
      <c r="R76" s="6" t="b">
        <f t="shared" si="28"/>
        <v>0</v>
      </c>
      <c r="S76" s="6" t="str">
        <f t="shared" si="29"/>
        <v>23</v>
      </c>
      <c r="T76" s="6" t="str">
        <f t="shared" si="30"/>
        <v>PK</v>
      </c>
      <c r="U76" s="6" t="str">
        <f t="shared" si="31"/>
        <v>pk</v>
      </c>
      <c r="V76" s="6">
        <f t="shared" si="32"/>
        <v>2</v>
      </c>
      <c r="W76" s="6" t="str">
        <f t="shared" si="33"/>
        <v>T080396 7</v>
      </c>
      <c r="X76" s="6" t="str">
        <f t="shared" si="34"/>
        <v>S55665</v>
      </c>
      <c r="Y76" s="6" t="str">
        <f t="shared" si="35"/>
        <v>T08</v>
      </c>
      <c r="Z76" s="6" t="str">
        <f t="shared" si="36"/>
        <v>396</v>
      </c>
      <c r="AA76" s="6">
        <f t="shared" si="41"/>
        <v>2</v>
      </c>
      <c r="AB76" s="6">
        <f t="shared" si="37"/>
        <v>2</v>
      </c>
      <c r="AC76" s="6"/>
      <c r="AD76" s="23"/>
    </row>
    <row r="77" spans="1:30" ht="30" x14ac:dyDescent="0.25">
      <c r="A77" s="2" t="s">
        <v>125</v>
      </c>
      <c r="B77" s="2" t="s">
        <v>416</v>
      </c>
      <c r="C77" s="2" t="s">
        <v>417</v>
      </c>
      <c r="D77" s="2" t="s">
        <v>181</v>
      </c>
      <c r="E77" s="2" t="s">
        <v>418</v>
      </c>
      <c r="F77" s="2">
        <v>11</v>
      </c>
      <c r="G77" s="2" t="s">
        <v>13</v>
      </c>
      <c r="H77" s="2">
        <v>6</v>
      </c>
      <c r="I77" s="6">
        <f t="shared" si="38"/>
        <v>66</v>
      </c>
      <c r="J77" s="6">
        <f t="shared" si="42"/>
        <v>317</v>
      </c>
      <c r="K77" s="6">
        <f t="shared" si="43"/>
        <v>315</v>
      </c>
      <c r="L77" s="6">
        <f t="shared" si="39"/>
        <v>2957.5</v>
      </c>
      <c r="M77" s="6">
        <f t="shared" si="44"/>
        <v>154</v>
      </c>
      <c r="N77" s="6" t="b">
        <f t="shared" si="25"/>
        <v>0</v>
      </c>
      <c r="O77" s="6" t="b">
        <f t="shared" si="40"/>
        <v>0</v>
      </c>
      <c r="P77" s="6" t="str">
        <f t="shared" si="26"/>
        <v>C004020-ct</v>
      </c>
      <c r="Q77" s="7" t="str">
        <f t="shared" si="27"/>
        <v>T038853
11</v>
      </c>
      <c r="R77" s="6" t="b">
        <f t="shared" si="28"/>
        <v>0</v>
      </c>
      <c r="S77" s="6" t="str">
        <f t="shared" si="29"/>
        <v>21</v>
      </c>
      <c r="T77" s="6" t="str">
        <f t="shared" si="30"/>
        <v>CT</v>
      </c>
      <c r="U77" s="6" t="str">
        <f t="shared" si="31"/>
        <v>ct</v>
      </c>
      <c r="V77" s="6">
        <f t="shared" si="32"/>
        <v>2</v>
      </c>
      <c r="W77" s="6" t="str">
        <f t="shared" si="33"/>
        <v>T038853 11</v>
      </c>
      <c r="X77" s="6" t="str">
        <f t="shared" si="34"/>
        <v>S55255</v>
      </c>
      <c r="Y77" s="6" t="str">
        <f t="shared" si="35"/>
        <v>T03</v>
      </c>
      <c r="Z77" s="6" t="str">
        <f t="shared" si="36"/>
        <v>853</v>
      </c>
      <c r="AA77" s="6">
        <f t="shared" si="41"/>
        <v>2</v>
      </c>
      <c r="AB77" s="6">
        <f t="shared" si="37"/>
        <v>2</v>
      </c>
      <c r="AC77" s="6"/>
      <c r="AD77" s="23"/>
    </row>
    <row r="78" spans="1:30" ht="30" x14ac:dyDescent="0.25">
      <c r="A78" s="2" t="s">
        <v>30</v>
      </c>
      <c r="B78" s="2" t="s">
        <v>419</v>
      </c>
      <c r="C78" s="2" t="s">
        <v>420</v>
      </c>
      <c r="D78" s="2" t="s">
        <v>421</v>
      </c>
      <c r="E78" s="2" t="s">
        <v>422</v>
      </c>
      <c r="F78" s="2">
        <v>10</v>
      </c>
      <c r="G78" s="2" t="s">
        <v>60</v>
      </c>
      <c r="H78" s="2">
        <v>22</v>
      </c>
      <c r="I78" s="6">
        <f t="shared" si="38"/>
        <v>220</v>
      </c>
      <c r="J78" s="6">
        <f t="shared" si="42"/>
        <v>35</v>
      </c>
      <c r="K78" s="6">
        <f t="shared" si="43"/>
        <v>34</v>
      </c>
      <c r="L78" s="6">
        <f t="shared" si="39"/>
        <v>992.5</v>
      </c>
      <c r="M78" s="6">
        <f t="shared" si="44"/>
        <v>55</v>
      </c>
      <c r="N78" s="6" t="b">
        <f t="shared" si="25"/>
        <v>1</v>
      </c>
      <c r="O78" s="6" t="b">
        <f t="shared" si="40"/>
        <v>1</v>
      </c>
      <c r="P78" s="6" t="str">
        <f t="shared" si="26"/>
        <v>C006064-bottles</v>
      </c>
      <c r="Q78" s="7" t="str">
        <f t="shared" si="27"/>
        <v>T086284
10</v>
      </c>
      <c r="R78" s="6" t="b">
        <f t="shared" si="28"/>
        <v>0</v>
      </c>
      <c r="S78" s="6" t="str">
        <f t="shared" si="29"/>
        <v>08</v>
      </c>
      <c r="T78" s="6" t="str">
        <f t="shared" si="30"/>
        <v>BOTTLES</v>
      </c>
      <c r="U78" s="6" t="str">
        <f t="shared" si="31"/>
        <v>bottles</v>
      </c>
      <c r="V78" s="6">
        <f t="shared" si="32"/>
        <v>2</v>
      </c>
      <c r="W78" s="6" t="str">
        <f t="shared" si="33"/>
        <v>T086284 10</v>
      </c>
      <c r="X78" s="6" t="str">
        <f t="shared" si="34"/>
        <v>S55675</v>
      </c>
      <c r="Y78" s="6" t="str">
        <f t="shared" si="35"/>
        <v>T08</v>
      </c>
      <c r="Z78" s="6" t="str">
        <f t="shared" si="36"/>
        <v>284</v>
      </c>
      <c r="AA78" s="6">
        <f t="shared" si="41"/>
        <v>2</v>
      </c>
      <c r="AB78" s="6">
        <f t="shared" si="37"/>
        <v>7</v>
      </c>
      <c r="AC78" s="6"/>
      <c r="AD78" s="23"/>
    </row>
    <row r="79" spans="1:30" ht="30" x14ac:dyDescent="0.25">
      <c r="A79" s="2" t="s">
        <v>8</v>
      </c>
      <c r="B79" s="2" t="s">
        <v>423</v>
      </c>
      <c r="C79" s="2" t="s">
        <v>424</v>
      </c>
      <c r="D79" s="2" t="s">
        <v>160</v>
      </c>
      <c r="E79" s="2" t="s">
        <v>425</v>
      </c>
      <c r="F79" s="2">
        <v>10</v>
      </c>
      <c r="G79" s="2" t="s">
        <v>60</v>
      </c>
      <c r="H79" s="2">
        <v>20</v>
      </c>
      <c r="I79" s="6">
        <f t="shared" si="38"/>
        <v>200</v>
      </c>
      <c r="J79" s="6">
        <f t="shared" si="42"/>
        <v>48</v>
      </c>
      <c r="K79" s="6">
        <f t="shared" si="43"/>
        <v>46</v>
      </c>
      <c r="L79" s="6">
        <f t="shared" si="39"/>
        <v>970.5</v>
      </c>
      <c r="M79" s="6">
        <f t="shared" si="44"/>
        <v>54</v>
      </c>
      <c r="N79" s="6" t="b">
        <f t="shared" si="25"/>
        <v>0</v>
      </c>
      <c r="O79" s="6" t="b">
        <f t="shared" si="40"/>
        <v>1</v>
      </c>
      <c r="P79" s="6" t="str">
        <f t="shared" si="26"/>
        <v>C007452-bottles</v>
      </c>
      <c r="Q79" s="7" t="str">
        <f t="shared" si="27"/>
        <v>T04952
10</v>
      </c>
      <c r="R79" s="6" t="b">
        <f t="shared" si="28"/>
        <v>0</v>
      </c>
      <c r="S79" s="6" t="str">
        <f t="shared" si="29"/>
        <v>06</v>
      </c>
      <c r="T79" s="6" t="str">
        <f t="shared" si="30"/>
        <v>BOTTLES</v>
      </c>
      <c r="U79" s="6" t="str">
        <f t="shared" si="31"/>
        <v>bottles</v>
      </c>
      <c r="V79" s="6">
        <f t="shared" si="32"/>
        <v>2</v>
      </c>
      <c r="W79" s="6" t="str">
        <f t="shared" si="33"/>
        <v>T04952 10</v>
      </c>
      <c r="X79" s="6" t="str">
        <f t="shared" si="34"/>
        <v>S55382</v>
      </c>
      <c r="Y79" s="6" t="str">
        <f t="shared" si="35"/>
        <v>T04</v>
      </c>
      <c r="Z79" s="6" t="str">
        <f t="shared" si="36"/>
        <v>952</v>
      </c>
      <c r="AA79" s="6">
        <f t="shared" si="41"/>
        <v>2</v>
      </c>
      <c r="AB79" s="6">
        <f t="shared" si="37"/>
        <v>7</v>
      </c>
      <c r="AC79" s="6"/>
      <c r="AD79" s="23"/>
    </row>
    <row r="80" spans="1:30" ht="30" x14ac:dyDescent="0.25">
      <c r="A80" s="2" t="s">
        <v>107</v>
      </c>
      <c r="B80" s="2" t="s">
        <v>426</v>
      </c>
      <c r="C80" s="2" t="s">
        <v>427</v>
      </c>
      <c r="D80" s="2" t="s">
        <v>428</v>
      </c>
      <c r="E80" s="2" t="s">
        <v>429</v>
      </c>
      <c r="F80" s="2">
        <v>4</v>
      </c>
      <c r="G80" s="2" t="s">
        <v>13</v>
      </c>
      <c r="H80" s="2">
        <v>14</v>
      </c>
      <c r="I80" s="6">
        <f t="shared" si="38"/>
        <v>56</v>
      </c>
      <c r="J80" s="6">
        <f t="shared" si="42"/>
        <v>360.5</v>
      </c>
      <c r="K80" s="6">
        <f t="shared" si="43"/>
        <v>357</v>
      </c>
      <c r="L80" s="6">
        <f t="shared" si="39"/>
        <v>2951.5</v>
      </c>
      <c r="M80" s="6">
        <f t="shared" si="44"/>
        <v>153</v>
      </c>
      <c r="N80" s="6" t="b">
        <f t="shared" si="25"/>
        <v>0</v>
      </c>
      <c r="O80" s="6" t="b">
        <f t="shared" si="40"/>
        <v>1</v>
      </c>
      <c r="P80" s="6" t="str">
        <f t="shared" si="26"/>
        <v>C001606-ct</v>
      </c>
      <c r="Q80" s="7" t="str">
        <f t="shared" si="27"/>
        <v>T086625
4</v>
      </c>
      <c r="R80" s="6" t="b">
        <f t="shared" si="28"/>
        <v>0</v>
      </c>
      <c r="S80" s="6" t="str">
        <f t="shared" si="29"/>
        <v>26</v>
      </c>
      <c r="T80" s="6" t="str">
        <f t="shared" si="30"/>
        <v>CT</v>
      </c>
      <c r="U80" s="6" t="str">
        <f t="shared" si="31"/>
        <v>ct</v>
      </c>
      <c r="V80" s="6">
        <f t="shared" si="32"/>
        <v>2</v>
      </c>
      <c r="W80" s="6" t="str">
        <f t="shared" si="33"/>
        <v>T086625 4</v>
      </c>
      <c r="X80" s="6" t="str">
        <f t="shared" si="34"/>
        <v>S55651</v>
      </c>
      <c r="Y80" s="6" t="str">
        <f t="shared" si="35"/>
        <v>T08</v>
      </c>
      <c r="Z80" s="6" t="str">
        <f t="shared" si="36"/>
        <v>625</v>
      </c>
      <c r="AA80" s="6">
        <f t="shared" si="41"/>
        <v>2</v>
      </c>
      <c r="AB80" s="6">
        <f t="shared" si="37"/>
        <v>2</v>
      </c>
      <c r="AC80" s="6"/>
      <c r="AD80" s="23"/>
    </row>
    <row r="81" spans="1:30" ht="30" x14ac:dyDescent="0.25">
      <c r="A81" s="2" t="s">
        <v>66</v>
      </c>
      <c r="B81" s="2" t="s">
        <v>430</v>
      </c>
      <c r="C81" s="2" t="s">
        <v>431</v>
      </c>
      <c r="D81" s="2" t="s">
        <v>140</v>
      </c>
      <c r="E81" s="2" t="s">
        <v>432</v>
      </c>
      <c r="F81" s="2">
        <v>4</v>
      </c>
      <c r="G81" s="2" t="s">
        <v>60</v>
      </c>
      <c r="H81" s="2">
        <v>17</v>
      </c>
      <c r="I81" s="6">
        <f t="shared" si="38"/>
        <v>68</v>
      </c>
      <c r="J81" s="6">
        <f t="shared" si="42"/>
        <v>306</v>
      </c>
      <c r="K81" s="6">
        <f t="shared" si="43"/>
        <v>304</v>
      </c>
      <c r="L81" s="6">
        <f t="shared" si="39"/>
        <v>950.5</v>
      </c>
      <c r="M81" s="6">
        <f t="shared" si="44"/>
        <v>53</v>
      </c>
      <c r="N81" s="6" t="b">
        <f t="shared" si="25"/>
        <v>0</v>
      </c>
      <c r="O81" s="6" t="b">
        <f t="shared" si="40"/>
        <v>1</v>
      </c>
      <c r="P81" s="6" t="str">
        <f t="shared" si="26"/>
        <v>C005146-bottles</v>
      </c>
      <c r="Q81" s="7" t="str">
        <f t="shared" si="27"/>
        <v>T047358
4</v>
      </c>
      <c r="R81" s="6" t="b">
        <f t="shared" si="28"/>
        <v>0</v>
      </c>
      <c r="S81" s="6" t="str">
        <f t="shared" si="29"/>
        <v>07</v>
      </c>
      <c r="T81" s="6" t="str">
        <f t="shared" si="30"/>
        <v>BOTTLES</v>
      </c>
      <c r="U81" s="6" t="str">
        <f t="shared" si="31"/>
        <v>bottles</v>
      </c>
      <c r="V81" s="6">
        <f t="shared" si="32"/>
        <v>2</v>
      </c>
      <c r="W81" s="6" t="str">
        <f t="shared" si="33"/>
        <v>T047358 4</v>
      </c>
      <c r="X81" s="6" t="str">
        <f t="shared" si="34"/>
        <v>S5557</v>
      </c>
      <c r="Y81" s="6" t="str">
        <f t="shared" si="35"/>
        <v>T04</v>
      </c>
      <c r="Z81" s="6" t="str">
        <f t="shared" si="36"/>
        <v>358</v>
      </c>
      <c r="AA81" s="6">
        <f t="shared" si="41"/>
        <v>2</v>
      </c>
      <c r="AB81" s="6">
        <f t="shared" si="37"/>
        <v>7</v>
      </c>
      <c r="AC81" s="6"/>
      <c r="AD81" s="23"/>
    </row>
    <row r="82" spans="1:30" ht="30" x14ac:dyDescent="0.25">
      <c r="A82" s="2" t="s">
        <v>71</v>
      </c>
      <c r="B82" s="2" t="s">
        <v>433</v>
      </c>
      <c r="C82" s="2" t="s">
        <v>434</v>
      </c>
      <c r="D82" s="2" t="s">
        <v>114</v>
      </c>
      <c r="E82" s="2" t="s">
        <v>435</v>
      </c>
      <c r="F82" s="2">
        <v>11</v>
      </c>
      <c r="G82" s="2" t="s">
        <v>13</v>
      </c>
      <c r="H82" s="2">
        <v>15</v>
      </c>
      <c r="I82" s="6">
        <f t="shared" si="38"/>
        <v>165</v>
      </c>
      <c r="J82" s="6">
        <f t="shared" si="42"/>
        <v>79.5</v>
      </c>
      <c r="K82" s="6">
        <f t="shared" si="43"/>
        <v>77</v>
      </c>
      <c r="L82" s="6">
        <f t="shared" si="39"/>
        <v>2937.5</v>
      </c>
      <c r="M82" s="6">
        <f t="shared" si="44"/>
        <v>152</v>
      </c>
      <c r="N82" s="6" t="b">
        <f t="shared" si="25"/>
        <v>0</v>
      </c>
      <c r="O82" s="6" t="b">
        <f t="shared" si="40"/>
        <v>1</v>
      </c>
      <c r="P82" s="6" t="str">
        <f t="shared" si="26"/>
        <v>C004369-ct</v>
      </c>
      <c r="Q82" s="7" t="str">
        <f t="shared" si="27"/>
        <v>T046539
11</v>
      </c>
      <c r="R82" s="6" t="b">
        <f t="shared" si="28"/>
        <v>0</v>
      </c>
      <c r="S82" s="6" t="str">
        <f t="shared" si="29"/>
        <v>12</v>
      </c>
      <c r="T82" s="6" t="str">
        <f t="shared" si="30"/>
        <v>CT</v>
      </c>
      <c r="U82" s="6" t="str">
        <f t="shared" si="31"/>
        <v>ct</v>
      </c>
      <c r="V82" s="6">
        <f t="shared" si="32"/>
        <v>2</v>
      </c>
      <c r="W82" s="6" t="str">
        <f t="shared" si="33"/>
        <v>T046539 11</v>
      </c>
      <c r="X82" s="6" t="str">
        <f t="shared" si="34"/>
        <v>S55685</v>
      </c>
      <c r="Y82" s="6" t="str">
        <f t="shared" si="35"/>
        <v>T04</v>
      </c>
      <c r="Z82" s="6" t="str">
        <f t="shared" si="36"/>
        <v>539</v>
      </c>
      <c r="AA82" s="6">
        <f t="shared" si="41"/>
        <v>2</v>
      </c>
      <c r="AB82" s="6">
        <f t="shared" si="37"/>
        <v>2</v>
      </c>
      <c r="AC82" s="6"/>
      <c r="AD82" s="23"/>
    </row>
    <row r="83" spans="1:30" ht="30" x14ac:dyDescent="0.25">
      <c r="A83" s="2" t="s">
        <v>200</v>
      </c>
      <c r="B83" s="2" t="s">
        <v>436</v>
      </c>
      <c r="C83" s="2" t="s">
        <v>437</v>
      </c>
      <c r="D83" s="2" t="s">
        <v>397</v>
      </c>
      <c r="E83" s="2" t="s">
        <v>438</v>
      </c>
      <c r="F83" s="2">
        <v>3</v>
      </c>
      <c r="G83" s="2" t="s">
        <v>35</v>
      </c>
      <c r="H83" s="2">
        <v>16.25</v>
      </c>
      <c r="I83" s="6">
        <f t="shared" si="38"/>
        <v>48.75</v>
      </c>
      <c r="J83" s="6">
        <f t="shared" si="42"/>
        <v>377.5</v>
      </c>
      <c r="K83" s="6">
        <f t="shared" si="43"/>
        <v>377</v>
      </c>
      <c r="L83" s="6">
        <f t="shared" si="39"/>
        <v>1585.25</v>
      </c>
      <c r="M83" s="6">
        <f t="shared" si="44"/>
        <v>90</v>
      </c>
      <c r="N83" s="6" t="b">
        <f t="shared" si="25"/>
        <v>0</v>
      </c>
      <c r="O83" s="6" t="b">
        <f t="shared" si="40"/>
        <v>1</v>
      </c>
      <c r="P83" s="6" t="str">
        <f t="shared" si="26"/>
        <v>C000367-cans</v>
      </c>
      <c r="Q83" s="7" t="str">
        <f t="shared" si="27"/>
        <v>T038514
3</v>
      </c>
      <c r="R83" s="6" t="b">
        <f t="shared" si="28"/>
        <v>0</v>
      </c>
      <c r="S83" s="6" t="str">
        <f t="shared" si="29"/>
        <v>00</v>
      </c>
      <c r="T83" s="6" t="str">
        <f t="shared" si="30"/>
        <v>CANS</v>
      </c>
      <c r="U83" s="6" t="str">
        <f t="shared" si="31"/>
        <v>cans</v>
      </c>
      <c r="V83" s="6">
        <f t="shared" si="32"/>
        <v>2</v>
      </c>
      <c r="W83" s="6" t="str">
        <f t="shared" si="33"/>
        <v>T038514 3</v>
      </c>
      <c r="X83" s="6" t="str">
        <f t="shared" si="34"/>
        <v>S55454</v>
      </c>
      <c r="Y83" s="6" t="str">
        <f t="shared" si="35"/>
        <v>T03</v>
      </c>
      <c r="Z83" s="6" t="str">
        <f t="shared" si="36"/>
        <v>514</v>
      </c>
      <c r="AA83" s="6">
        <f t="shared" si="41"/>
        <v>2</v>
      </c>
      <c r="AB83" s="6">
        <f t="shared" si="37"/>
        <v>4</v>
      </c>
      <c r="AC83" s="6"/>
      <c r="AD83" s="23"/>
    </row>
    <row r="84" spans="1:30" ht="30" x14ac:dyDescent="0.25">
      <c r="A84" s="2" t="s">
        <v>14</v>
      </c>
      <c r="B84" s="2" t="s">
        <v>439</v>
      </c>
      <c r="C84" s="2" t="s">
        <v>440</v>
      </c>
      <c r="D84" s="2" t="s">
        <v>441</v>
      </c>
      <c r="E84" s="2" t="s">
        <v>442</v>
      </c>
      <c r="F84" s="2">
        <v>8</v>
      </c>
      <c r="G84" s="2" t="s">
        <v>106</v>
      </c>
      <c r="H84" s="2">
        <v>17</v>
      </c>
      <c r="I84" s="6">
        <f t="shared" si="38"/>
        <v>136</v>
      </c>
      <c r="J84" s="6">
        <f t="shared" si="42"/>
        <v>130.5</v>
      </c>
      <c r="K84" s="6">
        <f t="shared" si="43"/>
        <v>129</v>
      </c>
      <c r="L84" s="6">
        <f t="shared" si="39"/>
        <v>452</v>
      </c>
      <c r="M84" s="6">
        <f t="shared" si="44"/>
        <v>27</v>
      </c>
      <c r="N84" s="6" t="b">
        <f t="shared" si="25"/>
        <v>0</v>
      </c>
      <c r="O84" s="6" t="b">
        <f t="shared" si="40"/>
        <v>1</v>
      </c>
      <c r="P84" s="6" t="str">
        <f t="shared" si="26"/>
        <v>C000687-bags</v>
      </c>
      <c r="Q84" s="7" t="str">
        <f t="shared" si="27"/>
        <v>T072412
8</v>
      </c>
      <c r="R84" s="6" t="b">
        <f t="shared" si="28"/>
        <v>0</v>
      </c>
      <c r="S84" s="6" t="str">
        <f t="shared" si="29"/>
        <v>15</v>
      </c>
      <c r="T84" s="6" t="str">
        <f t="shared" si="30"/>
        <v>BAGS</v>
      </c>
      <c r="U84" s="6" t="str">
        <f t="shared" si="31"/>
        <v>bags</v>
      </c>
      <c r="V84" s="6">
        <f t="shared" si="32"/>
        <v>2</v>
      </c>
      <c r="W84" s="6" t="str">
        <f t="shared" si="33"/>
        <v>T072412 8</v>
      </c>
      <c r="X84" s="6" t="str">
        <f t="shared" si="34"/>
        <v>S55555</v>
      </c>
      <c r="Y84" s="6" t="str">
        <f t="shared" si="35"/>
        <v>T07</v>
      </c>
      <c r="Z84" s="6" t="str">
        <f t="shared" si="36"/>
        <v>412</v>
      </c>
      <c r="AA84" s="6">
        <f t="shared" si="41"/>
        <v>2</v>
      </c>
      <c r="AB84" s="6">
        <f t="shared" si="37"/>
        <v>4</v>
      </c>
      <c r="AC84" s="6"/>
      <c r="AD84" s="23"/>
    </row>
    <row r="85" spans="1:30" ht="30" x14ac:dyDescent="0.25">
      <c r="A85" s="2" t="s">
        <v>20</v>
      </c>
      <c r="B85" s="2" t="s">
        <v>443</v>
      </c>
      <c r="C85" s="2" t="s">
        <v>444</v>
      </c>
      <c r="D85" s="2" t="s">
        <v>445</v>
      </c>
      <c r="E85" s="2" t="s">
        <v>446</v>
      </c>
      <c r="F85" s="2">
        <v>7</v>
      </c>
      <c r="G85" s="2" t="s">
        <v>167</v>
      </c>
      <c r="H85" s="2">
        <v>13</v>
      </c>
      <c r="I85" s="6">
        <f t="shared" si="38"/>
        <v>91</v>
      </c>
      <c r="J85" s="6">
        <f t="shared" si="42"/>
        <v>238</v>
      </c>
      <c r="K85" s="6">
        <f t="shared" si="43"/>
        <v>238</v>
      </c>
      <c r="L85" s="6">
        <f t="shared" si="39"/>
        <v>426</v>
      </c>
      <c r="M85" s="6">
        <f t="shared" si="44"/>
        <v>27</v>
      </c>
      <c r="N85" s="6" t="b">
        <f t="shared" si="25"/>
        <v>0</v>
      </c>
      <c r="O85" s="6" t="b">
        <f t="shared" si="40"/>
        <v>1</v>
      </c>
      <c r="P85" s="6" t="str">
        <f t="shared" si="26"/>
        <v>C007347-oz</v>
      </c>
      <c r="Q85" s="7" t="str">
        <f t="shared" si="27"/>
        <v>T07448
7</v>
      </c>
      <c r="R85" s="6" t="b">
        <f t="shared" si="28"/>
        <v>0</v>
      </c>
      <c r="S85" s="6" t="str">
        <f t="shared" si="29"/>
        <v>25</v>
      </c>
      <c r="T85" s="6" t="str">
        <f t="shared" si="30"/>
        <v>OZ</v>
      </c>
      <c r="U85" s="6" t="str">
        <f t="shared" si="31"/>
        <v>oz</v>
      </c>
      <c r="V85" s="6">
        <f t="shared" si="32"/>
        <v>2</v>
      </c>
      <c r="W85" s="6" t="str">
        <f t="shared" si="33"/>
        <v>T07448 7</v>
      </c>
      <c r="X85" s="6" t="str">
        <f t="shared" si="34"/>
        <v>S55652</v>
      </c>
      <c r="Y85" s="6" t="str">
        <f t="shared" si="35"/>
        <v>T07</v>
      </c>
      <c r="Z85" s="6" t="str">
        <f t="shared" si="36"/>
        <v>448</v>
      </c>
      <c r="AA85" s="6">
        <f t="shared" si="41"/>
        <v>2</v>
      </c>
      <c r="AB85" s="6">
        <f t="shared" si="37"/>
        <v>2</v>
      </c>
      <c r="AC85" s="6"/>
      <c r="AD85" s="23"/>
    </row>
    <row r="86" spans="1:30" ht="30" x14ac:dyDescent="0.25">
      <c r="A86" s="2" t="s">
        <v>20</v>
      </c>
      <c r="B86" s="2" t="s">
        <v>447</v>
      </c>
      <c r="C86" s="2" t="s">
        <v>448</v>
      </c>
      <c r="D86" s="2" t="s">
        <v>449</v>
      </c>
      <c r="E86" s="2" t="s">
        <v>450</v>
      </c>
      <c r="F86" s="2">
        <v>1</v>
      </c>
      <c r="G86" s="2" t="s">
        <v>269</v>
      </c>
      <c r="H86" s="2">
        <v>13</v>
      </c>
      <c r="I86" s="6">
        <f t="shared" si="38"/>
        <v>13</v>
      </c>
      <c r="J86" s="6">
        <f t="shared" si="42"/>
        <v>486</v>
      </c>
      <c r="K86" s="6">
        <f t="shared" si="43"/>
        <v>485</v>
      </c>
      <c r="L86" s="6">
        <f t="shared" si="39"/>
        <v>230</v>
      </c>
      <c r="M86" s="6">
        <f t="shared" si="44"/>
        <v>17</v>
      </c>
      <c r="N86" s="6" t="b">
        <f t="shared" si="25"/>
        <v>0</v>
      </c>
      <c r="O86" s="6" t="b">
        <f t="shared" si="40"/>
        <v>1</v>
      </c>
      <c r="P86" s="6" t="str">
        <f t="shared" si="26"/>
        <v>C004023-ct.</v>
      </c>
      <c r="Q86" s="7" t="str">
        <f t="shared" si="27"/>
        <v>T093578
1</v>
      </c>
      <c r="R86" s="6" t="b">
        <f t="shared" si="28"/>
        <v>0</v>
      </c>
      <c r="S86" s="6" t="str">
        <f t="shared" si="29"/>
        <v>18</v>
      </c>
      <c r="T86" s="6" t="str">
        <f t="shared" si="30"/>
        <v>CT.</v>
      </c>
      <c r="U86" s="6" t="str">
        <f t="shared" si="31"/>
        <v>ct.</v>
      </c>
      <c r="V86" s="6">
        <f t="shared" si="32"/>
        <v>2</v>
      </c>
      <c r="W86" s="6" t="str">
        <f t="shared" si="33"/>
        <v>T093578 1</v>
      </c>
      <c r="X86" s="6" t="str">
        <f t="shared" si="34"/>
        <v>S55359</v>
      </c>
      <c r="Y86" s="6" t="str">
        <f t="shared" si="35"/>
        <v>T09</v>
      </c>
      <c r="Z86" s="6" t="str">
        <f t="shared" si="36"/>
        <v>578</v>
      </c>
      <c r="AA86" s="6">
        <f t="shared" si="41"/>
        <v>2</v>
      </c>
      <c r="AB86" s="6">
        <f t="shared" si="37"/>
        <v>3</v>
      </c>
      <c r="AC86" s="6"/>
      <c r="AD86" s="23"/>
    </row>
    <row r="87" spans="1:30" ht="30" x14ac:dyDescent="0.25">
      <c r="A87" s="2" t="s">
        <v>8</v>
      </c>
      <c r="B87" s="2" t="s">
        <v>451</v>
      </c>
      <c r="C87" s="2" t="s">
        <v>452</v>
      </c>
      <c r="D87" s="2" t="s">
        <v>453</v>
      </c>
      <c r="E87" s="2" t="s">
        <v>454</v>
      </c>
      <c r="F87" s="2">
        <v>8</v>
      </c>
      <c r="G87" s="2" t="s">
        <v>35</v>
      </c>
      <c r="H87" s="2">
        <v>40</v>
      </c>
      <c r="I87" s="6">
        <f t="shared" si="38"/>
        <v>320</v>
      </c>
      <c r="J87" s="6">
        <f t="shared" si="42"/>
        <v>16</v>
      </c>
      <c r="K87" s="6">
        <f t="shared" si="43"/>
        <v>15</v>
      </c>
      <c r="L87" s="6">
        <f t="shared" si="39"/>
        <v>1584.5</v>
      </c>
      <c r="M87" s="6">
        <f t="shared" si="44"/>
        <v>90</v>
      </c>
      <c r="N87" s="6" t="b">
        <f t="shared" si="25"/>
        <v>1</v>
      </c>
      <c r="O87" s="6" t="b">
        <f t="shared" si="40"/>
        <v>1</v>
      </c>
      <c r="P87" s="6" t="str">
        <f t="shared" si="26"/>
        <v>C008650-cans</v>
      </c>
      <c r="Q87" s="7" t="str">
        <f t="shared" si="27"/>
        <v>T031242
8</v>
      </c>
      <c r="R87" s="6" t="b">
        <f t="shared" si="28"/>
        <v>0</v>
      </c>
      <c r="S87" s="6" t="str">
        <f t="shared" si="29"/>
        <v>06</v>
      </c>
      <c r="T87" s="6" t="str">
        <f t="shared" si="30"/>
        <v>CANS</v>
      </c>
      <c r="U87" s="6" t="str">
        <f t="shared" si="31"/>
        <v>cans</v>
      </c>
      <c r="V87" s="6">
        <f t="shared" si="32"/>
        <v>2</v>
      </c>
      <c r="W87" s="6" t="str">
        <f t="shared" si="33"/>
        <v>T031242 8</v>
      </c>
      <c r="X87" s="6" t="str">
        <f t="shared" si="34"/>
        <v>S55234</v>
      </c>
      <c r="Y87" s="6" t="str">
        <f t="shared" si="35"/>
        <v>T03</v>
      </c>
      <c r="Z87" s="6" t="str">
        <f t="shared" si="36"/>
        <v>242</v>
      </c>
      <c r="AA87" s="6">
        <f t="shared" si="41"/>
        <v>2</v>
      </c>
      <c r="AB87" s="6">
        <f t="shared" si="37"/>
        <v>4</v>
      </c>
      <c r="AC87" s="6"/>
      <c r="AD87" s="23"/>
    </row>
    <row r="88" spans="1:30" ht="30" x14ac:dyDescent="0.25">
      <c r="A88" s="2" t="s">
        <v>359</v>
      </c>
      <c r="B88" s="2" t="s">
        <v>455</v>
      </c>
      <c r="C88" s="2" t="s">
        <v>456</v>
      </c>
      <c r="D88" s="2" t="s">
        <v>457</v>
      </c>
      <c r="E88" s="2" t="s">
        <v>458</v>
      </c>
      <c r="F88" s="2">
        <v>4</v>
      </c>
      <c r="G88" s="2" t="s">
        <v>407</v>
      </c>
      <c r="H88" s="2">
        <v>14</v>
      </c>
      <c r="I88" s="6">
        <f t="shared" si="38"/>
        <v>56</v>
      </c>
      <c r="J88" s="6">
        <f t="shared" si="42"/>
        <v>360.5</v>
      </c>
      <c r="K88" s="6">
        <f t="shared" si="43"/>
        <v>357</v>
      </c>
      <c r="L88" s="6">
        <f t="shared" si="39"/>
        <v>213.5</v>
      </c>
      <c r="M88" s="6">
        <f t="shared" si="44"/>
        <v>14</v>
      </c>
      <c r="N88" s="6" t="b">
        <f t="shared" si="25"/>
        <v>0</v>
      </c>
      <c r="O88" s="6" t="b">
        <f t="shared" si="40"/>
        <v>1</v>
      </c>
      <c r="P88" s="6" t="str">
        <f t="shared" si="26"/>
        <v>C007983-pk</v>
      </c>
      <c r="Q88" s="7" t="str">
        <f t="shared" si="27"/>
        <v>T064100
4</v>
      </c>
      <c r="R88" s="6" t="b">
        <f t="shared" si="28"/>
        <v>0</v>
      </c>
      <c r="S88" s="6" t="str">
        <f t="shared" si="29"/>
        <v>22</v>
      </c>
      <c r="T88" s="6" t="str">
        <f t="shared" si="30"/>
        <v>PK</v>
      </c>
      <c r="U88" s="6" t="str">
        <f t="shared" si="31"/>
        <v>pk</v>
      </c>
      <c r="V88" s="6">
        <f t="shared" si="32"/>
        <v>2</v>
      </c>
      <c r="W88" s="6" t="str">
        <f t="shared" si="33"/>
        <v>T064100 4</v>
      </c>
      <c r="X88" s="6" t="str">
        <f t="shared" si="34"/>
        <v>S55581</v>
      </c>
      <c r="Y88" s="6" t="str">
        <f t="shared" si="35"/>
        <v>T06</v>
      </c>
      <c r="Z88" s="6" t="str">
        <f t="shared" si="36"/>
        <v>100</v>
      </c>
      <c r="AA88" s="6">
        <f t="shared" si="41"/>
        <v>2</v>
      </c>
      <c r="AB88" s="6">
        <f t="shared" si="37"/>
        <v>2</v>
      </c>
      <c r="AC88" s="6"/>
      <c r="AD88" s="23"/>
    </row>
    <row r="89" spans="1:30" ht="30" x14ac:dyDescent="0.25">
      <c r="A89" s="2" t="s">
        <v>459</v>
      </c>
      <c r="B89" s="2" t="s">
        <v>460</v>
      </c>
      <c r="C89" s="2" t="s">
        <v>461</v>
      </c>
      <c r="D89" s="2" t="s">
        <v>207</v>
      </c>
      <c r="E89" s="2" t="s">
        <v>462</v>
      </c>
      <c r="F89" s="2">
        <v>6</v>
      </c>
      <c r="G89" s="2" t="s">
        <v>35</v>
      </c>
      <c r="H89" s="2">
        <v>16</v>
      </c>
      <c r="I89" s="6">
        <f t="shared" si="38"/>
        <v>96</v>
      </c>
      <c r="J89" s="6">
        <f t="shared" si="42"/>
        <v>231.5</v>
      </c>
      <c r="K89" s="6">
        <f t="shared" si="43"/>
        <v>228</v>
      </c>
      <c r="L89" s="6">
        <f t="shared" si="39"/>
        <v>1544.5</v>
      </c>
      <c r="M89" s="6">
        <f t="shared" si="44"/>
        <v>89</v>
      </c>
      <c r="N89" s="6" t="b">
        <f t="shared" si="25"/>
        <v>0</v>
      </c>
      <c r="O89" s="6" t="b">
        <f t="shared" si="40"/>
        <v>1</v>
      </c>
      <c r="P89" s="6" t="str">
        <f t="shared" si="26"/>
        <v>C009083-cans</v>
      </c>
      <c r="Q89" s="7" t="str">
        <f t="shared" si="27"/>
        <v>T065828
6</v>
      </c>
      <c r="R89" s="6" t="b">
        <f t="shared" si="28"/>
        <v>0</v>
      </c>
      <c r="S89" s="6" t="str">
        <f t="shared" si="29"/>
        <v>03</v>
      </c>
      <c r="T89" s="6" t="str">
        <f t="shared" si="30"/>
        <v>CANS</v>
      </c>
      <c r="U89" s="6" t="str">
        <f t="shared" si="31"/>
        <v>cans</v>
      </c>
      <c r="V89" s="6">
        <f t="shared" si="32"/>
        <v>2</v>
      </c>
      <c r="W89" s="6" t="str">
        <f t="shared" si="33"/>
        <v>T065828 6</v>
      </c>
      <c r="X89" s="6" t="str">
        <f t="shared" si="34"/>
        <v>S55113</v>
      </c>
      <c r="Y89" s="6" t="str">
        <f t="shared" si="35"/>
        <v>T06</v>
      </c>
      <c r="Z89" s="6" t="str">
        <f t="shared" si="36"/>
        <v>828</v>
      </c>
      <c r="AA89" s="6">
        <f t="shared" si="41"/>
        <v>2</v>
      </c>
      <c r="AB89" s="6">
        <f t="shared" si="37"/>
        <v>4</v>
      </c>
      <c r="AC89" s="6"/>
      <c r="AD89" s="23"/>
    </row>
    <row r="90" spans="1:30" ht="30" x14ac:dyDescent="0.25">
      <c r="A90" s="2" t="s">
        <v>224</v>
      </c>
      <c r="B90" s="2" t="s">
        <v>463</v>
      </c>
      <c r="C90" s="2" t="s">
        <v>464</v>
      </c>
      <c r="D90" s="2" t="s">
        <v>465</v>
      </c>
      <c r="E90" s="2" t="s">
        <v>466</v>
      </c>
      <c r="F90" s="2">
        <v>8</v>
      </c>
      <c r="G90" s="2" t="s">
        <v>167</v>
      </c>
      <c r="H90" s="2">
        <v>20</v>
      </c>
      <c r="I90" s="6">
        <f t="shared" si="38"/>
        <v>160</v>
      </c>
      <c r="J90" s="6">
        <f t="shared" si="42"/>
        <v>90.5</v>
      </c>
      <c r="K90" s="6">
        <f t="shared" si="43"/>
        <v>84</v>
      </c>
      <c r="L90" s="6">
        <f t="shared" si="39"/>
        <v>413</v>
      </c>
      <c r="M90" s="6">
        <f t="shared" si="44"/>
        <v>26</v>
      </c>
      <c r="N90" s="6" t="b">
        <f t="shared" si="25"/>
        <v>0</v>
      </c>
      <c r="O90" s="6" t="b">
        <f t="shared" si="40"/>
        <v>1</v>
      </c>
      <c r="P90" s="6" t="str">
        <f t="shared" si="26"/>
        <v>C002504-oz</v>
      </c>
      <c r="Q90" s="7" t="str">
        <f t="shared" si="27"/>
        <v>T084697
8</v>
      </c>
      <c r="R90" s="6" t="b">
        <f t="shared" si="28"/>
        <v>0</v>
      </c>
      <c r="S90" s="6" t="str">
        <f t="shared" si="29"/>
        <v>10</v>
      </c>
      <c r="T90" s="6" t="str">
        <f t="shared" si="30"/>
        <v>OZ</v>
      </c>
      <c r="U90" s="6" t="str">
        <f t="shared" si="31"/>
        <v>oz</v>
      </c>
      <c r="V90" s="6">
        <f t="shared" si="32"/>
        <v>2</v>
      </c>
      <c r="W90" s="6" t="str">
        <f t="shared" si="33"/>
        <v>T084697 8</v>
      </c>
      <c r="X90" s="6" t="str">
        <f t="shared" si="34"/>
        <v>S5554</v>
      </c>
      <c r="Y90" s="6" t="str">
        <f t="shared" si="35"/>
        <v>T08</v>
      </c>
      <c r="Z90" s="6" t="str">
        <f t="shared" si="36"/>
        <v>697</v>
      </c>
      <c r="AA90" s="6">
        <f t="shared" si="41"/>
        <v>2</v>
      </c>
      <c r="AB90" s="6">
        <f t="shared" si="37"/>
        <v>2</v>
      </c>
      <c r="AC90" s="6"/>
      <c r="AD90" s="23"/>
    </row>
    <row r="91" spans="1:30" ht="30" x14ac:dyDescent="0.25">
      <c r="A91" s="2" t="s">
        <v>14</v>
      </c>
      <c r="B91" s="2" t="s">
        <v>467</v>
      </c>
      <c r="C91" s="2" t="s">
        <v>468</v>
      </c>
      <c r="D91" s="2" t="s">
        <v>469</v>
      </c>
      <c r="E91" s="2" t="s">
        <v>470</v>
      </c>
      <c r="F91" s="2">
        <v>2</v>
      </c>
      <c r="G91" s="2" t="s">
        <v>13</v>
      </c>
      <c r="H91" s="2">
        <v>13</v>
      </c>
      <c r="I91" s="6">
        <f t="shared" si="38"/>
        <v>26</v>
      </c>
      <c r="J91" s="6">
        <f t="shared" si="42"/>
        <v>448.5</v>
      </c>
      <c r="K91" s="6">
        <f t="shared" si="43"/>
        <v>447</v>
      </c>
      <c r="L91" s="6">
        <f t="shared" si="39"/>
        <v>2947.5</v>
      </c>
      <c r="M91" s="6">
        <f t="shared" si="44"/>
        <v>153</v>
      </c>
      <c r="N91" s="6" t="b">
        <f t="shared" si="25"/>
        <v>0</v>
      </c>
      <c r="O91" s="6" t="b">
        <f t="shared" si="40"/>
        <v>1</v>
      </c>
      <c r="P91" s="6" t="str">
        <f t="shared" si="26"/>
        <v>C006203-ct</v>
      </c>
      <c r="Q91" s="7" t="str">
        <f t="shared" si="27"/>
        <v>T056597
2</v>
      </c>
      <c r="R91" s="6" t="b">
        <f t="shared" si="28"/>
        <v>0</v>
      </c>
      <c r="S91" s="6" t="str">
        <f t="shared" si="29"/>
        <v>22</v>
      </c>
      <c r="T91" s="6" t="str">
        <f t="shared" si="30"/>
        <v>CT</v>
      </c>
      <c r="U91" s="6" t="str">
        <f t="shared" si="31"/>
        <v>ct</v>
      </c>
      <c r="V91" s="6">
        <f t="shared" si="32"/>
        <v>2</v>
      </c>
      <c r="W91" s="6" t="str">
        <f t="shared" si="33"/>
        <v>T056597 2</v>
      </c>
      <c r="X91" s="6" t="str">
        <f t="shared" si="34"/>
        <v>S55636</v>
      </c>
      <c r="Y91" s="6" t="str">
        <f t="shared" si="35"/>
        <v>T05</v>
      </c>
      <c r="Z91" s="6" t="str">
        <f t="shared" si="36"/>
        <v>597</v>
      </c>
      <c r="AA91" s="6">
        <f t="shared" si="41"/>
        <v>2</v>
      </c>
      <c r="AB91" s="6">
        <f t="shared" si="37"/>
        <v>2</v>
      </c>
      <c r="AC91" s="6"/>
      <c r="AD91" s="23"/>
    </row>
    <row r="92" spans="1:30" ht="30" x14ac:dyDescent="0.25">
      <c r="A92" s="2" t="s">
        <v>168</v>
      </c>
      <c r="B92" s="2" t="s">
        <v>471</v>
      </c>
      <c r="C92" s="2" t="s">
        <v>472</v>
      </c>
      <c r="D92" s="2" t="s">
        <v>449</v>
      </c>
      <c r="E92" s="2" t="s">
        <v>473</v>
      </c>
      <c r="F92" s="2">
        <v>5</v>
      </c>
      <c r="G92" s="2" t="s">
        <v>269</v>
      </c>
      <c r="H92" s="2">
        <v>13</v>
      </c>
      <c r="I92" s="6">
        <f t="shared" si="38"/>
        <v>65</v>
      </c>
      <c r="J92" s="6">
        <f t="shared" si="42"/>
        <v>321.5</v>
      </c>
      <c r="K92" s="6">
        <f t="shared" si="43"/>
        <v>320</v>
      </c>
      <c r="L92" s="6">
        <f t="shared" si="39"/>
        <v>217</v>
      </c>
      <c r="M92" s="6">
        <f t="shared" si="44"/>
        <v>16</v>
      </c>
      <c r="N92" s="6" t="b">
        <f t="shared" si="25"/>
        <v>0</v>
      </c>
      <c r="O92" s="6" t="b">
        <f t="shared" si="40"/>
        <v>1</v>
      </c>
      <c r="P92" s="6" t="str">
        <f t="shared" si="26"/>
        <v>C001921-ct.</v>
      </c>
      <c r="Q92" s="7" t="str">
        <f t="shared" si="27"/>
        <v>T058671
5</v>
      </c>
      <c r="R92" s="6" t="b">
        <f t="shared" si="28"/>
        <v>0</v>
      </c>
      <c r="S92" s="6" t="str">
        <f t="shared" si="29"/>
        <v>18</v>
      </c>
      <c r="T92" s="6" t="str">
        <f t="shared" si="30"/>
        <v>CT.</v>
      </c>
      <c r="U92" s="6" t="str">
        <f t="shared" si="31"/>
        <v>ct.</v>
      </c>
      <c r="V92" s="6">
        <f t="shared" si="32"/>
        <v>2</v>
      </c>
      <c r="W92" s="6" t="str">
        <f t="shared" si="33"/>
        <v>T058671 5</v>
      </c>
      <c r="X92" s="6" t="str">
        <f t="shared" si="34"/>
        <v>S55435</v>
      </c>
      <c r="Y92" s="6" t="str">
        <f t="shared" si="35"/>
        <v>T05</v>
      </c>
      <c r="Z92" s="6" t="str">
        <f t="shared" si="36"/>
        <v>671</v>
      </c>
      <c r="AA92" s="6">
        <f t="shared" si="41"/>
        <v>2</v>
      </c>
      <c r="AB92" s="6">
        <f t="shared" si="37"/>
        <v>3</v>
      </c>
      <c r="AC92" s="6"/>
      <c r="AD92" s="23"/>
    </row>
    <row r="93" spans="1:30" ht="30" x14ac:dyDescent="0.25">
      <c r="A93" s="2" t="s">
        <v>209</v>
      </c>
      <c r="B93" s="2" t="s">
        <v>474</v>
      </c>
      <c r="C93" s="2" t="s">
        <v>475</v>
      </c>
      <c r="D93" s="2" t="s">
        <v>476</v>
      </c>
      <c r="E93" s="2" t="s">
        <v>477</v>
      </c>
      <c r="F93" s="2">
        <v>7</v>
      </c>
      <c r="G93" s="2" t="s">
        <v>13</v>
      </c>
      <c r="H93" s="2">
        <v>32</v>
      </c>
      <c r="I93" s="6">
        <f t="shared" si="38"/>
        <v>224</v>
      </c>
      <c r="J93" s="6">
        <f t="shared" si="42"/>
        <v>33</v>
      </c>
      <c r="K93" s="6">
        <f t="shared" si="43"/>
        <v>33</v>
      </c>
      <c r="L93" s="6">
        <f t="shared" si="39"/>
        <v>2934.5</v>
      </c>
      <c r="M93" s="6">
        <f t="shared" si="44"/>
        <v>152</v>
      </c>
      <c r="N93" s="6" t="b">
        <f t="shared" si="25"/>
        <v>1</v>
      </c>
      <c r="O93" s="6" t="b">
        <f t="shared" si="40"/>
        <v>1</v>
      </c>
      <c r="P93" s="6" t="str">
        <f t="shared" si="26"/>
        <v>C007064-ct</v>
      </c>
      <c r="Q93" s="7" t="str">
        <f t="shared" si="27"/>
        <v>T035360
7</v>
      </c>
      <c r="R93" s="6" t="b">
        <f t="shared" si="28"/>
        <v>0</v>
      </c>
      <c r="S93" s="6" t="str">
        <f t="shared" si="29"/>
        <v>13</v>
      </c>
      <c r="T93" s="6" t="str">
        <f t="shared" si="30"/>
        <v>CT</v>
      </c>
      <c r="U93" s="6" t="str">
        <f t="shared" si="31"/>
        <v>ct</v>
      </c>
      <c r="V93" s="6">
        <f t="shared" si="32"/>
        <v>2</v>
      </c>
      <c r="W93" s="6" t="str">
        <f t="shared" si="33"/>
        <v>T035360 7</v>
      </c>
      <c r="X93" s="6" t="str">
        <f t="shared" si="34"/>
        <v>S55267</v>
      </c>
      <c r="Y93" s="6" t="str">
        <f t="shared" si="35"/>
        <v>T03</v>
      </c>
      <c r="Z93" s="6" t="str">
        <f t="shared" si="36"/>
        <v>360</v>
      </c>
      <c r="AA93" s="6">
        <f t="shared" si="41"/>
        <v>2</v>
      </c>
      <c r="AB93" s="6">
        <f t="shared" si="37"/>
        <v>2</v>
      </c>
      <c r="AC93" s="6"/>
      <c r="AD93" s="23"/>
    </row>
    <row r="94" spans="1:30" ht="30" x14ac:dyDescent="0.25">
      <c r="A94" s="2" t="s">
        <v>339</v>
      </c>
      <c r="B94" s="2" t="s">
        <v>478</v>
      </c>
      <c r="C94" s="2" t="s">
        <v>479</v>
      </c>
      <c r="D94" s="2" t="s">
        <v>74</v>
      </c>
      <c r="E94" s="2" t="s">
        <v>480</v>
      </c>
      <c r="F94" s="2">
        <v>10</v>
      </c>
      <c r="G94" s="2" t="s">
        <v>35</v>
      </c>
      <c r="H94" s="2">
        <v>6.75</v>
      </c>
      <c r="I94" s="6">
        <f t="shared" si="38"/>
        <v>67.5</v>
      </c>
      <c r="J94" s="6">
        <f t="shared" si="42"/>
        <v>311.5</v>
      </c>
      <c r="K94" s="6">
        <f t="shared" si="43"/>
        <v>309</v>
      </c>
      <c r="L94" s="6">
        <f t="shared" si="39"/>
        <v>1528.5</v>
      </c>
      <c r="M94" s="6">
        <f t="shared" si="44"/>
        <v>88</v>
      </c>
      <c r="N94" s="6" t="b">
        <f t="shared" si="25"/>
        <v>0</v>
      </c>
      <c r="O94" s="6" t="b">
        <f t="shared" si="40"/>
        <v>0</v>
      </c>
      <c r="P94" s="6" t="str">
        <f t="shared" si="26"/>
        <v>C001108-cans</v>
      </c>
      <c r="Q94" s="7" t="str">
        <f t="shared" si="27"/>
        <v>T012049
10</v>
      </c>
      <c r="R94" s="6" t="b">
        <f t="shared" si="28"/>
        <v>0</v>
      </c>
      <c r="S94" s="6" t="str">
        <f t="shared" si="29"/>
        <v>01</v>
      </c>
      <c r="T94" s="6" t="str">
        <f t="shared" si="30"/>
        <v>CANS</v>
      </c>
      <c r="U94" s="6" t="str">
        <f t="shared" si="31"/>
        <v>cans</v>
      </c>
      <c r="V94" s="6">
        <f t="shared" si="32"/>
        <v>2</v>
      </c>
      <c r="W94" s="6" t="str">
        <f t="shared" si="33"/>
        <v>T012049 10</v>
      </c>
      <c r="X94" s="6" t="str">
        <f t="shared" si="34"/>
        <v>S55245</v>
      </c>
      <c r="Y94" s="6" t="str">
        <f t="shared" si="35"/>
        <v>T01</v>
      </c>
      <c r="Z94" s="6" t="str">
        <f t="shared" si="36"/>
        <v>049</v>
      </c>
      <c r="AA94" s="6">
        <f t="shared" si="41"/>
        <v>2</v>
      </c>
      <c r="AB94" s="6">
        <f t="shared" si="37"/>
        <v>4</v>
      </c>
      <c r="AC94" s="6"/>
      <c r="AD94" s="23"/>
    </row>
    <row r="95" spans="1:30" ht="30" x14ac:dyDescent="0.25">
      <c r="A95" s="2" t="s">
        <v>116</v>
      </c>
      <c r="B95" s="2" t="s">
        <v>481</v>
      </c>
      <c r="C95" s="2" t="s">
        <v>482</v>
      </c>
      <c r="D95" s="2" t="s">
        <v>483</v>
      </c>
      <c r="E95" s="2" t="s">
        <v>133</v>
      </c>
      <c r="F95" s="2">
        <v>1</v>
      </c>
      <c r="G95" s="2" t="s">
        <v>35</v>
      </c>
      <c r="H95" s="2">
        <v>8</v>
      </c>
      <c r="I95" s="6">
        <f t="shared" si="38"/>
        <v>8</v>
      </c>
      <c r="J95" s="6">
        <f t="shared" si="42"/>
        <v>492</v>
      </c>
      <c r="K95" s="6">
        <f t="shared" si="43"/>
        <v>492</v>
      </c>
      <c r="L95" s="6">
        <f t="shared" si="39"/>
        <v>1521.75</v>
      </c>
      <c r="M95" s="6">
        <f t="shared" si="44"/>
        <v>87</v>
      </c>
      <c r="N95" s="6" t="b">
        <f t="shared" si="25"/>
        <v>0</v>
      </c>
      <c r="O95" s="6" t="b">
        <f t="shared" si="40"/>
        <v>1</v>
      </c>
      <c r="P95" s="6" t="str">
        <f t="shared" si="26"/>
        <v>C006657-cans</v>
      </c>
      <c r="Q95" s="7" t="str">
        <f t="shared" si="27"/>
        <v>T058776
1</v>
      </c>
      <c r="R95" s="6" t="b">
        <f t="shared" si="28"/>
        <v>0</v>
      </c>
      <c r="S95" s="6" t="str">
        <f t="shared" si="29"/>
        <v>04</v>
      </c>
      <c r="T95" s="6" t="str">
        <f t="shared" si="30"/>
        <v>CANS</v>
      </c>
      <c r="U95" s="6" t="str">
        <f t="shared" si="31"/>
        <v>cans</v>
      </c>
      <c r="V95" s="6">
        <f t="shared" si="32"/>
        <v>2</v>
      </c>
      <c r="W95" s="6" t="str">
        <f t="shared" si="33"/>
        <v>T058776 1</v>
      </c>
      <c r="X95" s="6" t="str">
        <f t="shared" si="34"/>
        <v>S55628</v>
      </c>
      <c r="Y95" s="6" t="str">
        <f t="shared" si="35"/>
        <v>T05</v>
      </c>
      <c r="Z95" s="6" t="str">
        <f t="shared" si="36"/>
        <v>776</v>
      </c>
      <c r="AA95" s="6">
        <f t="shared" si="41"/>
        <v>2</v>
      </c>
      <c r="AB95" s="6">
        <f t="shared" si="37"/>
        <v>4</v>
      </c>
      <c r="AC95" s="6"/>
      <c r="AD95" s="23"/>
    </row>
    <row r="96" spans="1:30" ht="30" x14ac:dyDescent="0.25">
      <c r="A96" s="2" t="s">
        <v>71</v>
      </c>
      <c r="B96" s="2" t="s">
        <v>484</v>
      </c>
      <c r="C96" s="2" t="s">
        <v>485</v>
      </c>
      <c r="D96" s="2" t="s">
        <v>252</v>
      </c>
      <c r="E96" s="2" t="s">
        <v>486</v>
      </c>
      <c r="F96" s="2">
        <v>6</v>
      </c>
      <c r="G96" s="2" t="s">
        <v>35</v>
      </c>
      <c r="H96" s="2">
        <v>6.75</v>
      </c>
      <c r="I96" s="6">
        <f t="shared" si="38"/>
        <v>40.5</v>
      </c>
      <c r="J96" s="6">
        <f t="shared" si="42"/>
        <v>409.5</v>
      </c>
      <c r="K96" s="6">
        <f t="shared" si="43"/>
        <v>409</v>
      </c>
      <c r="L96" s="6">
        <f t="shared" si="39"/>
        <v>1513.75</v>
      </c>
      <c r="M96" s="6">
        <f t="shared" si="44"/>
        <v>86</v>
      </c>
      <c r="N96" s="6" t="b">
        <f t="shared" si="25"/>
        <v>0</v>
      </c>
      <c r="O96" s="6" t="b">
        <f t="shared" si="40"/>
        <v>1</v>
      </c>
      <c r="P96" s="6" t="str">
        <f t="shared" si="26"/>
        <v>C006206-cans</v>
      </c>
      <c r="Q96" s="7" t="str">
        <f t="shared" si="27"/>
        <v>T087559
6</v>
      </c>
      <c r="R96" s="6" t="b">
        <f t="shared" si="28"/>
        <v>0</v>
      </c>
      <c r="S96" s="6" t="str">
        <f t="shared" si="29"/>
        <v>00</v>
      </c>
      <c r="T96" s="6" t="str">
        <f t="shared" si="30"/>
        <v>CANS</v>
      </c>
      <c r="U96" s="6" t="str">
        <f t="shared" si="31"/>
        <v>cans</v>
      </c>
      <c r="V96" s="6">
        <f t="shared" si="32"/>
        <v>2</v>
      </c>
      <c r="W96" s="6" t="str">
        <f t="shared" si="33"/>
        <v>T087559 6</v>
      </c>
      <c r="X96" s="6" t="str">
        <f t="shared" si="34"/>
        <v>S55312</v>
      </c>
      <c r="Y96" s="6" t="str">
        <f t="shared" si="35"/>
        <v>T08</v>
      </c>
      <c r="Z96" s="6" t="str">
        <f t="shared" si="36"/>
        <v>559</v>
      </c>
      <c r="AA96" s="6">
        <f t="shared" si="41"/>
        <v>2</v>
      </c>
      <c r="AB96" s="6">
        <f t="shared" si="37"/>
        <v>4</v>
      </c>
      <c r="AC96" s="6"/>
      <c r="AD96" s="23"/>
    </row>
    <row r="97" spans="1:30" ht="30" x14ac:dyDescent="0.25">
      <c r="A97" s="2" t="s">
        <v>274</v>
      </c>
      <c r="B97" s="2" t="s">
        <v>487</v>
      </c>
      <c r="C97" s="2" t="s">
        <v>488</v>
      </c>
      <c r="D97" s="2" t="s">
        <v>489</v>
      </c>
      <c r="E97" s="2" t="s">
        <v>422</v>
      </c>
      <c r="F97" s="2">
        <v>5</v>
      </c>
      <c r="G97" s="2" t="s">
        <v>13</v>
      </c>
      <c r="H97" s="2">
        <v>21</v>
      </c>
      <c r="I97" s="6">
        <f t="shared" si="38"/>
        <v>105</v>
      </c>
      <c r="J97" s="6">
        <f t="shared" si="42"/>
        <v>202.5</v>
      </c>
      <c r="K97" s="6">
        <f t="shared" si="43"/>
        <v>199</v>
      </c>
      <c r="L97" s="6">
        <f t="shared" si="39"/>
        <v>2964</v>
      </c>
      <c r="M97" s="6">
        <f t="shared" si="44"/>
        <v>154</v>
      </c>
      <c r="N97" s="6" t="b">
        <f t="shared" si="25"/>
        <v>1</v>
      </c>
      <c r="O97" s="6" t="b">
        <f t="shared" si="40"/>
        <v>1</v>
      </c>
      <c r="P97" s="6" t="str">
        <f t="shared" si="26"/>
        <v>C008525-ct</v>
      </c>
      <c r="Q97" s="7" t="str">
        <f t="shared" si="27"/>
        <v>T054312
5</v>
      </c>
      <c r="R97" s="6" t="b">
        <f t="shared" si="28"/>
        <v>0</v>
      </c>
      <c r="S97" s="6" t="str">
        <f t="shared" si="29"/>
        <v>14</v>
      </c>
      <c r="T97" s="6" t="str">
        <f t="shared" si="30"/>
        <v>CT</v>
      </c>
      <c r="U97" s="6" t="str">
        <f t="shared" si="31"/>
        <v>ct</v>
      </c>
      <c r="V97" s="6">
        <f t="shared" si="32"/>
        <v>2</v>
      </c>
      <c r="W97" s="6" t="str">
        <f t="shared" si="33"/>
        <v>T054312 5</v>
      </c>
      <c r="X97" s="6" t="str">
        <f t="shared" si="34"/>
        <v>S55675</v>
      </c>
      <c r="Y97" s="6" t="str">
        <f t="shared" si="35"/>
        <v>T05</v>
      </c>
      <c r="Z97" s="6" t="str">
        <f t="shared" si="36"/>
        <v>312</v>
      </c>
      <c r="AA97" s="6">
        <f t="shared" si="41"/>
        <v>2</v>
      </c>
      <c r="AB97" s="6">
        <f t="shared" si="37"/>
        <v>2</v>
      </c>
      <c r="AC97" s="6"/>
      <c r="AD97" s="23"/>
    </row>
    <row r="98" spans="1:30" ht="30" x14ac:dyDescent="0.25">
      <c r="A98" s="2" t="s">
        <v>121</v>
      </c>
      <c r="B98" s="2" t="s">
        <v>490</v>
      </c>
      <c r="C98" s="2" t="s">
        <v>491</v>
      </c>
      <c r="D98" s="2" t="s">
        <v>294</v>
      </c>
      <c r="E98" s="2" t="s">
        <v>492</v>
      </c>
      <c r="F98" s="2">
        <v>6</v>
      </c>
      <c r="G98" s="2" t="s">
        <v>13</v>
      </c>
      <c r="H98" s="2">
        <v>12</v>
      </c>
      <c r="I98" s="6">
        <f t="shared" si="38"/>
        <v>72</v>
      </c>
      <c r="J98" s="6">
        <f t="shared" si="42"/>
        <v>295.5</v>
      </c>
      <c r="K98" s="6">
        <f t="shared" si="43"/>
        <v>292</v>
      </c>
      <c r="L98" s="6">
        <f t="shared" si="39"/>
        <v>2957</v>
      </c>
      <c r="M98" s="6">
        <f t="shared" si="44"/>
        <v>154</v>
      </c>
      <c r="N98" s="6" t="b">
        <f t="shared" si="25"/>
        <v>0</v>
      </c>
      <c r="O98" s="6" t="b">
        <f t="shared" si="40"/>
        <v>1</v>
      </c>
      <c r="P98" s="6" t="str">
        <f t="shared" si="26"/>
        <v>C005322-ct</v>
      </c>
      <c r="Q98" s="7" t="str">
        <f t="shared" si="27"/>
        <v>T090099
6</v>
      </c>
      <c r="R98" s="6" t="b">
        <f t="shared" si="28"/>
        <v>0</v>
      </c>
      <c r="S98" s="6" t="str">
        <f t="shared" si="29"/>
        <v>21</v>
      </c>
      <c r="T98" s="6" t="str">
        <f t="shared" si="30"/>
        <v>CT</v>
      </c>
      <c r="U98" s="6" t="str">
        <f t="shared" si="31"/>
        <v>ct</v>
      </c>
      <c r="V98" s="6">
        <f t="shared" si="32"/>
        <v>2</v>
      </c>
      <c r="W98" s="6" t="str">
        <f t="shared" si="33"/>
        <v>T090099 6</v>
      </c>
      <c r="X98" s="6" t="str">
        <f t="shared" si="34"/>
        <v>S55381</v>
      </c>
      <c r="Y98" s="6" t="str">
        <f t="shared" si="35"/>
        <v>T09</v>
      </c>
      <c r="Z98" s="6" t="str">
        <f t="shared" si="36"/>
        <v>099</v>
      </c>
      <c r="AA98" s="6">
        <f t="shared" si="41"/>
        <v>2</v>
      </c>
      <c r="AB98" s="6">
        <f t="shared" si="37"/>
        <v>2</v>
      </c>
      <c r="AC98" s="6"/>
      <c r="AD98" s="23"/>
    </row>
    <row r="99" spans="1:30" ht="30" x14ac:dyDescent="0.25">
      <c r="A99" s="2" t="s">
        <v>187</v>
      </c>
      <c r="B99" s="2" t="s">
        <v>493</v>
      </c>
      <c r="C99" s="2" t="s">
        <v>494</v>
      </c>
      <c r="D99" s="2" t="s">
        <v>495</v>
      </c>
      <c r="E99" s="2" t="s">
        <v>496</v>
      </c>
      <c r="F99" s="2">
        <v>1</v>
      </c>
      <c r="G99" s="2" t="s">
        <v>167</v>
      </c>
      <c r="H99" s="2">
        <v>16</v>
      </c>
      <c r="I99" s="6">
        <f t="shared" si="38"/>
        <v>16</v>
      </c>
      <c r="J99" s="6">
        <f t="shared" si="42"/>
        <v>471</v>
      </c>
      <c r="K99" s="6">
        <f t="shared" si="43"/>
        <v>470</v>
      </c>
      <c r="L99" s="6">
        <f t="shared" si="39"/>
        <v>393</v>
      </c>
      <c r="M99" s="6">
        <f t="shared" si="44"/>
        <v>25</v>
      </c>
      <c r="N99" s="6" t="b">
        <f t="shared" si="25"/>
        <v>0</v>
      </c>
      <c r="O99" s="6" t="b">
        <f t="shared" si="40"/>
        <v>1</v>
      </c>
      <c r="P99" s="6" t="str">
        <f t="shared" si="26"/>
        <v>C009017-oz</v>
      </c>
      <c r="Q99" s="7" t="str">
        <f t="shared" si="27"/>
        <v>T035589
1</v>
      </c>
      <c r="R99" s="6" t="b">
        <f t="shared" si="28"/>
        <v>0</v>
      </c>
      <c r="S99" s="6" t="str">
        <f t="shared" si="29"/>
        <v>24</v>
      </c>
      <c r="T99" s="6" t="str">
        <f t="shared" si="30"/>
        <v>OZ</v>
      </c>
      <c r="U99" s="6" t="str">
        <f t="shared" si="31"/>
        <v>oz</v>
      </c>
      <c r="V99" s="6">
        <f t="shared" si="32"/>
        <v>2</v>
      </c>
      <c r="W99" s="6" t="str">
        <f t="shared" si="33"/>
        <v>T035589 1</v>
      </c>
      <c r="X99" s="6" t="str">
        <f t="shared" si="34"/>
        <v>S55698</v>
      </c>
      <c r="Y99" s="6" t="str">
        <f t="shared" si="35"/>
        <v>T03</v>
      </c>
      <c r="Z99" s="6" t="str">
        <f t="shared" si="36"/>
        <v>589</v>
      </c>
      <c r="AA99" s="6">
        <f t="shared" si="41"/>
        <v>2</v>
      </c>
      <c r="AB99" s="6">
        <f t="shared" si="37"/>
        <v>2</v>
      </c>
      <c r="AC99" s="6"/>
      <c r="AD99" s="23"/>
    </row>
    <row r="100" spans="1:30" ht="30" x14ac:dyDescent="0.25">
      <c r="A100" s="2" t="s">
        <v>274</v>
      </c>
      <c r="B100" s="2" t="s">
        <v>497</v>
      </c>
      <c r="C100" s="2" t="s">
        <v>498</v>
      </c>
      <c r="D100" s="2" t="s">
        <v>499</v>
      </c>
      <c r="E100" s="2" t="s">
        <v>500</v>
      </c>
      <c r="F100" s="2">
        <v>2</v>
      </c>
      <c r="G100" s="2" t="s">
        <v>60</v>
      </c>
      <c r="H100" s="2">
        <v>17.5</v>
      </c>
      <c r="I100" s="6">
        <f t="shared" si="38"/>
        <v>35</v>
      </c>
      <c r="J100" s="6">
        <f t="shared" si="42"/>
        <v>420.5</v>
      </c>
      <c r="K100" s="6">
        <f t="shared" si="43"/>
        <v>420</v>
      </c>
      <c r="L100" s="6">
        <f t="shared" si="39"/>
        <v>966.5</v>
      </c>
      <c r="M100" s="6">
        <f t="shared" si="44"/>
        <v>54</v>
      </c>
      <c r="N100" s="6" t="b">
        <f t="shared" si="25"/>
        <v>0</v>
      </c>
      <c r="O100" s="6" t="b">
        <f t="shared" si="40"/>
        <v>1</v>
      </c>
      <c r="P100" s="6" t="str">
        <f t="shared" si="26"/>
        <v>C003121-bottles</v>
      </c>
      <c r="Q100" s="7" t="str">
        <f t="shared" si="27"/>
        <v>T038507
2</v>
      </c>
      <c r="R100" s="6" t="b">
        <f t="shared" si="28"/>
        <v>0</v>
      </c>
      <c r="S100" s="6" t="str">
        <f t="shared" si="29"/>
        <v>06</v>
      </c>
      <c r="T100" s="6" t="str">
        <f t="shared" si="30"/>
        <v>BOTTLES</v>
      </c>
      <c r="U100" s="6" t="str">
        <f t="shared" si="31"/>
        <v>bottles</v>
      </c>
      <c r="V100" s="6">
        <f t="shared" si="32"/>
        <v>2</v>
      </c>
      <c r="W100" s="6" t="str">
        <f t="shared" si="33"/>
        <v>T038507 2</v>
      </c>
      <c r="X100" s="6" t="str">
        <f t="shared" si="34"/>
        <v>S55345</v>
      </c>
      <c r="Y100" s="6" t="str">
        <f t="shared" si="35"/>
        <v>T03</v>
      </c>
      <c r="Z100" s="6" t="str">
        <f t="shared" si="36"/>
        <v>507</v>
      </c>
      <c r="AA100" s="6">
        <f t="shared" si="41"/>
        <v>2</v>
      </c>
      <c r="AB100" s="6">
        <f t="shared" si="37"/>
        <v>7</v>
      </c>
      <c r="AC100" s="6"/>
      <c r="AD100" s="23"/>
    </row>
    <row r="101" spans="1:30" ht="30" x14ac:dyDescent="0.25">
      <c r="A101" s="2" t="s">
        <v>82</v>
      </c>
      <c r="B101" s="2" t="s">
        <v>501</v>
      </c>
      <c r="C101" s="2" t="s">
        <v>502</v>
      </c>
      <c r="D101" s="2" t="s">
        <v>503</v>
      </c>
      <c r="E101" s="2" t="s">
        <v>504</v>
      </c>
      <c r="F101" s="2">
        <v>11</v>
      </c>
      <c r="G101" s="2" t="s">
        <v>13</v>
      </c>
      <c r="H101" s="2">
        <v>16.5</v>
      </c>
      <c r="I101" s="6">
        <f t="shared" si="38"/>
        <v>181.5</v>
      </c>
      <c r="J101" s="6">
        <f t="shared" si="42"/>
        <v>59</v>
      </c>
      <c r="K101" s="6">
        <f t="shared" si="43"/>
        <v>59</v>
      </c>
      <c r="L101" s="6">
        <f t="shared" si="39"/>
        <v>2960</v>
      </c>
      <c r="M101" s="6">
        <f t="shared" si="44"/>
        <v>154</v>
      </c>
      <c r="N101" s="6" t="b">
        <f t="shared" si="25"/>
        <v>0</v>
      </c>
      <c r="O101" s="6" t="b">
        <f t="shared" si="40"/>
        <v>1</v>
      </c>
      <c r="P101" s="6" t="str">
        <f t="shared" si="26"/>
        <v>C004972-ct</v>
      </c>
      <c r="Q101" s="7" t="str">
        <f t="shared" si="27"/>
        <v>T045622
11</v>
      </c>
      <c r="R101" s="6" t="b">
        <f t="shared" si="28"/>
        <v>0</v>
      </c>
      <c r="S101" s="6" t="str">
        <f t="shared" si="29"/>
        <v>21</v>
      </c>
      <c r="T101" s="6" t="str">
        <f t="shared" si="30"/>
        <v>CT</v>
      </c>
      <c r="U101" s="6" t="str">
        <f t="shared" si="31"/>
        <v>ct</v>
      </c>
      <c r="V101" s="6">
        <f t="shared" si="32"/>
        <v>2</v>
      </c>
      <c r="W101" s="6" t="str">
        <f t="shared" si="33"/>
        <v>T045622 11</v>
      </c>
      <c r="X101" s="6" t="str">
        <f t="shared" si="34"/>
        <v>S55264</v>
      </c>
      <c r="Y101" s="6" t="str">
        <f t="shared" si="35"/>
        <v>T04</v>
      </c>
      <c r="Z101" s="6" t="str">
        <f t="shared" si="36"/>
        <v>622</v>
      </c>
      <c r="AA101" s="6">
        <f t="shared" si="41"/>
        <v>2</v>
      </c>
      <c r="AB101" s="6">
        <f t="shared" si="37"/>
        <v>2</v>
      </c>
      <c r="AC101" s="6"/>
      <c r="AD101" s="23"/>
    </row>
    <row r="102" spans="1:30" ht="30" x14ac:dyDescent="0.25">
      <c r="A102" s="2" t="s">
        <v>116</v>
      </c>
      <c r="B102" s="2" t="s">
        <v>505</v>
      </c>
      <c r="C102" s="2" t="s">
        <v>506</v>
      </c>
      <c r="D102" s="2" t="s">
        <v>441</v>
      </c>
      <c r="E102" s="2" t="s">
        <v>507</v>
      </c>
      <c r="F102" s="2">
        <v>8</v>
      </c>
      <c r="G102" s="2" t="s">
        <v>106</v>
      </c>
      <c r="H102" s="2">
        <v>17</v>
      </c>
      <c r="I102" s="6">
        <f t="shared" si="38"/>
        <v>136</v>
      </c>
      <c r="J102" s="6">
        <f t="shared" si="42"/>
        <v>130.5</v>
      </c>
      <c r="K102" s="6">
        <f t="shared" si="43"/>
        <v>129</v>
      </c>
      <c r="L102" s="6">
        <f t="shared" si="39"/>
        <v>435</v>
      </c>
      <c r="M102" s="6">
        <f t="shared" si="44"/>
        <v>26</v>
      </c>
      <c r="N102" s="6" t="b">
        <f t="shared" si="25"/>
        <v>0</v>
      </c>
      <c r="O102" s="6" t="b">
        <f t="shared" si="40"/>
        <v>1</v>
      </c>
      <c r="P102" s="6" t="str">
        <f t="shared" si="26"/>
        <v>C007493-bags</v>
      </c>
      <c r="Q102" s="7" t="str">
        <f t="shared" si="27"/>
        <v>T028965
8</v>
      </c>
      <c r="R102" s="6" t="b">
        <f t="shared" si="28"/>
        <v>0</v>
      </c>
      <c r="S102" s="6" t="str">
        <f t="shared" si="29"/>
        <v>15</v>
      </c>
      <c r="T102" s="6" t="str">
        <f t="shared" si="30"/>
        <v>BAGS</v>
      </c>
      <c r="U102" s="6" t="str">
        <f t="shared" si="31"/>
        <v>bags</v>
      </c>
      <c r="V102" s="6">
        <f t="shared" si="32"/>
        <v>2</v>
      </c>
      <c r="W102" s="6" t="str">
        <f t="shared" si="33"/>
        <v>T028965 8</v>
      </c>
      <c r="X102" s="6" t="str">
        <f t="shared" si="34"/>
        <v>S55123</v>
      </c>
      <c r="Y102" s="6" t="str">
        <f t="shared" si="35"/>
        <v>T02</v>
      </c>
      <c r="Z102" s="6" t="str">
        <f t="shared" si="36"/>
        <v>965</v>
      </c>
      <c r="AA102" s="6">
        <f t="shared" si="41"/>
        <v>2</v>
      </c>
      <c r="AB102" s="6">
        <f t="shared" si="37"/>
        <v>4</v>
      </c>
      <c r="AC102" s="6"/>
      <c r="AD102" s="23"/>
    </row>
    <row r="103" spans="1:30" ht="30" x14ac:dyDescent="0.25">
      <c r="A103" s="2" t="s">
        <v>121</v>
      </c>
      <c r="B103" s="2" t="s">
        <v>508</v>
      </c>
      <c r="C103" s="2" t="s">
        <v>509</v>
      </c>
      <c r="D103" s="2" t="s">
        <v>510</v>
      </c>
      <c r="E103" s="2" t="s">
        <v>511</v>
      </c>
      <c r="F103" s="2">
        <v>10</v>
      </c>
      <c r="G103" s="2" t="s">
        <v>167</v>
      </c>
      <c r="H103" s="2">
        <v>10</v>
      </c>
      <c r="I103" s="6">
        <f t="shared" si="38"/>
        <v>100</v>
      </c>
      <c r="J103" s="6">
        <f t="shared" si="42"/>
        <v>214.5</v>
      </c>
      <c r="K103" s="6">
        <f t="shared" si="43"/>
        <v>212</v>
      </c>
      <c r="L103" s="6">
        <f t="shared" si="39"/>
        <v>377</v>
      </c>
      <c r="M103" s="6">
        <f t="shared" si="44"/>
        <v>24</v>
      </c>
      <c r="N103" s="6" t="b">
        <f t="shared" si="25"/>
        <v>0</v>
      </c>
      <c r="O103" s="6" t="b">
        <f t="shared" si="40"/>
        <v>0</v>
      </c>
      <c r="P103" s="6" t="str">
        <f t="shared" si="26"/>
        <v>C007851-oz</v>
      </c>
      <c r="Q103" s="7" t="str">
        <f t="shared" si="27"/>
        <v>T018452
10</v>
      </c>
      <c r="R103" s="6" t="b">
        <f t="shared" si="28"/>
        <v>0</v>
      </c>
      <c r="S103" s="6" t="str">
        <f t="shared" si="29"/>
        <v>09</v>
      </c>
      <c r="T103" s="6" t="str">
        <f t="shared" si="30"/>
        <v>OZ</v>
      </c>
      <c r="U103" s="6" t="str">
        <f t="shared" si="31"/>
        <v>oz</v>
      </c>
      <c r="V103" s="6">
        <f t="shared" si="32"/>
        <v>2</v>
      </c>
      <c r="W103" s="6" t="str">
        <f t="shared" si="33"/>
        <v>T018452 10</v>
      </c>
      <c r="X103" s="6" t="str">
        <f t="shared" si="34"/>
        <v>S55664</v>
      </c>
      <c r="Y103" s="6" t="str">
        <f t="shared" si="35"/>
        <v>T01</v>
      </c>
      <c r="Z103" s="6" t="str">
        <f t="shared" si="36"/>
        <v>452</v>
      </c>
      <c r="AA103" s="6">
        <f t="shared" si="41"/>
        <v>2</v>
      </c>
      <c r="AB103" s="6">
        <f t="shared" si="37"/>
        <v>2</v>
      </c>
      <c r="AC103" s="6"/>
      <c r="AD103" s="23"/>
    </row>
    <row r="104" spans="1:30" ht="30" x14ac:dyDescent="0.25">
      <c r="A104" s="2" t="s">
        <v>96</v>
      </c>
      <c r="B104" s="2" t="s">
        <v>512</v>
      </c>
      <c r="C104" s="2" t="s">
        <v>513</v>
      </c>
      <c r="D104" s="2" t="s">
        <v>149</v>
      </c>
      <c r="E104" s="2" t="s">
        <v>514</v>
      </c>
      <c r="F104" s="2">
        <v>4</v>
      </c>
      <c r="G104" s="2" t="s">
        <v>60</v>
      </c>
      <c r="H104" s="2">
        <v>17</v>
      </c>
      <c r="I104" s="6">
        <f t="shared" si="38"/>
        <v>68</v>
      </c>
      <c r="J104" s="6">
        <f t="shared" si="42"/>
        <v>306</v>
      </c>
      <c r="K104" s="6">
        <f t="shared" si="43"/>
        <v>304</v>
      </c>
      <c r="L104" s="6">
        <f t="shared" si="39"/>
        <v>969</v>
      </c>
      <c r="M104" s="6">
        <f t="shared" si="44"/>
        <v>54</v>
      </c>
      <c r="N104" s="6" t="b">
        <f t="shared" si="25"/>
        <v>0</v>
      </c>
      <c r="O104" s="6" t="b">
        <f t="shared" si="40"/>
        <v>1</v>
      </c>
      <c r="P104" s="6" t="str">
        <f t="shared" si="26"/>
        <v>C004867-bottles</v>
      </c>
      <c r="Q104" s="7" t="str">
        <f t="shared" si="27"/>
        <v>T063981
4</v>
      </c>
      <c r="R104" s="6" t="b">
        <f t="shared" si="28"/>
        <v>0</v>
      </c>
      <c r="S104" s="6" t="str">
        <f t="shared" si="29"/>
        <v>07</v>
      </c>
      <c r="T104" s="6" t="str">
        <f t="shared" si="30"/>
        <v>BOTTLES</v>
      </c>
      <c r="U104" s="6" t="str">
        <f t="shared" si="31"/>
        <v>bottles</v>
      </c>
      <c r="V104" s="6">
        <f t="shared" si="32"/>
        <v>2</v>
      </c>
      <c r="W104" s="6" t="str">
        <f t="shared" si="33"/>
        <v>T063981 4</v>
      </c>
      <c r="X104" s="6" t="str">
        <f t="shared" si="34"/>
        <v>S55271</v>
      </c>
      <c r="Y104" s="6" t="str">
        <f t="shared" si="35"/>
        <v>T06</v>
      </c>
      <c r="Z104" s="6" t="str">
        <f t="shared" si="36"/>
        <v>981</v>
      </c>
      <c r="AA104" s="6">
        <f t="shared" si="41"/>
        <v>2</v>
      </c>
      <c r="AB104" s="6">
        <f t="shared" si="37"/>
        <v>7</v>
      </c>
      <c r="AC104" s="6"/>
      <c r="AD104" s="23"/>
    </row>
    <row r="105" spans="1:30" ht="30" x14ac:dyDescent="0.25">
      <c r="A105" s="2" t="s">
        <v>25</v>
      </c>
      <c r="B105" s="2" t="s">
        <v>515</v>
      </c>
      <c r="C105" s="2" t="s">
        <v>516</v>
      </c>
      <c r="D105" s="2" t="s">
        <v>517</v>
      </c>
      <c r="E105" s="2" t="s">
        <v>518</v>
      </c>
      <c r="F105" s="2">
        <v>4</v>
      </c>
      <c r="G105" s="2" t="s">
        <v>13</v>
      </c>
      <c r="H105" s="2">
        <v>20</v>
      </c>
      <c r="I105" s="6">
        <f t="shared" si="38"/>
        <v>80</v>
      </c>
      <c r="J105" s="6">
        <f t="shared" si="42"/>
        <v>275</v>
      </c>
      <c r="K105" s="6">
        <f t="shared" si="43"/>
        <v>272</v>
      </c>
      <c r="L105" s="6">
        <f t="shared" si="39"/>
        <v>2959.5</v>
      </c>
      <c r="M105" s="6">
        <f t="shared" si="44"/>
        <v>154</v>
      </c>
      <c r="N105" s="6" t="b">
        <f t="shared" si="25"/>
        <v>0</v>
      </c>
      <c r="O105" s="6" t="b">
        <f t="shared" si="40"/>
        <v>1</v>
      </c>
      <c r="P105" s="6" t="str">
        <f t="shared" si="26"/>
        <v>C000893-ct</v>
      </c>
      <c r="Q105" s="7" t="str">
        <f t="shared" si="27"/>
        <v>T036720
4</v>
      </c>
      <c r="R105" s="6" t="b">
        <f t="shared" si="28"/>
        <v>0</v>
      </c>
      <c r="S105" s="6" t="str">
        <f t="shared" si="29"/>
        <v>14</v>
      </c>
      <c r="T105" s="6" t="str">
        <f t="shared" si="30"/>
        <v>CT</v>
      </c>
      <c r="U105" s="6" t="str">
        <f t="shared" si="31"/>
        <v>ct</v>
      </c>
      <c r="V105" s="6">
        <f t="shared" si="32"/>
        <v>2</v>
      </c>
      <c r="W105" s="6" t="str">
        <f t="shared" si="33"/>
        <v>T036720 4</v>
      </c>
      <c r="X105" s="6" t="str">
        <f t="shared" si="34"/>
        <v>S55147</v>
      </c>
      <c r="Y105" s="6" t="str">
        <f t="shared" si="35"/>
        <v>T03</v>
      </c>
      <c r="Z105" s="6" t="str">
        <f t="shared" si="36"/>
        <v>720</v>
      </c>
      <c r="AA105" s="6">
        <f t="shared" si="41"/>
        <v>2</v>
      </c>
      <c r="AB105" s="6">
        <f t="shared" si="37"/>
        <v>2</v>
      </c>
      <c r="AC105" s="6"/>
      <c r="AD105" s="23"/>
    </row>
    <row r="106" spans="1:30" ht="30" x14ac:dyDescent="0.25">
      <c r="A106" s="2" t="s">
        <v>519</v>
      </c>
      <c r="B106" s="2" t="s">
        <v>520</v>
      </c>
      <c r="C106" s="2" t="s">
        <v>521</v>
      </c>
      <c r="D106" s="2" t="s">
        <v>198</v>
      </c>
      <c r="E106" s="2" t="s">
        <v>522</v>
      </c>
      <c r="F106" s="2">
        <v>1</v>
      </c>
      <c r="G106" s="2" t="s">
        <v>60</v>
      </c>
      <c r="H106" s="2">
        <v>20</v>
      </c>
      <c r="I106" s="6">
        <f t="shared" si="38"/>
        <v>20</v>
      </c>
      <c r="J106" s="6">
        <f t="shared" si="42"/>
        <v>464</v>
      </c>
      <c r="K106" s="6">
        <f t="shared" si="43"/>
        <v>462</v>
      </c>
      <c r="L106" s="6">
        <f t="shared" si="39"/>
        <v>952</v>
      </c>
      <c r="M106" s="6">
        <f t="shared" si="44"/>
        <v>53</v>
      </c>
      <c r="N106" s="6" t="b">
        <f t="shared" si="25"/>
        <v>0</v>
      </c>
      <c r="O106" s="6" t="b">
        <f t="shared" si="40"/>
        <v>1</v>
      </c>
      <c r="P106" s="6" t="str">
        <f t="shared" si="26"/>
        <v>C002529-bottles</v>
      </c>
      <c r="Q106" s="7" t="str">
        <f t="shared" si="27"/>
        <v>T06611
1</v>
      </c>
      <c r="R106" s="6" t="b">
        <f t="shared" si="28"/>
        <v>0</v>
      </c>
      <c r="S106" s="6" t="str">
        <f t="shared" si="29"/>
        <v>06</v>
      </c>
      <c r="T106" s="6" t="str">
        <f t="shared" si="30"/>
        <v>BOTTLES</v>
      </c>
      <c r="U106" s="6" t="str">
        <f t="shared" si="31"/>
        <v>bottles</v>
      </c>
      <c r="V106" s="6">
        <f t="shared" si="32"/>
        <v>2</v>
      </c>
      <c r="W106" s="6" t="str">
        <f t="shared" si="33"/>
        <v>T06611 1</v>
      </c>
      <c r="X106" s="6" t="str">
        <f t="shared" si="34"/>
        <v>S5549</v>
      </c>
      <c r="Y106" s="6" t="str">
        <f t="shared" si="35"/>
        <v>T06</v>
      </c>
      <c r="Z106" s="6" t="str">
        <f t="shared" si="36"/>
        <v>611</v>
      </c>
      <c r="AA106" s="6">
        <f t="shared" si="41"/>
        <v>2</v>
      </c>
      <c r="AB106" s="6">
        <f t="shared" si="37"/>
        <v>7</v>
      </c>
      <c r="AC106" s="6"/>
      <c r="AD106" s="23"/>
    </row>
    <row r="107" spans="1:30" ht="30" x14ac:dyDescent="0.25">
      <c r="A107" s="2" t="s">
        <v>523</v>
      </c>
      <c r="B107" s="2" t="s">
        <v>524</v>
      </c>
      <c r="C107" s="2" t="s">
        <v>525</v>
      </c>
      <c r="D107" s="2" t="s">
        <v>526</v>
      </c>
      <c r="E107" s="2" t="s">
        <v>527</v>
      </c>
      <c r="F107" s="2">
        <v>8</v>
      </c>
      <c r="G107" s="2" t="s">
        <v>13</v>
      </c>
      <c r="H107" s="2">
        <v>13</v>
      </c>
      <c r="I107" s="6">
        <f t="shared" si="38"/>
        <v>104</v>
      </c>
      <c r="J107" s="6">
        <f t="shared" si="42"/>
        <v>207.5</v>
      </c>
      <c r="K107" s="6">
        <f t="shared" si="43"/>
        <v>207</v>
      </c>
      <c r="L107" s="6">
        <f t="shared" si="39"/>
        <v>2939.5</v>
      </c>
      <c r="M107" s="6">
        <f t="shared" si="44"/>
        <v>153</v>
      </c>
      <c r="N107" s="6" t="b">
        <f t="shared" si="25"/>
        <v>0</v>
      </c>
      <c r="O107" s="6" t="b">
        <f t="shared" si="40"/>
        <v>1</v>
      </c>
      <c r="P107" s="6" t="str">
        <f t="shared" si="26"/>
        <v>C008597-ct</v>
      </c>
      <c r="Q107" s="7" t="str">
        <f t="shared" si="27"/>
        <v>T04776
8</v>
      </c>
      <c r="R107" s="6" t="b">
        <f t="shared" si="28"/>
        <v>0</v>
      </c>
      <c r="S107" s="6" t="str">
        <f t="shared" si="29"/>
        <v>18</v>
      </c>
      <c r="T107" s="6" t="str">
        <f t="shared" si="30"/>
        <v>CT</v>
      </c>
      <c r="U107" s="6" t="str">
        <f t="shared" si="31"/>
        <v>ct</v>
      </c>
      <c r="V107" s="6">
        <f t="shared" si="32"/>
        <v>2</v>
      </c>
      <c r="W107" s="6" t="str">
        <f t="shared" si="33"/>
        <v>T04776 8</v>
      </c>
      <c r="X107" s="6" t="str">
        <f t="shared" si="34"/>
        <v>S55282</v>
      </c>
      <c r="Y107" s="6" t="str">
        <f t="shared" si="35"/>
        <v>T04</v>
      </c>
      <c r="Z107" s="6" t="str">
        <f t="shared" si="36"/>
        <v>776</v>
      </c>
      <c r="AA107" s="6">
        <f t="shared" si="41"/>
        <v>2</v>
      </c>
      <c r="AB107" s="6">
        <f t="shared" si="37"/>
        <v>2</v>
      </c>
      <c r="AC107" s="6"/>
      <c r="AD107" s="23"/>
    </row>
    <row r="108" spans="1:30" ht="30" x14ac:dyDescent="0.25">
      <c r="A108" s="2" t="s">
        <v>8</v>
      </c>
      <c r="B108" s="2" t="s">
        <v>528</v>
      </c>
      <c r="C108" s="2" t="s">
        <v>529</v>
      </c>
      <c r="D108" s="2" t="s">
        <v>530</v>
      </c>
      <c r="E108" s="2" t="s">
        <v>531</v>
      </c>
      <c r="F108" s="2">
        <v>7</v>
      </c>
      <c r="G108" s="2" t="s">
        <v>60</v>
      </c>
      <c r="H108" s="2">
        <v>22</v>
      </c>
      <c r="I108" s="6">
        <f t="shared" si="38"/>
        <v>154</v>
      </c>
      <c r="J108" s="6">
        <f t="shared" si="42"/>
        <v>100.5</v>
      </c>
      <c r="K108" s="6">
        <f t="shared" si="43"/>
        <v>99</v>
      </c>
      <c r="L108" s="6">
        <f t="shared" si="39"/>
        <v>932</v>
      </c>
      <c r="M108" s="6">
        <f t="shared" si="44"/>
        <v>52</v>
      </c>
      <c r="N108" s="6" t="b">
        <f t="shared" si="25"/>
        <v>1</v>
      </c>
      <c r="O108" s="6" t="b">
        <f t="shared" si="40"/>
        <v>1</v>
      </c>
      <c r="P108" s="6" t="str">
        <f t="shared" si="26"/>
        <v>C004165-bottles</v>
      </c>
      <c r="Q108" s="7" t="str">
        <f t="shared" si="27"/>
        <v>T018323
7</v>
      </c>
      <c r="R108" s="6" t="b">
        <f t="shared" si="28"/>
        <v>0</v>
      </c>
      <c r="S108" s="6" t="str">
        <f t="shared" si="29"/>
        <v>06</v>
      </c>
      <c r="T108" s="6" t="str">
        <f t="shared" si="30"/>
        <v>BOTTLES</v>
      </c>
      <c r="U108" s="6" t="str">
        <f t="shared" si="31"/>
        <v>bottles</v>
      </c>
      <c r="V108" s="6">
        <f t="shared" si="32"/>
        <v>2</v>
      </c>
      <c r="W108" s="6" t="str">
        <f t="shared" si="33"/>
        <v>T018323 7</v>
      </c>
      <c r="X108" s="6" t="str">
        <f t="shared" si="34"/>
        <v>S55566</v>
      </c>
      <c r="Y108" s="6" t="str">
        <f t="shared" si="35"/>
        <v>T01</v>
      </c>
      <c r="Z108" s="6" t="str">
        <f t="shared" si="36"/>
        <v>323</v>
      </c>
      <c r="AA108" s="6">
        <f t="shared" si="41"/>
        <v>2</v>
      </c>
      <c r="AB108" s="6">
        <f t="shared" si="37"/>
        <v>7</v>
      </c>
      <c r="AC108" s="6"/>
      <c r="AD108" s="23"/>
    </row>
    <row r="109" spans="1:30" ht="30" x14ac:dyDescent="0.25">
      <c r="A109" s="2" t="s">
        <v>82</v>
      </c>
      <c r="B109" s="2" t="s">
        <v>532</v>
      </c>
      <c r="C109" s="2" t="s">
        <v>533</v>
      </c>
      <c r="D109" s="2" t="s">
        <v>248</v>
      </c>
      <c r="E109" s="2" t="s">
        <v>534</v>
      </c>
      <c r="F109" s="2">
        <v>9</v>
      </c>
      <c r="G109" s="2" t="s">
        <v>13</v>
      </c>
      <c r="H109" s="2">
        <v>24</v>
      </c>
      <c r="I109" s="6">
        <f t="shared" si="38"/>
        <v>216</v>
      </c>
      <c r="J109" s="6">
        <f t="shared" si="42"/>
        <v>38</v>
      </c>
      <c r="K109" s="6">
        <f t="shared" si="43"/>
        <v>37</v>
      </c>
      <c r="L109" s="6">
        <f t="shared" si="39"/>
        <v>2926.5</v>
      </c>
      <c r="M109" s="6">
        <f t="shared" si="44"/>
        <v>152</v>
      </c>
      <c r="N109" s="6" t="b">
        <f t="shared" si="25"/>
        <v>1</v>
      </c>
      <c r="O109" s="6" t="b">
        <f t="shared" si="40"/>
        <v>1</v>
      </c>
      <c r="P109" s="6" t="str">
        <f t="shared" si="26"/>
        <v>C007895-ct</v>
      </c>
      <c r="Q109" s="7" t="str">
        <f t="shared" si="27"/>
        <v>T041053
9</v>
      </c>
      <c r="R109" s="6" t="b">
        <f t="shared" si="28"/>
        <v>0</v>
      </c>
      <c r="S109" s="6" t="str">
        <f t="shared" si="29"/>
        <v>19</v>
      </c>
      <c r="T109" s="6" t="str">
        <f t="shared" si="30"/>
        <v>CT</v>
      </c>
      <c r="U109" s="6" t="str">
        <f t="shared" si="31"/>
        <v>ct</v>
      </c>
      <c r="V109" s="6">
        <f t="shared" si="32"/>
        <v>2</v>
      </c>
      <c r="W109" s="6" t="str">
        <f t="shared" si="33"/>
        <v>T041053 9</v>
      </c>
      <c r="X109" s="6" t="str">
        <f t="shared" si="34"/>
        <v>S55157</v>
      </c>
      <c r="Y109" s="6" t="str">
        <f t="shared" si="35"/>
        <v>T04</v>
      </c>
      <c r="Z109" s="6" t="str">
        <f t="shared" si="36"/>
        <v>053</v>
      </c>
      <c r="AA109" s="6">
        <f t="shared" si="41"/>
        <v>2</v>
      </c>
      <c r="AB109" s="6">
        <f t="shared" si="37"/>
        <v>2</v>
      </c>
      <c r="AC109" s="6"/>
      <c r="AD109" s="23"/>
    </row>
    <row r="110" spans="1:30" ht="30" x14ac:dyDescent="0.25">
      <c r="A110" s="2" t="s">
        <v>339</v>
      </c>
      <c r="B110" s="2" t="s">
        <v>535</v>
      </c>
      <c r="C110" s="2" t="s">
        <v>536</v>
      </c>
      <c r="D110" s="2" t="s">
        <v>537</v>
      </c>
      <c r="E110" s="2" t="s">
        <v>538</v>
      </c>
      <c r="F110" s="2">
        <v>8</v>
      </c>
      <c r="G110" s="2" t="s">
        <v>60</v>
      </c>
      <c r="H110" s="2">
        <v>10</v>
      </c>
      <c r="I110" s="6">
        <f t="shared" si="38"/>
        <v>80</v>
      </c>
      <c r="J110" s="6">
        <f t="shared" si="42"/>
        <v>275</v>
      </c>
      <c r="K110" s="6">
        <f t="shared" si="43"/>
        <v>272</v>
      </c>
      <c r="L110" s="6">
        <f t="shared" si="39"/>
        <v>910</v>
      </c>
      <c r="M110" s="6">
        <f t="shared" si="44"/>
        <v>51</v>
      </c>
      <c r="N110" s="6" t="b">
        <f t="shared" si="25"/>
        <v>0</v>
      </c>
      <c r="O110" s="6" t="b">
        <f t="shared" si="40"/>
        <v>0</v>
      </c>
      <c r="P110" s="6" t="str">
        <f t="shared" si="26"/>
        <v>C006255-bottles</v>
      </c>
      <c r="Q110" s="7" t="str">
        <f t="shared" si="27"/>
        <v>T053308
8</v>
      </c>
      <c r="R110" s="6" t="b">
        <f t="shared" si="28"/>
        <v>0</v>
      </c>
      <c r="S110" s="6" t="str">
        <f t="shared" si="29"/>
        <v>09</v>
      </c>
      <c r="T110" s="6" t="str">
        <f t="shared" si="30"/>
        <v>BOTTLES</v>
      </c>
      <c r="U110" s="6" t="str">
        <f t="shared" si="31"/>
        <v>bottles</v>
      </c>
      <c r="V110" s="6">
        <f t="shared" si="32"/>
        <v>2</v>
      </c>
      <c r="W110" s="6" t="str">
        <f t="shared" si="33"/>
        <v>T053308 8</v>
      </c>
      <c r="X110" s="6" t="str">
        <f t="shared" si="34"/>
        <v>S55289</v>
      </c>
      <c r="Y110" s="6" t="str">
        <f t="shared" si="35"/>
        <v>T05</v>
      </c>
      <c r="Z110" s="6" t="str">
        <f t="shared" si="36"/>
        <v>308</v>
      </c>
      <c r="AA110" s="6">
        <f t="shared" si="41"/>
        <v>2</v>
      </c>
      <c r="AB110" s="6">
        <f t="shared" si="37"/>
        <v>7</v>
      </c>
      <c r="AC110" s="6"/>
      <c r="AD110" s="23"/>
    </row>
    <row r="111" spans="1:30" ht="30" x14ac:dyDescent="0.25">
      <c r="A111" s="2" t="s">
        <v>8</v>
      </c>
      <c r="B111" s="2" t="s">
        <v>539</v>
      </c>
      <c r="C111" s="2" t="s">
        <v>540</v>
      </c>
      <c r="D111" s="2" t="s">
        <v>541</v>
      </c>
      <c r="E111" s="2" t="s">
        <v>542</v>
      </c>
      <c r="F111" s="2">
        <v>1</v>
      </c>
      <c r="G111" s="2" t="s">
        <v>13</v>
      </c>
      <c r="H111" s="2">
        <v>13.5</v>
      </c>
      <c r="I111" s="6">
        <f t="shared" si="38"/>
        <v>13.5</v>
      </c>
      <c r="J111" s="6">
        <f t="shared" si="42"/>
        <v>483.5</v>
      </c>
      <c r="K111" s="6">
        <f t="shared" si="43"/>
        <v>483</v>
      </c>
      <c r="L111" s="6">
        <f t="shared" si="39"/>
        <v>2902.5</v>
      </c>
      <c r="M111" s="6">
        <f t="shared" si="44"/>
        <v>151</v>
      </c>
      <c r="N111" s="6" t="b">
        <f t="shared" si="25"/>
        <v>0</v>
      </c>
      <c r="O111" s="6" t="b">
        <f t="shared" si="40"/>
        <v>1</v>
      </c>
      <c r="P111" s="6" t="str">
        <f t="shared" si="26"/>
        <v>C000553-ct</v>
      </c>
      <c r="Q111" s="7" t="str">
        <f t="shared" si="27"/>
        <v>T078183
1</v>
      </c>
      <c r="R111" s="6" t="b">
        <f t="shared" si="28"/>
        <v>0</v>
      </c>
      <c r="S111" s="6" t="str">
        <f t="shared" si="29"/>
        <v>22</v>
      </c>
      <c r="T111" s="6" t="str">
        <f t="shared" si="30"/>
        <v>CT</v>
      </c>
      <c r="U111" s="6" t="str">
        <f t="shared" si="31"/>
        <v>ct</v>
      </c>
      <c r="V111" s="6">
        <f t="shared" si="32"/>
        <v>2</v>
      </c>
      <c r="W111" s="6" t="str">
        <f t="shared" si="33"/>
        <v>T078183 1</v>
      </c>
      <c r="X111" s="6" t="str">
        <f t="shared" si="34"/>
        <v>S55551</v>
      </c>
      <c r="Y111" s="6" t="str">
        <f t="shared" si="35"/>
        <v>T07</v>
      </c>
      <c r="Z111" s="6" t="str">
        <f t="shared" si="36"/>
        <v>183</v>
      </c>
      <c r="AA111" s="6">
        <f t="shared" si="41"/>
        <v>2</v>
      </c>
      <c r="AB111" s="6">
        <f t="shared" si="37"/>
        <v>2</v>
      </c>
      <c r="AC111" s="6"/>
      <c r="AD111" s="23"/>
    </row>
    <row r="112" spans="1:30" ht="30" x14ac:dyDescent="0.25">
      <c r="A112" s="2" t="s">
        <v>91</v>
      </c>
      <c r="B112" s="2" t="s">
        <v>543</v>
      </c>
      <c r="C112" s="2" t="s">
        <v>544</v>
      </c>
      <c r="D112" s="2" t="s">
        <v>503</v>
      </c>
      <c r="E112" s="2" t="s">
        <v>545</v>
      </c>
      <c r="F112" s="2">
        <v>3</v>
      </c>
      <c r="G112" s="2" t="s">
        <v>13</v>
      </c>
      <c r="H112" s="2">
        <v>16.5</v>
      </c>
      <c r="I112" s="6">
        <f t="shared" si="38"/>
        <v>49.5</v>
      </c>
      <c r="J112" s="6">
        <f t="shared" si="42"/>
        <v>376</v>
      </c>
      <c r="K112" s="6">
        <f t="shared" si="43"/>
        <v>376</v>
      </c>
      <c r="L112" s="6">
        <f t="shared" si="39"/>
        <v>2889</v>
      </c>
      <c r="M112" s="6">
        <f t="shared" si="44"/>
        <v>150</v>
      </c>
      <c r="N112" s="6" t="b">
        <f t="shared" si="25"/>
        <v>0</v>
      </c>
      <c r="O112" s="6" t="b">
        <f t="shared" si="40"/>
        <v>1</v>
      </c>
      <c r="P112" s="6" t="str">
        <f t="shared" si="26"/>
        <v>C008077-ct</v>
      </c>
      <c r="Q112" s="7" t="str">
        <f t="shared" si="27"/>
        <v>T023535
3</v>
      </c>
      <c r="R112" s="6" t="b">
        <f t="shared" si="28"/>
        <v>0</v>
      </c>
      <c r="S112" s="6" t="str">
        <f t="shared" si="29"/>
        <v>21</v>
      </c>
      <c r="T112" s="6" t="str">
        <f t="shared" si="30"/>
        <v>CT</v>
      </c>
      <c r="U112" s="6" t="str">
        <f t="shared" si="31"/>
        <v>ct</v>
      </c>
      <c r="V112" s="6">
        <f t="shared" si="32"/>
        <v>2</v>
      </c>
      <c r="W112" s="6" t="str">
        <f t="shared" si="33"/>
        <v>T023535 3</v>
      </c>
      <c r="X112" s="6" t="str">
        <f t="shared" si="34"/>
        <v>S55495</v>
      </c>
      <c r="Y112" s="6" t="str">
        <f t="shared" si="35"/>
        <v>T02</v>
      </c>
      <c r="Z112" s="6" t="str">
        <f t="shared" si="36"/>
        <v>535</v>
      </c>
      <c r="AA112" s="6">
        <f t="shared" si="41"/>
        <v>2</v>
      </c>
      <c r="AB112" s="6">
        <f t="shared" si="37"/>
        <v>2</v>
      </c>
      <c r="AC112" s="6"/>
      <c r="AD112" s="23"/>
    </row>
    <row r="113" spans="1:30" ht="30" x14ac:dyDescent="0.25">
      <c r="A113" s="2" t="s">
        <v>25</v>
      </c>
      <c r="B113" s="2" t="s">
        <v>546</v>
      </c>
      <c r="C113" s="2" t="s">
        <v>547</v>
      </c>
      <c r="D113" s="2" t="s">
        <v>548</v>
      </c>
      <c r="E113" s="2" t="s">
        <v>549</v>
      </c>
      <c r="F113" s="2">
        <v>3</v>
      </c>
      <c r="G113" s="2" t="s">
        <v>35</v>
      </c>
      <c r="H113" s="2">
        <v>8</v>
      </c>
      <c r="I113" s="6">
        <f t="shared" si="38"/>
        <v>24</v>
      </c>
      <c r="J113" s="6">
        <f t="shared" si="42"/>
        <v>453</v>
      </c>
      <c r="K113" s="6">
        <f t="shared" si="43"/>
        <v>451</v>
      </c>
      <c r="L113" s="6">
        <f t="shared" si="39"/>
        <v>1520.5</v>
      </c>
      <c r="M113" s="6">
        <f t="shared" si="44"/>
        <v>87</v>
      </c>
      <c r="N113" s="6" t="b">
        <f t="shared" si="25"/>
        <v>0</v>
      </c>
      <c r="O113" s="6" t="b">
        <f t="shared" si="40"/>
        <v>1</v>
      </c>
      <c r="P113" s="6" t="str">
        <f t="shared" si="26"/>
        <v>C005936-cans</v>
      </c>
      <c r="Q113" s="7" t="str">
        <f t="shared" si="27"/>
        <v>T057062
3</v>
      </c>
      <c r="R113" s="6" t="b">
        <f t="shared" si="28"/>
        <v>0</v>
      </c>
      <c r="S113" s="6" t="str">
        <f t="shared" si="29"/>
        <v>04</v>
      </c>
      <c r="T113" s="6" t="str">
        <f t="shared" si="30"/>
        <v>CANS</v>
      </c>
      <c r="U113" s="6" t="str">
        <f t="shared" si="31"/>
        <v>cans</v>
      </c>
      <c r="V113" s="6">
        <f t="shared" si="32"/>
        <v>2</v>
      </c>
      <c r="W113" s="6" t="str">
        <f t="shared" si="33"/>
        <v>T057062 3</v>
      </c>
      <c r="X113" s="6" t="str">
        <f t="shared" si="34"/>
        <v>S55429</v>
      </c>
      <c r="Y113" s="6" t="str">
        <f t="shared" si="35"/>
        <v>T05</v>
      </c>
      <c r="Z113" s="6" t="str">
        <f t="shared" si="36"/>
        <v>062</v>
      </c>
      <c r="AA113" s="6">
        <f t="shared" si="41"/>
        <v>2</v>
      </c>
      <c r="AB113" s="6">
        <f t="shared" si="37"/>
        <v>4</v>
      </c>
      <c r="AC113" s="6"/>
      <c r="AD113" s="23"/>
    </row>
    <row r="114" spans="1:30" ht="30" x14ac:dyDescent="0.25">
      <c r="A114" s="2" t="s">
        <v>523</v>
      </c>
      <c r="B114" s="2" t="s">
        <v>550</v>
      </c>
      <c r="C114" s="2" t="s">
        <v>551</v>
      </c>
      <c r="D114" s="2" t="s">
        <v>552</v>
      </c>
      <c r="E114" s="2" t="s">
        <v>553</v>
      </c>
      <c r="F114" s="2">
        <v>5</v>
      </c>
      <c r="G114" s="2" t="s">
        <v>60</v>
      </c>
      <c r="H114" s="2">
        <v>14</v>
      </c>
      <c r="I114" s="6">
        <f t="shared" si="38"/>
        <v>70</v>
      </c>
      <c r="J114" s="6">
        <f t="shared" si="42"/>
        <v>301.5</v>
      </c>
      <c r="K114" s="6">
        <f t="shared" si="43"/>
        <v>300</v>
      </c>
      <c r="L114" s="6">
        <f t="shared" si="39"/>
        <v>900</v>
      </c>
      <c r="M114" s="6">
        <f t="shared" si="44"/>
        <v>50</v>
      </c>
      <c r="N114" s="6" t="b">
        <f t="shared" si="25"/>
        <v>0</v>
      </c>
      <c r="O114" s="6" t="b">
        <f t="shared" si="40"/>
        <v>1</v>
      </c>
      <c r="P114" s="6" t="str">
        <f t="shared" si="26"/>
        <v>C000180-bottles</v>
      </c>
      <c r="Q114" s="7" t="str">
        <f t="shared" si="27"/>
        <v>T033556
5</v>
      </c>
      <c r="R114" s="6" t="b">
        <f t="shared" si="28"/>
        <v>0</v>
      </c>
      <c r="S114" s="6" t="str">
        <f t="shared" si="29"/>
        <v>08</v>
      </c>
      <c r="T114" s="6" t="str">
        <f t="shared" si="30"/>
        <v>BOTTLES</v>
      </c>
      <c r="U114" s="6" t="str">
        <f t="shared" si="31"/>
        <v>bottles</v>
      </c>
      <c r="V114" s="6">
        <f t="shared" si="32"/>
        <v>2</v>
      </c>
      <c r="W114" s="6" t="str">
        <f t="shared" si="33"/>
        <v>T033556 5</v>
      </c>
      <c r="X114" s="6" t="str">
        <f t="shared" si="34"/>
        <v>S55159</v>
      </c>
      <c r="Y114" s="6" t="str">
        <f t="shared" si="35"/>
        <v>T03</v>
      </c>
      <c r="Z114" s="6" t="str">
        <f t="shared" si="36"/>
        <v>556</v>
      </c>
      <c r="AA114" s="6">
        <f t="shared" si="41"/>
        <v>2</v>
      </c>
      <c r="AB114" s="6">
        <f t="shared" si="37"/>
        <v>7</v>
      </c>
      <c r="AC114" s="6"/>
      <c r="AD114" s="23"/>
    </row>
    <row r="115" spans="1:30" ht="30" x14ac:dyDescent="0.25">
      <c r="A115" s="2" t="s">
        <v>519</v>
      </c>
      <c r="B115" s="2" t="s">
        <v>554</v>
      </c>
      <c r="C115" s="2" t="s">
        <v>555</v>
      </c>
      <c r="D115" s="2" t="s">
        <v>556</v>
      </c>
      <c r="E115" s="2" t="s">
        <v>557</v>
      </c>
      <c r="F115" s="2">
        <v>10</v>
      </c>
      <c r="G115" s="2" t="s">
        <v>402</v>
      </c>
      <c r="H115" s="2">
        <v>19.5</v>
      </c>
      <c r="I115" s="6">
        <f t="shared" si="38"/>
        <v>195</v>
      </c>
      <c r="J115" s="6">
        <f t="shared" si="42"/>
        <v>53.5</v>
      </c>
      <c r="K115" s="6">
        <f t="shared" si="43"/>
        <v>53</v>
      </c>
      <c r="L115" s="6">
        <f t="shared" si="39"/>
        <v>220</v>
      </c>
      <c r="M115" s="6">
        <f t="shared" si="44"/>
        <v>11</v>
      </c>
      <c r="N115" s="6" t="b">
        <f t="shared" si="25"/>
        <v>0</v>
      </c>
      <c r="O115" s="6" t="b">
        <f t="shared" si="40"/>
        <v>1</v>
      </c>
      <c r="P115" s="6" t="str">
        <f t="shared" si="26"/>
        <v>C001090-pack</v>
      </c>
      <c r="Q115" s="7" t="str">
        <f t="shared" si="27"/>
        <v>T059539
10</v>
      </c>
      <c r="R115" s="6" t="b">
        <f t="shared" si="28"/>
        <v>0</v>
      </c>
      <c r="S115" s="6" t="str">
        <f t="shared" si="29"/>
        <v>25</v>
      </c>
      <c r="T115" s="6" t="str">
        <f t="shared" si="30"/>
        <v>PACK</v>
      </c>
      <c r="U115" s="6" t="str">
        <f t="shared" si="31"/>
        <v>pack</v>
      </c>
      <c r="V115" s="6">
        <f t="shared" si="32"/>
        <v>2</v>
      </c>
      <c r="W115" s="6" t="str">
        <f t="shared" si="33"/>
        <v>T059539 10</v>
      </c>
      <c r="X115" s="6" t="str">
        <f t="shared" si="34"/>
        <v>S55133</v>
      </c>
      <c r="Y115" s="6" t="str">
        <f t="shared" si="35"/>
        <v>T05</v>
      </c>
      <c r="Z115" s="6" t="str">
        <f t="shared" si="36"/>
        <v>539</v>
      </c>
      <c r="AA115" s="6">
        <f t="shared" si="41"/>
        <v>2</v>
      </c>
      <c r="AB115" s="6">
        <f t="shared" si="37"/>
        <v>4</v>
      </c>
      <c r="AC115" s="6"/>
      <c r="AD115" s="23"/>
    </row>
    <row r="116" spans="1:30" ht="30" x14ac:dyDescent="0.25">
      <c r="A116" s="2" t="s">
        <v>137</v>
      </c>
      <c r="B116" s="2" t="s">
        <v>558</v>
      </c>
      <c r="C116" s="2" t="s">
        <v>559</v>
      </c>
      <c r="D116" s="2" t="s">
        <v>243</v>
      </c>
      <c r="E116" s="2" t="s">
        <v>560</v>
      </c>
      <c r="F116" s="2">
        <v>11</v>
      </c>
      <c r="G116" s="2" t="s">
        <v>245</v>
      </c>
      <c r="H116" s="2">
        <v>12</v>
      </c>
      <c r="I116" s="6">
        <f t="shared" si="38"/>
        <v>132</v>
      </c>
      <c r="J116" s="6">
        <f t="shared" si="42"/>
        <v>139.5</v>
      </c>
      <c r="K116" s="6">
        <f t="shared" si="43"/>
        <v>137</v>
      </c>
      <c r="L116" s="6">
        <f t="shared" si="39"/>
        <v>36</v>
      </c>
      <c r="M116" s="6">
        <f t="shared" si="44"/>
        <v>3</v>
      </c>
      <c r="N116" s="6" t="b">
        <f t="shared" si="25"/>
        <v>0</v>
      </c>
      <c r="O116" s="6" t="b">
        <f t="shared" si="40"/>
        <v>1</v>
      </c>
      <c r="P116" s="6" t="str">
        <f t="shared" si="26"/>
        <v>C006813-tins</v>
      </c>
      <c r="Q116" s="7" t="str">
        <f t="shared" si="27"/>
        <v>T067589
11</v>
      </c>
      <c r="R116" s="6" t="b">
        <f t="shared" si="28"/>
        <v>0</v>
      </c>
      <c r="S116" s="6" t="str">
        <f t="shared" si="29"/>
        <v>23</v>
      </c>
      <c r="T116" s="6" t="str">
        <f t="shared" si="30"/>
        <v>TINS</v>
      </c>
      <c r="U116" s="6" t="str">
        <f t="shared" si="31"/>
        <v>tins</v>
      </c>
      <c r="V116" s="6">
        <f t="shared" si="32"/>
        <v>2</v>
      </c>
      <c r="W116" s="6" t="str">
        <f t="shared" si="33"/>
        <v>T067589 11</v>
      </c>
      <c r="X116" s="6" t="str">
        <f t="shared" si="34"/>
        <v>S55755</v>
      </c>
      <c r="Y116" s="6" t="str">
        <f t="shared" si="35"/>
        <v>T06</v>
      </c>
      <c r="Z116" s="6" t="str">
        <f t="shared" si="36"/>
        <v>589</v>
      </c>
      <c r="AA116" s="6">
        <f t="shared" si="41"/>
        <v>2</v>
      </c>
      <c r="AB116" s="6">
        <f t="shared" si="37"/>
        <v>4</v>
      </c>
      <c r="AC116" s="6"/>
      <c r="AD116" s="23"/>
    </row>
    <row r="117" spans="1:30" ht="30" x14ac:dyDescent="0.25">
      <c r="A117" s="2" t="s">
        <v>82</v>
      </c>
      <c r="B117" s="2" t="s">
        <v>561</v>
      </c>
      <c r="C117" s="2" t="s">
        <v>562</v>
      </c>
      <c r="D117" s="2" t="s">
        <v>563</v>
      </c>
      <c r="E117" s="2" t="s">
        <v>564</v>
      </c>
      <c r="F117" s="2">
        <v>3</v>
      </c>
      <c r="G117" s="2" t="s">
        <v>60</v>
      </c>
      <c r="H117" s="2">
        <v>18</v>
      </c>
      <c r="I117" s="6">
        <f t="shared" si="38"/>
        <v>54</v>
      </c>
      <c r="J117" s="6">
        <f t="shared" si="42"/>
        <v>366.5</v>
      </c>
      <c r="K117" s="6">
        <f t="shared" si="43"/>
        <v>365</v>
      </c>
      <c r="L117" s="6">
        <f t="shared" si="39"/>
        <v>886</v>
      </c>
      <c r="M117" s="6">
        <f t="shared" si="44"/>
        <v>49</v>
      </c>
      <c r="N117" s="6" t="b">
        <f t="shared" si="25"/>
        <v>0</v>
      </c>
      <c r="O117" s="6" t="b">
        <f t="shared" si="40"/>
        <v>1</v>
      </c>
      <c r="P117" s="6" t="str">
        <f t="shared" si="26"/>
        <v>C007874-bottles</v>
      </c>
      <c r="Q117" s="7" t="str">
        <f t="shared" si="27"/>
        <v>T096180
3</v>
      </c>
      <c r="R117" s="6" t="b">
        <f t="shared" si="28"/>
        <v>0</v>
      </c>
      <c r="S117" s="6" t="str">
        <f t="shared" si="29"/>
        <v>08</v>
      </c>
      <c r="T117" s="6" t="str">
        <f t="shared" si="30"/>
        <v>BOTTLES</v>
      </c>
      <c r="U117" s="6" t="str">
        <f t="shared" si="31"/>
        <v>bottles</v>
      </c>
      <c r="V117" s="6">
        <f t="shared" si="32"/>
        <v>2</v>
      </c>
      <c r="W117" s="6" t="str">
        <f t="shared" si="33"/>
        <v>T096180 3</v>
      </c>
      <c r="X117" s="6" t="str">
        <f t="shared" si="34"/>
        <v>S55753</v>
      </c>
      <c r="Y117" s="6" t="str">
        <f t="shared" si="35"/>
        <v>T09</v>
      </c>
      <c r="Z117" s="6" t="str">
        <f t="shared" si="36"/>
        <v>180</v>
      </c>
      <c r="AA117" s="6">
        <f t="shared" si="41"/>
        <v>2</v>
      </c>
      <c r="AB117" s="6">
        <f t="shared" si="37"/>
        <v>7</v>
      </c>
      <c r="AC117" s="6"/>
      <c r="AD117" s="23"/>
    </row>
    <row r="118" spans="1:30" ht="30" x14ac:dyDescent="0.25">
      <c r="A118" s="2" t="s">
        <v>107</v>
      </c>
      <c r="B118" s="2" t="s">
        <v>565</v>
      </c>
      <c r="C118" s="2" t="s">
        <v>566</v>
      </c>
      <c r="D118" s="2" t="s">
        <v>567</v>
      </c>
      <c r="E118" s="2" t="s">
        <v>568</v>
      </c>
      <c r="F118" s="2">
        <v>11</v>
      </c>
      <c r="G118" s="2" t="s">
        <v>60</v>
      </c>
      <c r="H118" s="2">
        <v>20</v>
      </c>
      <c r="I118" s="6">
        <f t="shared" si="38"/>
        <v>220</v>
      </c>
      <c r="J118" s="6">
        <f t="shared" si="42"/>
        <v>35</v>
      </c>
      <c r="K118" s="6">
        <f t="shared" si="43"/>
        <v>34</v>
      </c>
      <c r="L118" s="6">
        <f t="shared" si="39"/>
        <v>868</v>
      </c>
      <c r="M118" s="6">
        <f t="shared" si="44"/>
        <v>48</v>
      </c>
      <c r="N118" s="6" t="b">
        <f t="shared" si="25"/>
        <v>0</v>
      </c>
      <c r="O118" s="6" t="b">
        <f t="shared" si="40"/>
        <v>1</v>
      </c>
      <c r="P118" s="6" t="str">
        <f t="shared" si="26"/>
        <v>C007479-bottles</v>
      </c>
      <c r="Q118" s="7" t="str">
        <f t="shared" si="27"/>
        <v>T054398
11</v>
      </c>
      <c r="R118" s="6" t="b">
        <f t="shared" si="28"/>
        <v>0</v>
      </c>
      <c r="S118" s="6" t="str">
        <f t="shared" si="29"/>
        <v>09</v>
      </c>
      <c r="T118" s="6" t="str">
        <f t="shared" si="30"/>
        <v>BOTTLES</v>
      </c>
      <c r="U118" s="6" t="str">
        <f t="shared" si="31"/>
        <v>bottles</v>
      </c>
      <c r="V118" s="6">
        <f t="shared" si="32"/>
        <v>2</v>
      </c>
      <c r="W118" s="6" t="str">
        <f t="shared" si="33"/>
        <v>T054398 11</v>
      </c>
      <c r="X118" s="6" t="str">
        <f t="shared" si="34"/>
        <v>S55535</v>
      </c>
      <c r="Y118" s="6" t="str">
        <f t="shared" si="35"/>
        <v>T05</v>
      </c>
      <c r="Z118" s="6" t="str">
        <f t="shared" si="36"/>
        <v>398</v>
      </c>
      <c r="AA118" s="6">
        <f t="shared" si="41"/>
        <v>2</v>
      </c>
      <c r="AB118" s="6">
        <f t="shared" si="37"/>
        <v>7</v>
      </c>
      <c r="AC118" s="6"/>
      <c r="AD118" s="23"/>
    </row>
    <row r="119" spans="1:30" ht="30" x14ac:dyDescent="0.25">
      <c r="A119" s="2" t="s">
        <v>168</v>
      </c>
      <c r="B119" s="2" t="s">
        <v>569</v>
      </c>
      <c r="C119" s="2" t="s">
        <v>570</v>
      </c>
      <c r="D119" s="2" t="s">
        <v>517</v>
      </c>
      <c r="E119" s="2" t="s">
        <v>571</v>
      </c>
      <c r="F119" s="2">
        <v>7</v>
      </c>
      <c r="G119" s="2" t="s">
        <v>13</v>
      </c>
      <c r="H119" s="2">
        <v>20</v>
      </c>
      <c r="I119" s="6">
        <f t="shared" si="38"/>
        <v>140</v>
      </c>
      <c r="J119" s="6">
        <f t="shared" si="42"/>
        <v>125</v>
      </c>
      <c r="K119" s="6">
        <f t="shared" si="43"/>
        <v>124</v>
      </c>
      <c r="L119" s="6">
        <f t="shared" si="39"/>
        <v>2872.5</v>
      </c>
      <c r="M119" s="6">
        <f t="shared" si="44"/>
        <v>149</v>
      </c>
      <c r="N119" s="6" t="b">
        <f t="shared" si="25"/>
        <v>0</v>
      </c>
      <c r="O119" s="6" t="b">
        <f t="shared" si="40"/>
        <v>1</v>
      </c>
      <c r="P119" s="6" t="str">
        <f t="shared" si="26"/>
        <v>C005106-ct</v>
      </c>
      <c r="Q119" s="7" t="str">
        <f t="shared" si="27"/>
        <v>T046729
7</v>
      </c>
      <c r="R119" s="6" t="b">
        <f t="shared" si="28"/>
        <v>0</v>
      </c>
      <c r="S119" s="6" t="str">
        <f t="shared" si="29"/>
        <v>14</v>
      </c>
      <c r="T119" s="6" t="str">
        <f t="shared" si="30"/>
        <v>CT</v>
      </c>
      <c r="U119" s="6" t="str">
        <f t="shared" si="31"/>
        <v>ct</v>
      </c>
      <c r="V119" s="6">
        <f t="shared" si="32"/>
        <v>2</v>
      </c>
      <c r="W119" s="6" t="str">
        <f t="shared" si="33"/>
        <v>T046729 7</v>
      </c>
      <c r="X119" s="6" t="str">
        <f t="shared" si="34"/>
        <v>S55447</v>
      </c>
      <c r="Y119" s="6" t="str">
        <f t="shared" si="35"/>
        <v>T04</v>
      </c>
      <c r="Z119" s="6" t="str">
        <f t="shared" si="36"/>
        <v>729</v>
      </c>
      <c r="AA119" s="6">
        <f t="shared" si="41"/>
        <v>2</v>
      </c>
      <c r="AB119" s="6">
        <f t="shared" si="37"/>
        <v>2</v>
      </c>
      <c r="AC119" s="6"/>
      <c r="AD119" s="23"/>
    </row>
    <row r="120" spans="1:30" ht="30" x14ac:dyDescent="0.25">
      <c r="A120" s="2" t="s">
        <v>101</v>
      </c>
      <c r="B120" s="2" t="s">
        <v>572</v>
      </c>
      <c r="C120" s="2" t="s">
        <v>573</v>
      </c>
      <c r="D120" s="2" t="s">
        <v>574</v>
      </c>
      <c r="E120" s="2" t="s">
        <v>575</v>
      </c>
      <c r="F120" s="2">
        <v>2</v>
      </c>
      <c r="G120" s="2" t="s">
        <v>402</v>
      </c>
      <c r="H120" s="2">
        <v>20</v>
      </c>
      <c r="I120" s="6">
        <f t="shared" si="38"/>
        <v>40</v>
      </c>
      <c r="J120" s="6">
        <f t="shared" si="42"/>
        <v>412.5</v>
      </c>
      <c r="K120" s="6">
        <f t="shared" si="43"/>
        <v>411</v>
      </c>
      <c r="L120" s="6">
        <f t="shared" si="39"/>
        <v>200.5</v>
      </c>
      <c r="M120" s="6">
        <f t="shared" si="44"/>
        <v>10</v>
      </c>
      <c r="N120" s="6" t="b">
        <f t="shared" si="25"/>
        <v>0</v>
      </c>
      <c r="O120" s="6" t="b">
        <f t="shared" si="40"/>
        <v>1</v>
      </c>
      <c r="P120" s="6" t="str">
        <f t="shared" si="26"/>
        <v>C007116-pack</v>
      </c>
      <c r="Q120" s="7" t="str">
        <f t="shared" si="27"/>
        <v>T07168
2</v>
      </c>
      <c r="R120" s="6" t="b">
        <f t="shared" si="28"/>
        <v>0</v>
      </c>
      <c r="S120" s="6" t="str">
        <f t="shared" si="29"/>
        <v>25</v>
      </c>
      <c r="T120" s="6" t="str">
        <f t="shared" si="30"/>
        <v>PACK</v>
      </c>
      <c r="U120" s="6" t="str">
        <f t="shared" si="31"/>
        <v>pack</v>
      </c>
      <c r="V120" s="6">
        <f t="shared" si="32"/>
        <v>2</v>
      </c>
      <c r="W120" s="6" t="str">
        <f t="shared" si="33"/>
        <v>T07168 2</v>
      </c>
      <c r="X120" s="6" t="str">
        <f t="shared" si="34"/>
        <v>S55414</v>
      </c>
      <c r="Y120" s="6" t="str">
        <f t="shared" si="35"/>
        <v>T07</v>
      </c>
      <c r="Z120" s="6" t="str">
        <f t="shared" si="36"/>
        <v>168</v>
      </c>
      <c r="AA120" s="6">
        <f t="shared" si="41"/>
        <v>2</v>
      </c>
      <c r="AB120" s="6">
        <f t="shared" si="37"/>
        <v>4</v>
      </c>
      <c r="AC120" s="6"/>
      <c r="AD120" s="23"/>
    </row>
    <row r="121" spans="1:30" ht="30" x14ac:dyDescent="0.25">
      <c r="A121" s="2" t="s">
        <v>240</v>
      </c>
      <c r="B121" s="2" t="s">
        <v>576</v>
      </c>
      <c r="C121" s="2" t="s">
        <v>577</v>
      </c>
      <c r="D121" s="2" t="s">
        <v>578</v>
      </c>
      <c r="E121" s="2" t="s">
        <v>579</v>
      </c>
      <c r="F121" s="2">
        <v>8</v>
      </c>
      <c r="G121" s="2" t="s">
        <v>13</v>
      </c>
      <c r="H121" s="2">
        <v>22</v>
      </c>
      <c r="I121" s="6">
        <f t="shared" si="38"/>
        <v>176</v>
      </c>
      <c r="J121" s="6">
        <f t="shared" si="42"/>
        <v>67</v>
      </c>
      <c r="K121" s="6">
        <f t="shared" si="43"/>
        <v>65</v>
      </c>
      <c r="L121" s="6">
        <f t="shared" si="39"/>
        <v>2852.5</v>
      </c>
      <c r="M121" s="6">
        <f t="shared" si="44"/>
        <v>148</v>
      </c>
      <c r="N121" s="6" t="b">
        <f t="shared" si="25"/>
        <v>1</v>
      </c>
      <c r="O121" s="6" t="b">
        <f t="shared" si="40"/>
        <v>1</v>
      </c>
      <c r="P121" s="6" t="str">
        <f t="shared" si="26"/>
        <v>C003706-ct</v>
      </c>
      <c r="Q121" s="7" t="str">
        <f t="shared" si="27"/>
        <v>T022229
8</v>
      </c>
      <c r="R121" s="6" t="b">
        <f t="shared" si="28"/>
        <v>0</v>
      </c>
      <c r="S121" s="6" t="str">
        <f t="shared" si="29"/>
        <v>21</v>
      </c>
      <c r="T121" s="6" t="str">
        <f t="shared" si="30"/>
        <v>CT</v>
      </c>
      <c r="U121" s="6" t="str">
        <f t="shared" si="31"/>
        <v>ct</v>
      </c>
      <c r="V121" s="6">
        <f t="shared" si="32"/>
        <v>2</v>
      </c>
      <c r="W121" s="6" t="str">
        <f t="shared" si="33"/>
        <v>T022229 8</v>
      </c>
      <c r="X121" s="6" t="str">
        <f t="shared" si="34"/>
        <v>S55445</v>
      </c>
      <c r="Y121" s="6" t="str">
        <f t="shared" si="35"/>
        <v>T02</v>
      </c>
      <c r="Z121" s="6" t="str">
        <f t="shared" si="36"/>
        <v>229</v>
      </c>
      <c r="AA121" s="6">
        <f t="shared" si="41"/>
        <v>2</v>
      </c>
      <c r="AB121" s="6">
        <f t="shared" si="37"/>
        <v>2</v>
      </c>
      <c r="AC121" s="6"/>
      <c r="AD121" s="23"/>
    </row>
    <row r="122" spans="1:30" ht="30" x14ac:dyDescent="0.25">
      <c r="A122" s="2" t="s">
        <v>66</v>
      </c>
      <c r="B122" s="2" t="s">
        <v>580</v>
      </c>
      <c r="C122" s="2" t="s">
        <v>581</v>
      </c>
      <c r="D122" s="2" t="s">
        <v>582</v>
      </c>
      <c r="E122" s="2" t="s">
        <v>560</v>
      </c>
      <c r="F122" s="2">
        <v>11</v>
      </c>
      <c r="G122" s="2" t="s">
        <v>13</v>
      </c>
      <c r="H122" s="2">
        <v>12</v>
      </c>
      <c r="I122" s="6">
        <f t="shared" si="38"/>
        <v>132</v>
      </c>
      <c r="J122" s="6">
        <f t="shared" si="42"/>
        <v>139.5</v>
      </c>
      <c r="K122" s="6">
        <f t="shared" si="43"/>
        <v>137</v>
      </c>
      <c r="L122" s="6">
        <f t="shared" si="39"/>
        <v>2830.5</v>
      </c>
      <c r="M122" s="6">
        <f t="shared" si="44"/>
        <v>147</v>
      </c>
      <c r="N122" s="6" t="b">
        <f t="shared" si="25"/>
        <v>0</v>
      </c>
      <c r="O122" s="6" t="b">
        <f t="shared" si="40"/>
        <v>1</v>
      </c>
      <c r="P122" s="6" t="str">
        <f t="shared" si="26"/>
        <v>C004751-ct</v>
      </c>
      <c r="Q122" s="7" t="str">
        <f t="shared" si="27"/>
        <v>T060647
11</v>
      </c>
      <c r="R122" s="6" t="b">
        <f t="shared" si="28"/>
        <v>0</v>
      </c>
      <c r="S122" s="6" t="str">
        <f t="shared" si="29"/>
        <v>23</v>
      </c>
      <c r="T122" s="6" t="str">
        <f t="shared" si="30"/>
        <v>CT</v>
      </c>
      <c r="U122" s="6" t="str">
        <f t="shared" si="31"/>
        <v>ct</v>
      </c>
      <c r="V122" s="6">
        <f t="shared" si="32"/>
        <v>2</v>
      </c>
      <c r="W122" s="6" t="str">
        <f t="shared" si="33"/>
        <v>T060647 11</v>
      </c>
      <c r="X122" s="6" t="str">
        <f t="shared" si="34"/>
        <v>S55755</v>
      </c>
      <c r="Y122" s="6" t="str">
        <f t="shared" si="35"/>
        <v>T06</v>
      </c>
      <c r="Z122" s="6" t="str">
        <f t="shared" si="36"/>
        <v>647</v>
      </c>
      <c r="AA122" s="6">
        <f t="shared" si="41"/>
        <v>2</v>
      </c>
      <c r="AB122" s="6">
        <f t="shared" si="37"/>
        <v>2</v>
      </c>
      <c r="AC122" s="6"/>
      <c r="AD122" s="23"/>
    </row>
    <row r="123" spans="1:30" ht="30" x14ac:dyDescent="0.25">
      <c r="A123" s="2" t="s">
        <v>224</v>
      </c>
      <c r="B123" s="2" t="s">
        <v>583</v>
      </c>
      <c r="C123" s="2" t="s">
        <v>584</v>
      </c>
      <c r="D123" s="2" t="s">
        <v>585</v>
      </c>
      <c r="E123" s="2" t="s">
        <v>371</v>
      </c>
      <c r="F123" s="2">
        <v>11</v>
      </c>
      <c r="G123" s="2" t="s">
        <v>13</v>
      </c>
      <c r="H123" s="2">
        <v>14</v>
      </c>
      <c r="I123" s="6">
        <f t="shared" si="38"/>
        <v>154</v>
      </c>
      <c r="J123" s="6">
        <f t="shared" si="42"/>
        <v>100.5</v>
      </c>
      <c r="K123" s="6">
        <f t="shared" si="43"/>
        <v>99</v>
      </c>
      <c r="L123" s="6">
        <f t="shared" si="39"/>
        <v>2818.5</v>
      </c>
      <c r="M123" s="6">
        <f t="shared" si="44"/>
        <v>146</v>
      </c>
      <c r="N123" s="6" t="b">
        <f t="shared" si="25"/>
        <v>0</v>
      </c>
      <c r="O123" s="6" t="b">
        <f t="shared" si="40"/>
        <v>1</v>
      </c>
      <c r="P123" s="6" t="str">
        <f t="shared" si="26"/>
        <v>C002036-ct</v>
      </c>
      <c r="Q123" s="7" t="str">
        <f t="shared" si="27"/>
        <v>T046246
11</v>
      </c>
      <c r="R123" s="6" t="b">
        <f t="shared" si="28"/>
        <v>0</v>
      </c>
      <c r="S123" s="6" t="str">
        <f t="shared" si="29"/>
        <v>22</v>
      </c>
      <c r="T123" s="6" t="str">
        <f t="shared" si="30"/>
        <v>CT</v>
      </c>
      <c r="U123" s="6" t="str">
        <f t="shared" si="31"/>
        <v>ct</v>
      </c>
      <c r="V123" s="6">
        <f t="shared" si="32"/>
        <v>2</v>
      </c>
      <c r="W123" s="6" t="str">
        <f t="shared" si="33"/>
        <v>T046246 11</v>
      </c>
      <c r="X123" s="6" t="str">
        <f t="shared" si="34"/>
        <v>S55378</v>
      </c>
      <c r="Y123" s="6" t="str">
        <f t="shared" si="35"/>
        <v>T04</v>
      </c>
      <c r="Z123" s="6" t="str">
        <f t="shared" si="36"/>
        <v>246</v>
      </c>
      <c r="AA123" s="6">
        <f t="shared" si="41"/>
        <v>2</v>
      </c>
      <c r="AB123" s="6">
        <f t="shared" si="37"/>
        <v>2</v>
      </c>
      <c r="AC123" s="6"/>
      <c r="AD123" s="23"/>
    </row>
    <row r="124" spans="1:30" ht="30" x14ac:dyDescent="0.25">
      <c r="A124" s="2" t="s">
        <v>30</v>
      </c>
      <c r="B124" s="2" t="s">
        <v>586</v>
      </c>
      <c r="C124" s="2" t="s">
        <v>587</v>
      </c>
      <c r="D124" s="2" t="s">
        <v>588</v>
      </c>
      <c r="E124" s="2" t="s">
        <v>589</v>
      </c>
      <c r="F124" s="2">
        <v>10</v>
      </c>
      <c r="G124" s="2" t="s">
        <v>106</v>
      </c>
      <c r="H124" s="2">
        <v>16</v>
      </c>
      <c r="I124" s="6">
        <f t="shared" si="38"/>
        <v>160</v>
      </c>
      <c r="J124" s="6">
        <f t="shared" si="42"/>
        <v>90.5</v>
      </c>
      <c r="K124" s="6">
        <f t="shared" si="43"/>
        <v>84</v>
      </c>
      <c r="L124" s="6">
        <f t="shared" si="39"/>
        <v>418</v>
      </c>
      <c r="M124" s="6">
        <f t="shared" si="44"/>
        <v>25</v>
      </c>
      <c r="N124" s="6" t="b">
        <f t="shared" si="25"/>
        <v>0</v>
      </c>
      <c r="O124" s="6" t="b">
        <f t="shared" si="40"/>
        <v>1</v>
      </c>
      <c r="P124" s="6" t="str">
        <f t="shared" si="26"/>
        <v>C004365-bags</v>
      </c>
      <c r="Q124" s="7" t="str">
        <f t="shared" si="27"/>
        <v>T097325
10</v>
      </c>
      <c r="R124" s="6" t="b">
        <f t="shared" si="28"/>
        <v>0</v>
      </c>
      <c r="S124" s="6" t="str">
        <f t="shared" si="29"/>
        <v>15</v>
      </c>
      <c r="T124" s="6" t="str">
        <f t="shared" si="30"/>
        <v>BAGS</v>
      </c>
      <c r="U124" s="6" t="str">
        <f t="shared" si="31"/>
        <v>bags</v>
      </c>
      <c r="V124" s="6">
        <f t="shared" si="32"/>
        <v>2</v>
      </c>
      <c r="W124" s="6" t="str">
        <f t="shared" si="33"/>
        <v>T097325 10</v>
      </c>
      <c r="X124" s="6" t="str">
        <f t="shared" si="34"/>
        <v>S55555</v>
      </c>
      <c r="Y124" s="6" t="str">
        <f t="shared" si="35"/>
        <v>T09</v>
      </c>
      <c r="Z124" s="6" t="str">
        <f t="shared" si="36"/>
        <v>325</v>
      </c>
      <c r="AA124" s="6">
        <f t="shared" si="41"/>
        <v>2</v>
      </c>
      <c r="AB124" s="6">
        <f t="shared" si="37"/>
        <v>4</v>
      </c>
      <c r="AC124" s="6"/>
      <c r="AD124" s="23"/>
    </row>
    <row r="125" spans="1:30" ht="30" x14ac:dyDescent="0.25">
      <c r="A125" s="2" t="s">
        <v>25</v>
      </c>
      <c r="B125" s="2" t="s">
        <v>590</v>
      </c>
      <c r="C125" s="2" t="s">
        <v>591</v>
      </c>
      <c r="D125" s="2" t="s">
        <v>592</v>
      </c>
      <c r="E125" s="2" t="s">
        <v>593</v>
      </c>
      <c r="F125" s="2">
        <v>8</v>
      </c>
      <c r="G125" s="2" t="s">
        <v>13</v>
      </c>
      <c r="H125" s="2">
        <v>19</v>
      </c>
      <c r="I125" s="6">
        <f t="shared" si="38"/>
        <v>152</v>
      </c>
      <c r="J125" s="6">
        <f t="shared" si="42"/>
        <v>109</v>
      </c>
      <c r="K125" s="6">
        <f t="shared" si="43"/>
        <v>109</v>
      </c>
      <c r="L125" s="6">
        <f t="shared" si="39"/>
        <v>2804.5</v>
      </c>
      <c r="M125" s="6">
        <f t="shared" si="44"/>
        <v>145</v>
      </c>
      <c r="N125" s="6" t="b">
        <f t="shared" si="25"/>
        <v>0</v>
      </c>
      <c r="O125" s="6" t="b">
        <f t="shared" si="40"/>
        <v>1</v>
      </c>
      <c r="P125" s="6" t="str">
        <f t="shared" si="26"/>
        <v>C004483-ct</v>
      </c>
      <c r="Q125" s="7" t="str">
        <f t="shared" si="27"/>
        <v>T01568
8</v>
      </c>
      <c r="R125" s="6" t="b">
        <f t="shared" si="28"/>
        <v>0</v>
      </c>
      <c r="S125" s="6" t="str">
        <f t="shared" si="29"/>
        <v>18</v>
      </c>
      <c r="T125" s="6" t="str">
        <f t="shared" si="30"/>
        <v>CT</v>
      </c>
      <c r="U125" s="6" t="str">
        <f t="shared" si="31"/>
        <v>ct</v>
      </c>
      <c r="V125" s="6">
        <f t="shared" si="32"/>
        <v>2</v>
      </c>
      <c r="W125" s="6" t="str">
        <f t="shared" si="33"/>
        <v>T01568 8</v>
      </c>
      <c r="X125" s="6" t="str">
        <f t="shared" si="34"/>
        <v>S55545</v>
      </c>
      <c r="Y125" s="6" t="str">
        <f t="shared" si="35"/>
        <v>T01</v>
      </c>
      <c r="Z125" s="6" t="str">
        <f t="shared" si="36"/>
        <v>568</v>
      </c>
      <c r="AA125" s="6">
        <f t="shared" si="41"/>
        <v>2</v>
      </c>
      <c r="AB125" s="6">
        <f t="shared" si="37"/>
        <v>2</v>
      </c>
      <c r="AC125" s="6"/>
      <c r="AD125" s="23"/>
    </row>
    <row r="126" spans="1:30" ht="30" x14ac:dyDescent="0.25">
      <c r="A126" s="2" t="s">
        <v>14</v>
      </c>
      <c r="B126" s="2" t="s">
        <v>594</v>
      </c>
      <c r="C126" s="2" t="s">
        <v>595</v>
      </c>
      <c r="D126" s="2" t="s">
        <v>596</v>
      </c>
      <c r="E126" s="2" t="s">
        <v>597</v>
      </c>
      <c r="F126" s="2">
        <v>11</v>
      </c>
      <c r="G126" s="2" t="s">
        <v>178</v>
      </c>
      <c r="H126" s="2">
        <v>16</v>
      </c>
      <c r="I126" s="6">
        <f t="shared" si="38"/>
        <v>176</v>
      </c>
      <c r="J126" s="6">
        <f t="shared" si="42"/>
        <v>67</v>
      </c>
      <c r="K126" s="6">
        <f t="shared" si="43"/>
        <v>65</v>
      </c>
      <c r="L126" s="6">
        <f t="shared" si="39"/>
        <v>93</v>
      </c>
      <c r="M126" s="6">
        <f t="shared" si="44"/>
        <v>6</v>
      </c>
      <c r="N126" s="6" t="b">
        <f t="shared" si="25"/>
        <v>0</v>
      </c>
      <c r="O126" s="6" t="b">
        <f t="shared" si="40"/>
        <v>1</v>
      </c>
      <c r="P126" s="6" t="str">
        <f t="shared" si="26"/>
        <v>C001600-tubs</v>
      </c>
      <c r="Q126" s="7" t="str">
        <f t="shared" si="27"/>
        <v>T073347
11</v>
      </c>
      <c r="R126" s="6" t="b">
        <f t="shared" si="28"/>
        <v>0</v>
      </c>
      <c r="S126" s="6" t="str">
        <f t="shared" si="29"/>
        <v>10</v>
      </c>
      <c r="T126" s="6" t="str">
        <f t="shared" si="30"/>
        <v>TUBS</v>
      </c>
      <c r="U126" s="6" t="str">
        <f t="shared" si="31"/>
        <v>tubs</v>
      </c>
      <c r="V126" s="6">
        <f t="shared" si="32"/>
        <v>2</v>
      </c>
      <c r="W126" s="6" t="str">
        <f t="shared" si="33"/>
        <v>T073347 11</v>
      </c>
      <c r="X126" s="6" t="str">
        <f t="shared" si="34"/>
        <v>S55469</v>
      </c>
      <c r="Y126" s="6" t="str">
        <f t="shared" si="35"/>
        <v>T07</v>
      </c>
      <c r="Z126" s="6" t="str">
        <f t="shared" si="36"/>
        <v>347</v>
      </c>
      <c r="AA126" s="6">
        <f t="shared" si="41"/>
        <v>2</v>
      </c>
      <c r="AB126" s="6">
        <f t="shared" si="37"/>
        <v>4</v>
      </c>
      <c r="AC126" s="6"/>
      <c r="AD126" s="23"/>
    </row>
    <row r="127" spans="1:30" ht="30" x14ac:dyDescent="0.25">
      <c r="A127" s="2" t="s">
        <v>96</v>
      </c>
      <c r="B127" s="2" t="s">
        <v>598</v>
      </c>
      <c r="C127" s="2" t="s">
        <v>599</v>
      </c>
      <c r="D127" s="2" t="s">
        <v>600</v>
      </c>
      <c r="E127" s="2" t="s">
        <v>568</v>
      </c>
      <c r="F127" s="2">
        <v>11</v>
      </c>
      <c r="G127" s="2" t="s">
        <v>35</v>
      </c>
      <c r="H127" s="2">
        <v>40</v>
      </c>
      <c r="I127" s="6">
        <f t="shared" si="38"/>
        <v>440</v>
      </c>
      <c r="J127" s="6">
        <f t="shared" si="42"/>
        <v>3.5</v>
      </c>
      <c r="K127" s="6">
        <f t="shared" si="43"/>
        <v>2</v>
      </c>
      <c r="L127" s="6">
        <f t="shared" si="39"/>
        <v>1512.5</v>
      </c>
      <c r="M127" s="6">
        <f t="shared" si="44"/>
        <v>86</v>
      </c>
      <c r="N127" s="6" t="b">
        <f t="shared" si="25"/>
        <v>1</v>
      </c>
      <c r="O127" s="6" t="b">
        <f t="shared" si="40"/>
        <v>1</v>
      </c>
      <c r="P127" s="6" t="str">
        <f t="shared" si="26"/>
        <v>C006222-cans</v>
      </c>
      <c r="Q127" s="7" t="str">
        <f t="shared" si="27"/>
        <v>T035980
11</v>
      </c>
      <c r="R127" s="6" t="b">
        <f t="shared" si="28"/>
        <v>0</v>
      </c>
      <c r="S127" s="6" t="str">
        <f t="shared" si="29"/>
        <v>06</v>
      </c>
      <c r="T127" s="6" t="str">
        <f t="shared" si="30"/>
        <v>CANS</v>
      </c>
      <c r="U127" s="6" t="str">
        <f t="shared" si="31"/>
        <v>cans</v>
      </c>
      <c r="V127" s="6">
        <f t="shared" si="32"/>
        <v>2</v>
      </c>
      <c r="W127" s="6" t="str">
        <f t="shared" si="33"/>
        <v>T035980 11</v>
      </c>
      <c r="X127" s="6" t="str">
        <f t="shared" si="34"/>
        <v>S55535</v>
      </c>
      <c r="Y127" s="6" t="str">
        <f t="shared" si="35"/>
        <v>T03</v>
      </c>
      <c r="Z127" s="6" t="str">
        <f t="shared" si="36"/>
        <v>980</v>
      </c>
      <c r="AA127" s="6">
        <f t="shared" si="41"/>
        <v>2</v>
      </c>
      <c r="AB127" s="6">
        <f t="shared" si="37"/>
        <v>4</v>
      </c>
      <c r="AC127" s="6"/>
      <c r="AD127" s="23"/>
    </row>
    <row r="128" spans="1:30" ht="30" x14ac:dyDescent="0.25">
      <c r="A128" s="2" t="s">
        <v>107</v>
      </c>
      <c r="B128" s="2" t="s">
        <v>601</v>
      </c>
      <c r="C128" s="2" t="s">
        <v>602</v>
      </c>
      <c r="D128" s="2" t="s">
        <v>603</v>
      </c>
      <c r="E128" s="2" t="s">
        <v>604</v>
      </c>
      <c r="F128" s="2">
        <v>2</v>
      </c>
      <c r="G128" s="2" t="s">
        <v>407</v>
      </c>
      <c r="H128" s="2">
        <v>21</v>
      </c>
      <c r="I128" s="6">
        <f t="shared" si="38"/>
        <v>42</v>
      </c>
      <c r="J128" s="6">
        <f t="shared" si="42"/>
        <v>404</v>
      </c>
      <c r="K128" s="6">
        <f t="shared" si="43"/>
        <v>400</v>
      </c>
      <c r="L128" s="6">
        <f t="shared" si="39"/>
        <v>199.5</v>
      </c>
      <c r="M128" s="6">
        <f t="shared" si="44"/>
        <v>13</v>
      </c>
      <c r="N128" s="6" t="b">
        <f t="shared" si="25"/>
        <v>1</v>
      </c>
      <c r="O128" s="6" t="b">
        <f t="shared" si="40"/>
        <v>1</v>
      </c>
      <c r="P128" s="6" t="str">
        <f t="shared" si="26"/>
        <v>C006521-pk</v>
      </c>
      <c r="Q128" s="7" t="str">
        <f t="shared" si="27"/>
        <v>T085091
2</v>
      </c>
      <c r="R128" s="6" t="b">
        <f t="shared" si="28"/>
        <v>0</v>
      </c>
      <c r="S128" s="6" t="str">
        <f t="shared" si="29"/>
        <v>25</v>
      </c>
      <c r="T128" s="6" t="str">
        <f t="shared" si="30"/>
        <v>PK</v>
      </c>
      <c r="U128" s="6" t="str">
        <f t="shared" si="31"/>
        <v>pk</v>
      </c>
      <c r="V128" s="6">
        <f t="shared" si="32"/>
        <v>2</v>
      </c>
      <c r="W128" s="6" t="str">
        <f t="shared" si="33"/>
        <v>T085091 2</v>
      </c>
      <c r="X128" s="6" t="str">
        <f t="shared" si="34"/>
        <v>S55239</v>
      </c>
      <c r="Y128" s="6" t="str">
        <f t="shared" si="35"/>
        <v>T08</v>
      </c>
      <c r="Z128" s="6" t="str">
        <f t="shared" si="36"/>
        <v>091</v>
      </c>
      <c r="AA128" s="6">
        <f t="shared" si="41"/>
        <v>2</v>
      </c>
      <c r="AB128" s="6">
        <f t="shared" si="37"/>
        <v>2</v>
      </c>
      <c r="AC128" s="6"/>
      <c r="AD128" s="23"/>
    </row>
    <row r="129" spans="1:30" ht="30" x14ac:dyDescent="0.25">
      <c r="A129" s="2" t="s">
        <v>25</v>
      </c>
      <c r="B129" s="2" t="s">
        <v>605</v>
      </c>
      <c r="C129" s="2" t="s">
        <v>606</v>
      </c>
      <c r="D129" s="2" t="s">
        <v>607</v>
      </c>
      <c r="E129" s="2" t="s">
        <v>608</v>
      </c>
      <c r="F129" s="2">
        <v>5</v>
      </c>
      <c r="G129" s="2" t="s">
        <v>13</v>
      </c>
      <c r="H129" s="2">
        <v>25</v>
      </c>
      <c r="I129" s="6">
        <f t="shared" si="38"/>
        <v>125</v>
      </c>
      <c r="J129" s="6">
        <f t="shared" si="42"/>
        <v>161</v>
      </c>
      <c r="K129" s="6">
        <f t="shared" si="43"/>
        <v>161</v>
      </c>
      <c r="L129" s="6">
        <f t="shared" si="39"/>
        <v>2785.5</v>
      </c>
      <c r="M129" s="6">
        <f t="shared" si="44"/>
        <v>144</v>
      </c>
      <c r="N129" s="6" t="b">
        <f t="shared" si="25"/>
        <v>1</v>
      </c>
      <c r="O129" s="6" t="b">
        <f t="shared" si="40"/>
        <v>1</v>
      </c>
      <c r="P129" s="6" t="str">
        <f t="shared" si="26"/>
        <v>C000984-ct</v>
      </c>
      <c r="Q129" s="7" t="str">
        <f t="shared" si="27"/>
        <v>T039667
5</v>
      </c>
      <c r="R129" s="6" t="b">
        <f t="shared" si="28"/>
        <v>0</v>
      </c>
      <c r="S129" s="6" t="str">
        <f t="shared" si="29"/>
        <v>12</v>
      </c>
      <c r="T129" s="6" t="str">
        <f t="shared" si="30"/>
        <v>CT</v>
      </c>
      <c r="U129" s="6" t="str">
        <f t="shared" si="31"/>
        <v>ct</v>
      </c>
      <c r="V129" s="6">
        <f t="shared" si="32"/>
        <v>2</v>
      </c>
      <c r="W129" s="6" t="str">
        <f t="shared" si="33"/>
        <v>T039667 5</v>
      </c>
      <c r="X129" s="6" t="str">
        <f t="shared" si="34"/>
        <v>S55252</v>
      </c>
      <c r="Y129" s="6" t="str">
        <f t="shared" si="35"/>
        <v>T03</v>
      </c>
      <c r="Z129" s="6" t="str">
        <f t="shared" si="36"/>
        <v>667</v>
      </c>
      <c r="AA129" s="6">
        <f t="shared" si="41"/>
        <v>2</v>
      </c>
      <c r="AB129" s="6">
        <f t="shared" si="37"/>
        <v>2</v>
      </c>
      <c r="AC129" s="6"/>
      <c r="AD129" s="23"/>
    </row>
    <row r="130" spans="1:30" ht="30" x14ac:dyDescent="0.25">
      <c r="A130" s="2" t="s">
        <v>82</v>
      </c>
      <c r="B130" s="2" t="s">
        <v>609</v>
      </c>
      <c r="C130" s="2" t="s">
        <v>610</v>
      </c>
      <c r="D130" s="2" t="s">
        <v>449</v>
      </c>
      <c r="E130" s="2" t="s">
        <v>611</v>
      </c>
      <c r="F130" s="2">
        <v>1</v>
      </c>
      <c r="G130" s="2" t="s">
        <v>269</v>
      </c>
      <c r="H130" s="2">
        <v>13</v>
      </c>
      <c r="I130" s="6">
        <f t="shared" si="38"/>
        <v>13</v>
      </c>
      <c r="J130" s="6">
        <f t="shared" si="42"/>
        <v>486</v>
      </c>
      <c r="K130" s="6">
        <f t="shared" si="43"/>
        <v>485</v>
      </c>
      <c r="L130" s="6">
        <f t="shared" si="39"/>
        <v>204</v>
      </c>
      <c r="M130" s="6">
        <f t="shared" si="44"/>
        <v>15</v>
      </c>
      <c r="N130" s="6" t="b">
        <f t="shared" si="25"/>
        <v>0</v>
      </c>
      <c r="O130" s="6" t="b">
        <f t="shared" si="40"/>
        <v>1</v>
      </c>
      <c r="P130" s="6" t="str">
        <f t="shared" si="26"/>
        <v>C003786-ct.</v>
      </c>
      <c r="Q130" s="7" t="str">
        <f t="shared" si="27"/>
        <v>T050797
1</v>
      </c>
      <c r="R130" s="6" t="b">
        <f t="shared" si="28"/>
        <v>0</v>
      </c>
      <c r="S130" s="6" t="str">
        <f t="shared" si="29"/>
        <v>18</v>
      </c>
      <c r="T130" s="6" t="str">
        <f t="shared" si="30"/>
        <v>CT.</v>
      </c>
      <c r="U130" s="6" t="str">
        <f t="shared" si="31"/>
        <v>ct.</v>
      </c>
      <c r="V130" s="6">
        <f t="shared" si="32"/>
        <v>2</v>
      </c>
      <c r="W130" s="6" t="str">
        <f t="shared" si="33"/>
        <v>T050797 1</v>
      </c>
      <c r="X130" s="6" t="str">
        <f t="shared" si="34"/>
        <v>S55358</v>
      </c>
      <c r="Y130" s="6" t="str">
        <f t="shared" si="35"/>
        <v>T05</v>
      </c>
      <c r="Z130" s="6" t="str">
        <f t="shared" si="36"/>
        <v>797</v>
      </c>
      <c r="AA130" s="6">
        <f t="shared" si="41"/>
        <v>2</v>
      </c>
      <c r="AB130" s="6">
        <f t="shared" si="37"/>
        <v>3</v>
      </c>
      <c r="AC130" s="6"/>
      <c r="AD130" s="23"/>
    </row>
    <row r="131" spans="1:30" ht="30" x14ac:dyDescent="0.25">
      <c r="A131" s="2" t="s">
        <v>137</v>
      </c>
      <c r="B131" s="2" t="s">
        <v>612</v>
      </c>
      <c r="C131" s="2" t="s">
        <v>613</v>
      </c>
      <c r="D131" s="2" t="s">
        <v>556</v>
      </c>
      <c r="E131" s="2" t="s">
        <v>438</v>
      </c>
      <c r="F131" s="2">
        <v>11</v>
      </c>
      <c r="G131" s="2" t="s">
        <v>402</v>
      </c>
      <c r="H131" s="2">
        <v>19.5</v>
      </c>
      <c r="I131" s="6">
        <f t="shared" si="38"/>
        <v>214.5</v>
      </c>
      <c r="J131" s="6">
        <f t="shared" si="42"/>
        <v>40.5</v>
      </c>
      <c r="K131" s="6">
        <f t="shared" si="43"/>
        <v>40</v>
      </c>
      <c r="L131" s="6">
        <f t="shared" si="39"/>
        <v>180.5</v>
      </c>
      <c r="M131" s="6">
        <f t="shared" si="44"/>
        <v>9</v>
      </c>
      <c r="N131" s="6" t="b">
        <f t="shared" si="25"/>
        <v>0</v>
      </c>
      <c r="O131" s="6" t="b">
        <f t="shared" si="40"/>
        <v>1</v>
      </c>
      <c r="P131" s="6" t="str">
        <f t="shared" si="26"/>
        <v>C006609-pack</v>
      </c>
      <c r="Q131" s="7" t="str">
        <f t="shared" si="27"/>
        <v>T094332
11</v>
      </c>
      <c r="R131" s="6" t="b">
        <f t="shared" si="28"/>
        <v>0</v>
      </c>
      <c r="S131" s="6" t="str">
        <f t="shared" si="29"/>
        <v>25</v>
      </c>
      <c r="T131" s="6" t="str">
        <f t="shared" si="30"/>
        <v>PACK</v>
      </c>
      <c r="U131" s="6" t="str">
        <f t="shared" si="31"/>
        <v>pack</v>
      </c>
      <c r="V131" s="6">
        <f t="shared" si="32"/>
        <v>2</v>
      </c>
      <c r="W131" s="6" t="str">
        <f t="shared" si="33"/>
        <v>T094332 11</v>
      </c>
      <c r="X131" s="6" t="str">
        <f t="shared" si="34"/>
        <v>S55454</v>
      </c>
      <c r="Y131" s="6" t="str">
        <f t="shared" si="35"/>
        <v>T09</v>
      </c>
      <c r="Z131" s="6" t="str">
        <f t="shared" si="36"/>
        <v>332</v>
      </c>
      <c r="AA131" s="6">
        <f t="shared" si="41"/>
        <v>2</v>
      </c>
      <c r="AB131" s="6">
        <f t="shared" si="37"/>
        <v>4</v>
      </c>
      <c r="AC131" s="6"/>
      <c r="AD131" s="23"/>
    </row>
    <row r="132" spans="1:30" ht="30" x14ac:dyDescent="0.25">
      <c r="A132" s="2" t="s">
        <v>107</v>
      </c>
      <c r="B132" s="2" t="s">
        <v>614</v>
      </c>
      <c r="C132" s="2" t="s">
        <v>615</v>
      </c>
      <c r="D132" s="2" t="s">
        <v>616</v>
      </c>
      <c r="E132" s="2" t="s">
        <v>617</v>
      </c>
      <c r="F132" s="2">
        <v>8</v>
      </c>
      <c r="G132" s="2" t="s">
        <v>13</v>
      </c>
      <c r="H132" s="2">
        <v>18</v>
      </c>
      <c r="I132" s="6">
        <f t="shared" si="38"/>
        <v>144</v>
      </c>
      <c r="J132" s="6">
        <f t="shared" si="42"/>
        <v>118</v>
      </c>
      <c r="K132" s="6">
        <f t="shared" si="43"/>
        <v>115</v>
      </c>
      <c r="L132" s="6">
        <f t="shared" si="39"/>
        <v>2760.5</v>
      </c>
      <c r="M132" s="6">
        <f t="shared" si="44"/>
        <v>143</v>
      </c>
      <c r="N132" s="6" t="b">
        <f t="shared" si="25"/>
        <v>0</v>
      </c>
      <c r="O132" s="6" t="b">
        <f t="shared" si="40"/>
        <v>1</v>
      </c>
      <c r="P132" s="6" t="str">
        <f t="shared" si="26"/>
        <v>C003761-ct</v>
      </c>
      <c r="Q132" s="7" t="str">
        <f t="shared" si="27"/>
        <v>T069778
8</v>
      </c>
      <c r="R132" s="6" t="b">
        <f t="shared" si="28"/>
        <v>0</v>
      </c>
      <c r="S132" s="6" t="str">
        <f t="shared" si="29"/>
        <v>19</v>
      </c>
      <c r="T132" s="6" t="str">
        <f t="shared" si="30"/>
        <v>CT</v>
      </c>
      <c r="U132" s="6" t="str">
        <f t="shared" si="31"/>
        <v>ct</v>
      </c>
      <c r="V132" s="6">
        <f t="shared" si="32"/>
        <v>2</v>
      </c>
      <c r="W132" s="6" t="str">
        <f t="shared" si="33"/>
        <v>T069778 8</v>
      </c>
      <c r="X132" s="6" t="str">
        <f t="shared" si="34"/>
        <v>S5514</v>
      </c>
      <c r="Y132" s="6" t="str">
        <f t="shared" si="35"/>
        <v>T06</v>
      </c>
      <c r="Z132" s="6" t="str">
        <f t="shared" si="36"/>
        <v>778</v>
      </c>
      <c r="AA132" s="6">
        <f t="shared" si="41"/>
        <v>2</v>
      </c>
      <c r="AB132" s="6">
        <f t="shared" si="37"/>
        <v>2</v>
      </c>
      <c r="AC132" s="6"/>
      <c r="AD132" s="23"/>
    </row>
    <row r="133" spans="1:30" ht="30" x14ac:dyDescent="0.25">
      <c r="A133" s="2" t="s">
        <v>55</v>
      </c>
      <c r="B133" s="2" t="s">
        <v>618</v>
      </c>
      <c r="C133" s="2" t="s">
        <v>619</v>
      </c>
      <c r="D133" s="2" t="s">
        <v>620</v>
      </c>
      <c r="E133" s="2" t="s">
        <v>390</v>
      </c>
      <c r="F133" s="2">
        <v>1</v>
      </c>
      <c r="G133" s="2" t="s">
        <v>13</v>
      </c>
      <c r="H133" s="2">
        <v>12</v>
      </c>
      <c r="I133" s="6">
        <f t="shared" si="38"/>
        <v>12</v>
      </c>
      <c r="J133" s="6">
        <f t="shared" si="42"/>
        <v>488</v>
      </c>
      <c r="K133" s="6">
        <f t="shared" si="43"/>
        <v>488</v>
      </c>
      <c r="L133" s="6">
        <f t="shared" si="39"/>
        <v>2742.5</v>
      </c>
      <c r="M133" s="6">
        <f t="shared" si="44"/>
        <v>142</v>
      </c>
      <c r="N133" s="6" t="b">
        <f t="shared" ref="N133:N196" si="45">AND(H133&gt;20,H133&lt;70)</f>
        <v>0</v>
      </c>
      <c r="O133" s="6" t="b">
        <f t="shared" si="40"/>
        <v>1</v>
      </c>
      <c r="P133" s="6" t="str">
        <f t="shared" ref="P133:P196" si="46">_xlfn.CONCAT(B133,"-",G133)</f>
        <v>C000356-ct</v>
      </c>
      <c r="Q133" s="7" t="str">
        <f t="shared" ref="Q133:Q196" si="47">_xlfn.CONCAT(C133,CHAR(10),F133)</f>
        <v>T022453
1</v>
      </c>
      <c r="R133" s="6" t="b">
        <f t="shared" ref="R133:R196" si="48">EXACT(D133,E133)</f>
        <v>0</v>
      </c>
      <c r="S133" s="6" t="str">
        <f t="shared" ref="S133:S196" si="49">MID(D133,4,2)</f>
        <v>19</v>
      </c>
      <c r="T133" s="6" t="str">
        <f t="shared" ref="T133:T196" si="50">UPPER(G133)</f>
        <v>CT</v>
      </c>
      <c r="U133" s="6" t="str">
        <f t="shared" ref="U133:U196" si="51">LOWER(G133)</f>
        <v>ct</v>
      </c>
      <c r="V133" s="6">
        <f t="shared" ref="V133:V196" si="52">SEARCH("0",E133)</f>
        <v>2</v>
      </c>
      <c r="W133" s="6" t="str">
        <f t="shared" ref="W133:W196" si="53">_xlfn.TEXTJOIN(" ",TRUE,C133,F133)</f>
        <v>T022453 1</v>
      </c>
      <c r="X133" s="6" t="str">
        <f t="shared" ref="X133:X196" si="54">SUBSTITUTE(E133,"0","5")</f>
        <v>S5545</v>
      </c>
      <c r="Y133" s="6" t="str">
        <f t="shared" ref="Y133:Y196" si="55">LEFT(C133,3)</f>
        <v>T02</v>
      </c>
      <c r="Z133" s="6" t="str">
        <f t="shared" ref="Z133:Z196" si="56">RIGHT(C133,3)</f>
        <v>453</v>
      </c>
      <c r="AA133" s="6">
        <f t="shared" si="41"/>
        <v>2</v>
      </c>
      <c r="AB133" s="6">
        <f t="shared" ref="AB133:AB196" si="57">LEN(G133)</f>
        <v>2</v>
      </c>
      <c r="AC133" s="6"/>
      <c r="AD133" s="23"/>
    </row>
    <row r="134" spans="1:30" ht="30" x14ac:dyDescent="0.25">
      <c r="A134" s="2" t="s">
        <v>55</v>
      </c>
      <c r="B134" s="2" t="s">
        <v>621</v>
      </c>
      <c r="C134" s="2" t="s">
        <v>622</v>
      </c>
      <c r="D134" s="2" t="s">
        <v>623</v>
      </c>
      <c r="E134" s="2" t="s">
        <v>331</v>
      </c>
      <c r="F134" s="2">
        <v>2</v>
      </c>
      <c r="G134" s="2" t="s">
        <v>35</v>
      </c>
      <c r="H134" s="2">
        <v>16.25</v>
      </c>
      <c r="I134" s="6">
        <f t="shared" ref="I134:I197" si="58">$F134*H134</f>
        <v>32.5</v>
      </c>
      <c r="J134" s="6">
        <f t="shared" si="42"/>
        <v>430.5</v>
      </c>
      <c r="K134" s="6">
        <f t="shared" si="43"/>
        <v>429</v>
      </c>
      <c r="L134" s="6">
        <f t="shared" ref="L134:L197" si="59">SUMIF(G134:G546,G134,H134:H629)</f>
        <v>1472.5</v>
      </c>
      <c r="M134" s="6">
        <f t="shared" si="44"/>
        <v>85</v>
      </c>
      <c r="N134" s="6" t="b">
        <f t="shared" si="45"/>
        <v>0</v>
      </c>
      <c r="O134" s="6" t="b">
        <f t="shared" si="40"/>
        <v>1</v>
      </c>
      <c r="P134" s="6" t="str">
        <f t="shared" si="46"/>
        <v>C004585-cans</v>
      </c>
      <c r="Q134" s="7" t="str">
        <f t="shared" si="47"/>
        <v>T018609
2</v>
      </c>
      <c r="R134" s="6" t="b">
        <f t="shared" si="48"/>
        <v>0</v>
      </c>
      <c r="S134" s="6" t="str">
        <f t="shared" si="49"/>
        <v>00</v>
      </c>
      <c r="T134" s="6" t="str">
        <f t="shared" si="50"/>
        <v>CANS</v>
      </c>
      <c r="U134" s="6" t="str">
        <f t="shared" si="51"/>
        <v>cans</v>
      </c>
      <c r="V134" s="6">
        <f t="shared" si="52"/>
        <v>2</v>
      </c>
      <c r="W134" s="6" t="str">
        <f t="shared" si="53"/>
        <v>T018609 2</v>
      </c>
      <c r="X134" s="6" t="str">
        <f t="shared" si="54"/>
        <v>S55694</v>
      </c>
      <c r="Y134" s="6" t="str">
        <f t="shared" si="55"/>
        <v>T01</v>
      </c>
      <c r="Z134" s="6" t="str">
        <f t="shared" si="56"/>
        <v>609</v>
      </c>
      <c r="AA134" s="6">
        <f t="shared" si="41"/>
        <v>2</v>
      </c>
      <c r="AB134" s="6">
        <f t="shared" si="57"/>
        <v>4</v>
      </c>
      <c r="AC134" s="6"/>
      <c r="AD134" s="23"/>
    </row>
    <row r="135" spans="1:30" ht="30" x14ac:dyDescent="0.25">
      <c r="A135" s="2" t="s">
        <v>91</v>
      </c>
      <c r="B135" s="2" t="s">
        <v>624</v>
      </c>
      <c r="C135" s="2" t="s">
        <v>625</v>
      </c>
      <c r="D135" s="2" t="s">
        <v>294</v>
      </c>
      <c r="E135" s="2" t="s">
        <v>386</v>
      </c>
      <c r="F135" s="2">
        <v>5</v>
      </c>
      <c r="G135" s="2" t="s">
        <v>13</v>
      </c>
      <c r="H135" s="2">
        <v>12</v>
      </c>
      <c r="I135" s="6">
        <f t="shared" si="58"/>
        <v>60</v>
      </c>
      <c r="J135" s="6">
        <f t="shared" si="42"/>
        <v>344.5</v>
      </c>
      <c r="K135" s="6">
        <f t="shared" si="43"/>
        <v>337</v>
      </c>
      <c r="L135" s="6">
        <f t="shared" si="59"/>
        <v>2730.5</v>
      </c>
      <c r="M135" s="6">
        <f t="shared" si="44"/>
        <v>141</v>
      </c>
      <c r="N135" s="6" t="b">
        <f t="shared" si="45"/>
        <v>0</v>
      </c>
      <c r="O135" s="6" t="b">
        <f t="shared" ref="O135:O198" si="60">OR(H135&gt;10,I135&lt;60)</f>
        <v>1</v>
      </c>
      <c r="P135" s="6" t="str">
        <f t="shared" si="46"/>
        <v>C000309-ct</v>
      </c>
      <c r="Q135" s="7" t="str">
        <f t="shared" si="47"/>
        <v>T037201
5</v>
      </c>
      <c r="R135" s="6" t="b">
        <f t="shared" si="48"/>
        <v>0</v>
      </c>
      <c r="S135" s="6" t="str">
        <f t="shared" si="49"/>
        <v>21</v>
      </c>
      <c r="T135" s="6" t="str">
        <f t="shared" si="50"/>
        <v>CT</v>
      </c>
      <c r="U135" s="6" t="str">
        <f t="shared" si="51"/>
        <v>ct</v>
      </c>
      <c r="V135" s="6">
        <f t="shared" si="52"/>
        <v>2</v>
      </c>
      <c r="W135" s="6" t="str">
        <f t="shared" si="53"/>
        <v>T037201 5</v>
      </c>
      <c r="X135" s="6" t="str">
        <f t="shared" si="54"/>
        <v>S55537</v>
      </c>
      <c r="Y135" s="6" t="str">
        <f t="shared" si="55"/>
        <v>T03</v>
      </c>
      <c r="Z135" s="6" t="str">
        <f t="shared" si="56"/>
        <v>201</v>
      </c>
      <c r="AA135" s="6">
        <f t="shared" si="41"/>
        <v>2</v>
      </c>
      <c r="AB135" s="6">
        <f t="shared" si="57"/>
        <v>2</v>
      </c>
      <c r="AC135" s="6"/>
      <c r="AD135" s="23"/>
    </row>
    <row r="136" spans="1:30" ht="30" x14ac:dyDescent="0.25">
      <c r="A136" s="2" t="s">
        <v>14</v>
      </c>
      <c r="B136" s="2" t="s">
        <v>626</v>
      </c>
      <c r="C136" s="2" t="s">
        <v>627</v>
      </c>
      <c r="D136" s="2" t="s">
        <v>628</v>
      </c>
      <c r="E136" s="2" t="s">
        <v>629</v>
      </c>
      <c r="F136" s="2">
        <v>4</v>
      </c>
      <c r="G136" s="2" t="s">
        <v>13</v>
      </c>
      <c r="H136" s="2">
        <v>16</v>
      </c>
      <c r="I136" s="6">
        <f t="shared" si="58"/>
        <v>64</v>
      </c>
      <c r="J136" s="6">
        <f t="shared" si="42"/>
        <v>328</v>
      </c>
      <c r="K136" s="6">
        <f t="shared" si="43"/>
        <v>324</v>
      </c>
      <c r="L136" s="6">
        <f t="shared" si="59"/>
        <v>2718.5</v>
      </c>
      <c r="M136" s="6">
        <f t="shared" si="44"/>
        <v>140</v>
      </c>
      <c r="N136" s="6" t="b">
        <f t="shared" si="45"/>
        <v>0</v>
      </c>
      <c r="O136" s="6" t="b">
        <f t="shared" si="60"/>
        <v>1</v>
      </c>
      <c r="P136" s="6" t="str">
        <f t="shared" si="46"/>
        <v>C000696-ct</v>
      </c>
      <c r="Q136" s="7" t="str">
        <f t="shared" si="47"/>
        <v>T032934
4</v>
      </c>
      <c r="R136" s="6" t="b">
        <f t="shared" si="48"/>
        <v>0</v>
      </c>
      <c r="S136" s="6" t="str">
        <f t="shared" si="49"/>
        <v>13</v>
      </c>
      <c r="T136" s="6" t="str">
        <f t="shared" si="50"/>
        <v>CT</v>
      </c>
      <c r="U136" s="6" t="str">
        <f t="shared" si="51"/>
        <v>ct</v>
      </c>
      <c r="V136" s="6">
        <f t="shared" si="52"/>
        <v>2</v>
      </c>
      <c r="W136" s="6" t="str">
        <f t="shared" si="53"/>
        <v>T032934 4</v>
      </c>
      <c r="X136" s="6" t="str">
        <f t="shared" si="54"/>
        <v>S55275</v>
      </c>
      <c r="Y136" s="6" t="str">
        <f t="shared" si="55"/>
        <v>T03</v>
      </c>
      <c r="Z136" s="6" t="str">
        <f t="shared" si="56"/>
        <v>934</v>
      </c>
      <c r="AA136" s="6">
        <f t="shared" ref="AA136:AA199" si="61">FIND("0",A136)</f>
        <v>2</v>
      </c>
      <c r="AB136" s="6">
        <f t="shared" si="57"/>
        <v>2</v>
      </c>
      <c r="AC136" s="6"/>
      <c r="AD136" s="23"/>
    </row>
    <row r="137" spans="1:30" ht="30" x14ac:dyDescent="0.25">
      <c r="A137" s="2" t="s">
        <v>116</v>
      </c>
      <c r="B137" s="2" t="s">
        <v>630</v>
      </c>
      <c r="C137" s="2" t="s">
        <v>631</v>
      </c>
      <c r="D137" s="2" t="s">
        <v>227</v>
      </c>
      <c r="E137" s="2" t="s">
        <v>553</v>
      </c>
      <c r="F137" s="2">
        <v>7</v>
      </c>
      <c r="G137" s="2" t="s">
        <v>13</v>
      </c>
      <c r="H137" s="2">
        <v>12</v>
      </c>
      <c r="I137" s="6">
        <f t="shared" si="58"/>
        <v>84</v>
      </c>
      <c r="J137" s="6">
        <f t="shared" si="42"/>
        <v>263.5</v>
      </c>
      <c r="K137" s="6">
        <f t="shared" si="43"/>
        <v>260</v>
      </c>
      <c r="L137" s="6">
        <f t="shared" si="59"/>
        <v>2702.5</v>
      </c>
      <c r="M137" s="6">
        <f t="shared" si="44"/>
        <v>139</v>
      </c>
      <c r="N137" s="6" t="b">
        <f t="shared" si="45"/>
        <v>0</v>
      </c>
      <c r="O137" s="6" t="b">
        <f t="shared" si="60"/>
        <v>1</v>
      </c>
      <c r="P137" s="6" t="str">
        <f t="shared" si="46"/>
        <v>C005792-ct</v>
      </c>
      <c r="Q137" s="7" t="str">
        <f t="shared" si="47"/>
        <v>T089252
7</v>
      </c>
      <c r="R137" s="6" t="b">
        <f t="shared" si="48"/>
        <v>0</v>
      </c>
      <c r="S137" s="6" t="str">
        <f t="shared" si="49"/>
        <v>21</v>
      </c>
      <c r="T137" s="6" t="str">
        <f t="shared" si="50"/>
        <v>CT</v>
      </c>
      <c r="U137" s="6" t="str">
        <f t="shared" si="51"/>
        <v>ct</v>
      </c>
      <c r="V137" s="6">
        <f t="shared" si="52"/>
        <v>2</v>
      </c>
      <c r="W137" s="6" t="str">
        <f t="shared" si="53"/>
        <v>T089252 7</v>
      </c>
      <c r="X137" s="6" t="str">
        <f t="shared" si="54"/>
        <v>S55159</v>
      </c>
      <c r="Y137" s="6" t="str">
        <f t="shared" si="55"/>
        <v>T08</v>
      </c>
      <c r="Z137" s="6" t="str">
        <f t="shared" si="56"/>
        <v>252</v>
      </c>
      <c r="AA137" s="6">
        <f t="shared" si="61"/>
        <v>2</v>
      </c>
      <c r="AB137" s="6">
        <f t="shared" si="57"/>
        <v>2</v>
      </c>
      <c r="AC137" s="6"/>
      <c r="AD137" s="23"/>
    </row>
    <row r="138" spans="1:30" ht="30" x14ac:dyDescent="0.25">
      <c r="A138" s="2" t="s">
        <v>274</v>
      </c>
      <c r="B138" s="2" t="s">
        <v>632</v>
      </c>
      <c r="C138" s="2" t="s">
        <v>633</v>
      </c>
      <c r="D138" s="2" t="s">
        <v>64</v>
      </c>
      <c r="E138" s="2" t="s">
        <v>634</v>
      </c>
      <c r="F138" s="2">
        <v>6</v>
      </c>
      <c r="G138" s="2" t="s">
        <v>35</v>
      </c>
      <c r="H138" s="2">
        <v>15.5</v>
      </c>
      <c r="I138" s="6">
        <f t="shared" si="58"/>
        <v>93</v>
      </c>
      <c r="J138" s="6">
        <f t="shared" si="42"/>
        <v>236</v>
      </c>
      <c r="K138" s="6">
        <f t="shared" si="43"/>
        <v>236</v>
      </c>
      <c r="L138" s="6">
        <f t="shared" si="59"/>
        <v>1456.25</v>
      </c>
      <c r="M138" s="6">
        <f t="shared" si="44"/>
        <v>84</v>
      </c>
      <c r="N138" s="6" t="b">
        <f t="shared" si="45"/>
        <v>0</v>
      </c>
      <c r="O138" s="6" t="b">
        <f t="shared" si="60"/>
        <v>1</v>
      </c>
      <c r="P138" s="6" t="str">
        <f t="shared" si="46"/>
        <v>C008240-cans</v>
      </c>
      <c r="Q138" s="7" t="str">
        <f t="shared" si="47"/>
        <v>T069978
6</v>
      </c>
      <c r="R138" s="6" t="b">
        <f t="shared" si="48"/>
        <v>0</v>
      </c>
      <c r="S138" s="6" t="str">
        <f t="shared" si="49"/>
        <v>07</v>
      </c>
      <c r="T138" s="6" t="str">
        <f t="shared" si="50"/>
        <v>CANS</v>
      </c>
      <c r="U138" s="6" t="str">
        <f t="shared" si="51"/>
        <v>cans</v>
      </c>
      <c r="V138" s="6">
        <f t="shared" si="52"/>
        <v>2</v>
      </c>
      <c r="W138" s="6" t="str">
        <f t="shared" si="53"/>
        <v>T069978 6</v>
      </c>
      <c r="X138" s="6" t="str">
        <f t="shared" si="54"/>
        <v>S55621</v>
      </c>
      <c r="Y138" s="6" t="str">
        <f t="shared" si="55"/>
        <v>T06</v>
      </c>
      <c r="Z138" s="6" t="str">
        <f t="shared" si="56"/>
        <v>978</v>
      </c>
      <c r="AA138" s="6">
        <f t="shared" si="61"/>
        <v>2</v>
      </c>
      <c r="AB138" s="6">
        <f t="shared" si="57"/>
        <v>4</v>
      </c>
      <c r="AC138" s="6"/>
      <c r="AD138" s="23"/>
    </row>
    <row r="139" spans="1:30" ht="30" x14ac:dyDescent="0.25">
      <c r="A139" s="2" t="s">
        <v>14</v>
      </c>
      <c r="B139" s="2" t="s">
        <v>635</v>
      </c>
      <c r="C139" s="2" t="s">
        <v>636</v>
      </c>
      <c r="D139" s="2" t="s">
        <v>374</v>
      </c>
      <c r="E139" s="2" t="s">
        <v>637</v>
      </c>
      <c r="F139" s="2">
        <v>8</v>
      </c>
      <c r="G139" s="2" t="s">
        <v>60</v>
      </c>
      <c r="H139" s="2">
        <v>20</v>
      </c>
      <c r="I139" s="6">
        <f t="shared" si="58"/>
        <v>160</v>
      </c>
      <c r="J139" s="6">
        <f t="shared" si="42"/>
        <v>90.5</v>
      </c>
      <c r="K139" s="6">
        <f t="shared" si="43"/>
        <v>84</v>
      </c>
      <c r="L139" s="6">
        <f t="shared" si="59"/>
        <v>848</v>
      </c>
      <c r="M139" s="6">
        <f t="shared" si="44"/>
        <v>47</v>
      </c>
      <c r="N139" s="6" t="b">
        <f t="shared" si="45"/>
        <v>0</v>
      </c>
      <c r="O139" s="6" t="b">
        <f t="shared" si="60"/>
        <v>1</v>
      </c>
      <c r="P139" s="6" t="str">
        <f t="shared" si="46"/>
        <v>C006506-bottles</v>
      </c>
      <c r="Q139" s="7" t="str">
        <f t="shared" si="47"/>
        <v>T016439
8</v>
      </c>
      <c r="R139" s="6" t="b">
        <f t="shared" si="48"/>
        <v>0</v>
      </c>
      <c r="S139" s="6" t="str">
        <f t="shared" si="49"/>
        <v>07</v>
      </c>
      <c r="T139" s="6" t="str">
        <f t="shared" si="50"/>
        <v>BOTTLES</v>
      </c>
      <c r="U139" s="6" t="str">
        <f t="shared" si="51"/>
        <v>bottles</v>
      </c>
      <c r="V139" s="6">
        <f t="shared" si="52"/>
        <v>2</v>
      </c>
      <c r="W139" s="6" t="str">
        <f t="shared" si="53"/>
        <v>T016439 8</v>
      </c>
      <c r="X139" s="6" t="str">
        <f t="shared" si="54"/>
        <v>S55557</v>
      </c>
      <c r="Y139" s="6" t="str">
        <f t="shared" si="55"/>
        <v>T01</v>
      </c>
      <c r="Z139" s="6" t="str">
        <f t="shared" si="56"/>
        <v>439</v>
      </c>
      <c r="AA139" s="6">
        <f t="shared" si="61"/>
        <v>2</v>
      </c>
      <c r="AB139" s="6">
        <f t="shared" si="57"/>
        <v>7</v>
      </c>
      <c r="AC139" s="6"/>
      <c r="AD139" s="23"/>
    </row>
    <row r="140" spans="1:30" ht="30" x14ac:dyDescent="0.25">
      <c r="A140" s="2" t="s">
        <v>187</v>
      </c>
      <c r="B140" s="2" t="s">
        <v>638</v>
      </c>
      <c r="C140" s="2" t="s">
        <v>639</v>
      </c>
      <c r="D140" s="2" t="s">
        <v>640</v>
      </c>
      <c r="E140" s="2" t="s">
        <v>641</v>
      </c>
      <c r="F140" s="2">
        <v>9</v>
      </c>
      <c r="G140" s="2" t="s">
        <v>13</v>
      </c>
      <c r="H140" s="2">
        <v>17</v>
      </c>
      <c r="I140" s="6">
        <f t="shared" si="58"/>
        <v>153</v>
      </c>
      <c r="J140" s="6">
        <f t="shared" ref="J140:J203" si="62">_xlfn.RANK.AVG(I140,$I$5:$I$500)</f>
        <v>105.5</v>
      </c>
      <c r="K140" s="6">
        <f t="shared" ref="K140:K203" si="63">_xlfn.RANK.EQ(I140,$I$5:$I$500)</f>
        <v>103</v>
      </c>
      <c r="L140" s="6">
        <f t="shared" si="59"/>
        <v>2690.5</v>
      </c>
      <c r="M140" s="6">
        <f t="shared" ref="M140:M203" si="64">COUNTIF(G140:G552,G140)</f>
        <v>138</v>
      </c>
      <c r="N140" s="6" t="b">
        <f t="shared" si="45"/>
        <v>0</v>
      </c>
      <c r="O140" s="6" t="b">
        <f t="shared" si="60"/>
        <v>1</v>
      </c>
      <c r="P140" s="6" t="str">
        <f t="shared" si="46"/>
        <v>C008485-ct</v>
      </c>
      <c r="Q140" s="7" t="str">
        <f t="shared" si="47"/>
        <v>T050211
9</v>
      </c>
      <c r="R140" s="6" t="b">
        <f t="shared" si="48"/>
        <v>0</v>
      </c>
      <c r="S140" s="6" t="str">
        <f t="shared" si="49"/>
        <v>16</v>
      </c>
      <c r="T140" s="6" t="str">
        <f t="shared" si="50"/>
        <v>CT</v>
      </c>
      <c r="U140" s="6" t="str">
        <f t="shared" si="51"/>
        <v>ct</v>
      </c>
      <c r="V140" s="6">
        <f t="shared" si="52"/>
        <v>2</v>
      </c>
      <c r="W140" s="6" t="str">
        <f t="shared" si="53"/>
        <v>T050211 9</v>
      </c>
      <c r="X140" s="6" t="str">
        <f t="shared" si="54"/>
        <v>S55433</v>
      </c>
      <c r="Y140" s="6" t="str">
        <f t="shared" si="55"/>
        <v>T05</v>
      </c>
      <c r="Z140" s="6" t="str">
        <f t="shared" si="56"/>
        <v>211</v>
      </c>
      <c r="AA140" s="6">
        <f t="shared" si="61"/>
        <v>2</v>
      </c>
      <c r="AB140" s="6">
        <f t="shared" si="57"/>
        <v>2</v>
      </c>
      <c r="AC140" s="6"/>
      <c r="AD140" s="23"/>
    </row>
    <row r="141" spans="1:30" ht="30" x14ac:dyDescent="0.25">
      <c r="A141" s="2" t="s">
        <v>20</v>
      </c>
      <c r="B141" s="2" t="s">
        <v>642</v>
      </c>
      <c r="C141" s="2" t="s">
        <v>643</v>
      </c>
      <c r="D141" s="2" t="s">
        <v>644</v>
      </c>
      <c r="E141" s="2" t="s">
        <v>319</v>
      </c>
      <c r="F141" s="2">
        <v>5</v>
      </c>
      <c r="G141" s="2" t="s">
        <v>106</v>
      </c>
      <c r="H141" s="2">
        <v>21</v>
      </c>
      <c r="I141" s="6">
        <f t="shared" si="58"/>
        <v>105</v>
      </c>
      <c r="J141" s="6">
        <f t="shared" si="62"/>
        <v>202.5</v>
      </c>
      <c r="K141" s="6">
        <f t="shared" si="63"/>
        <v>199</v>
      </c>
      <c r="L141" s="6">
        <f t="shared" si="59"/>
        <v>402</v>
      </c>
      <c r="M141" s="6">
        <f t="shared" si="64"/>
        <v>24</v>
      </c>
      <c r="N141" s="6" t="b">
        <f t="shared" si="45"/>
        <v>1</v>
      </c>
      <c r="O141" s="6" t="b">
        <f t="shared" si="60"/>
        <v>1</v>
      </c>
      <c r="P141" s="6" t="str">
        <f t="shared" si="46"/>
        <v>C001377-bags</v>
      </c>
      <c r="Q141" s="7" t="str">
        <f t="shared" si="47"/>
        <v>T090005
5</v>
      </c>
      <c r="R141" s="6" t="b">
        <f t="shared" si="48"/>
        <v>0</v>
      </c>
      <c r="S141" s="6" t="str">
        <f t="shared" si="49"/>
        <v>25</v>
      </c>
      <c r="T141" s="6" t="str">
        <f t="shared" si="50"/>
        <v>BAGS</v>
      </c>
      <c r="U141" s="6" t="str">
        <f t="shared" si="51"/>
        <v>bags</v>
      </c>
      <c r="V141" s="6">
        <f t="shared" si="52"/>
        <v>2</v>
      </c>
      <c r="W141" s="6" t="str">
        <f t="shared" si="53"/>
        <v>T090005 5</v>
      </c>
      <c r="X141" s="6" t="str">
        <f t="shared" si="54"/>
        <v>S55385</v>
      </c>
      <c r="Y141" s="6" t="str">
        <f t="shared" si="55"/>
        <v>T09</v>
      </c>
      <c r="Z141" s="6" t="str">
        <f t="shared" si="56"/>
        <v>005</v>
      </c>
      <c r="AA141" s="6">
        <f t="shared" si="61"/>
        <v>2</v>
      </c>
      <c r="AB141" s="6">
        <f t="shared" si="57"/>
        <v>4</v>
      </c>
      <c r="AC141" s="6"/>
      <c r="AD141" s="23"/>
    </row>
    <row r="142" spans="1:30" ht="30" x14ac:dyDescent="0.25">
      <c r="A142" s="2" t="s">
        <v>55</v>
      </c>
      <c r="B142" s="2" t="s">
        <v>645</v>
      </c>
      <c r="C142" s="2" t="s">
        <v>646</v>
      </c>
      <c r="D142" s="2" t="s">
        <v>171</v>
      </c>
      <c r="E142" s="2" t="s">
        <v>527</v>
      </c>
      <c r="F142" s="2">
        <v>7</v>
      </c>
      <c r="G142" s="2" t="s">
        <v>35</v>
      </c>
      <c r="H142" s="2">
        <v>6.75</v>
      </c>
      <c r="I142" s="6">
        <f t="shared" si="58"/>
        <v>47.25</v>
      </c>
      <c r="J142" s="6">
        <f t="shared" si="62"/>
        <v>389</v>
      </c>
      <c r="K142" s="6">
        <f t="shared" si="63"/>
        <v>387</v>
      </c>
      <c r="L142" s="6">
        <f t="shared" si="59"/>
        <v>1440.75</v>
      </c>
      <c r="M142" s="6">
        <f t="shared" si="64"/>
        <v>83</v>
      </c>
      <c r="N142" s="6" t="b">
        <f t="shared" si="45"/>
        <v>0</v>
      </c>
      <c r="O142" s="6" t="b">
        <f t="shared" si="60"/>
        <v>1</v>
      </c>
      <c r="P142" s="6" t="str">
        <f t="shared" si="46"/>
        <v>C001951-cans</v>
      </c>
      <c r="Q142" s="7" t="str">
        <f t="shared" si="47"/>
        <v>T03982
7</v>
      </c>
      <c r="R142" s="6" t="b">
        <f t="shared" si="48"/>
        <v>0</v>
      </c>
      <c r="S142" s="6" t="str">
        <f t="shared" si="49"/>
        <v>07</v>
      </c>
      <c r="T142" s="6" t="str">
        <f t="shared" si="50"/>
        <v>CANS</v>
      </c>
      <c r="U142" s="6" t="str">
        <f t="shared" si="51"/>
        <v>cans</v>
      </c>
      <c r="V142" s="6">
        <f t="shared" si="52"/>
        <v>2</v>
      </c>
      <c r="W142" s="6" t="str">
        <f t="shared" si="53"/>
        <v>T03982 7</v>
      </c>
      <c r="X142" s="6" t="str">
        <f t="shared" si="54"/>
        <v>S55282</v>
      </c>
      <c r="Y142" s="6" t="str">
        <f t="shared" si="55"/>
        <v>T03</v>
      </c>
      <c r="Z142" s="6" t="str">
        <f t="shared" si="56"/>
        <v>982</v>
      </c>
      <c r="AA142" s="6">
        <f t="shared" si="61"/>
        <v>2</v>
      </c>
      <c r="AB142" s="6">
        <f t="shared" si="57"/>
        <v>4</v>
      </c>
      <c r="AC142" s="6"/>
      <c r="AD142" s="23"/>
    </row>
    <row r="143" spans="1:30" ht="30" x14ac:dyDescent="0.25">
      <c r="A143" s="2" t="s">
        <v>146</v>
      </c>
      <c r="B143" s="2" t="s">
        <v>647</v>
      </c>
      <c r="C143" s="2" t="s">
        <v>648</v>
      </c>
      <c r="D143" s="2" t="s">
        <v>649</v>
      </c>
      <c r="E143" s="2" t="s">
        <v>446</v>
      </c>
      <c r="F143" s="2">
        <v>5</v>
      </c>
      <c r="G143" s="2" t="s">
        <v>60</v>
      </c>
      <c r="H143" s="2">
        <v>28</v>
      </c>
      <c r="I143" s="6">
        <f t="shared" si="58"/>
        <v>140</v>
      </c>
      <c r="J143" s="6">
        <f t="shared" si="62"/>
        <v>125</v>
      </c>
      <c r="K143" s="6">
        <f t="shared" si="63"/>
        <v>124</v>
      </c>
      <c r="L143" s="6">
        <f t="shared" si="59"/>
        <v>828</v>
      </c>
      <c r="M143" s="6">
        <f t="shared" si="64"/>
        <v>46</v>
      </c>
      <c r="N143" s="6" t="b">
        <f t="shared" si="45"/>
        <v>1</v>
      </c>
      <c r="O143" s="6" t="b">
        <f t="shared" si="60"/>
        <v>1</v>
      </c>
      <c r="P143" s="6" t="str">
        <f t="shared" si="46"/>
        <v>C000468-bottles</v>
      </c>
      <c r="Q143" s="7" t="str">
        <f t="shared" si="47"/>
        <v>T027342
5</v>
      </c>
      <c r="R143" s="6" t="b">
        <f t="shared" si="48"/>
        <v>0</v>
      </c>
      <c r="S143" s="6" t="str">
        <f t="shared" si="49"/>
        <v>04</v>
      </c>
      <c r="T143" s="6" t="str">
        <f t="shared" si="50"/>
        <v>BOTTLES</v>
      </c>
      <c r="U143" s="6" t="str">
        <f t="shared" si="51"/>
        <v>bottles</v>
      </c>
      <c r="V143" s="6">
        <f t="shared" si="52"/>
        <v>2</v>
      </c>
      <c r="W143" s="6" t="str">
        <f t="shared" si="53"/>
        <v>T027342 5</v>
      </c>
      <c r="X143" s="6" t="str">
        <f t="shared" si="54"/>
        <v>S55652</v>
      </c>
      <c r="Y143" s="6" t="str">
        <f t="shared" si="55"/>
        <v>T02</v>
      </c>
      <c r="Z143" s="6" t="str">
        <f t="shared" si="56"/>
        <v>342</v>
      </c>
      <c r="AA143" s="6">
        <f t="shared" si="61"/>
        <v>2</v>
      </c>
      <c r="AB143" s="6">
        <f t="shared" si="57"/>
        <v>7</v>
      </c>
      <c r="AC143" s="6"/>
      <c r="AD143" s="23"/>
    </row>
    <row r="144" spans="1:30" ht="30" x14ac:dyDescent="0.25">
      <c r="A144" s="2" t="s">
        <v>125</v>
      </c>
      <c r="B144" s="2" t="s">
        <v>650</v>
      </c>
      <c r="C144" s="2" t="s">
        <v>651</v>
      </c>
      <c r="D144" s="2" t="s">
        <v>649</v>
      </c>
      <c r="E144" s="2" t="s">
        <v>652</v>
      </c>
      <c r="F144" s="2">
        <v>7</v>
      </c>
      <c r="G144" s="2" t="s">
        <v>60</v>
      </c>
      <c r="H144" s="2">
        <v>28</v>
      </c>
      <c r="I144" s="6">
        <f t="shared" si="58"/>
        <v>196</v>
      </c>
      <c r="J144" s="6">
        <f t="shared" si="62"/>
        <v>52</v>
      </c>
      <c r="K144" s="6">
        <f t="shared" si="63"/>
        <v>52</v>
      </c>
      <c r="L144" s="6">
        <f t="shared" si="59"/>
        <v>800</v>
      </c>
      <c r="M144" s="6">
        <f t="shared" si="64"/>
        <v>45</v>
      </c>
      <c r="N144" s="6" t="b">
        <f t="shared" si="45"/>
        <v>1</v>
      </c>
      <c r="O144" s="6" t="b">
        <f t="shared" si="60"/>
        <v>1</v>
      </c>
      <c r="P144" s="6" t="str">
        <f t="shared" si="46"/>
        <v>C008169-bottles</v>
      </c>
      <c r="Q144" s="7" t="str">
        <f t="shared" si="47"/>
        <v>T027854
7</v>
      </c>
      <c r="R144" s="6" t="b">
        <f t="shared" si="48"/>
        <v>0</v>
      </c>
      <c r="S144" s="6" t="str">
        <f t="shared" si="49"/>
        <v>04</v>
      </c>
      <c r="T144" s="6" t="str">
        <f t="shared" si="50"/>
        <v>BOTTLES</v>
      </c>
      <c r="U144" s="6" t="str">
        <f t="shared" si="51"/>
        <v>bottles</v>
      </c>
      <c r="V144" s="6">
        <f t="shared" si="52"/>
        <v>2</v>
      </c>
      <c r="W144" s="6" t="str">
        <f t="shared" si="53"/>
        <v>T027854 7</v>
      </c>
      <c r="X144" s="6" t="str">
        <f t="shared" si="54"/>
        <v>S55434</v>
      </c>
      <c r="Y144" s="6" t="str">
        <f t="shared" si="55"/>
        <v>T02</v>
      </c>
      <c r="Z144" s="6" t="str">
        <f t="shared" si="56"/>
        <v>854</v>
      </c>
      <c r="AA144" s="6">
        <f t="shared" si="61"/>
        <v>2</v>
      </c>
      <c r="AB144" s="6">
        <f t="shared" si="57"/>
        <v>7</v>
      </c>
      <c r="AC144" s="6"/>
      <c r="AD144" s="23"/>
    </row>
    <row r="145" spans="1:30" ht="30" x14ac:dyDescent="0.25">
      <c r="A145" s="2" t="s">
        <v>8</v>
      </c>
      <c r="B145" s="2" t="s">
        <v>653</v>
      </c>
      <c r="C145" s="2" t="s">
        <v>654</v>
      </c>
      <c r="D145" s="2" t="s">
        <v>655</v>
      </c>
      <c r="E145" s="2" t="s">
        <v>656</v>
      </c>
      <c r="F145" s="2">
        <v>2</v>
      </c>
      <c r="G145" s="2" t="s">
        <v>60</v>
      </c>
      <c r="H145" s="2">
        <v>24</v>
      </c>
      <c r="I145" s="6">
        <f t="shared" si="58"/>
        <v>48</v>
      </c>
      <c r="J145" s="6">
        <f t="shared" si="62"/>
        <v>382.5</v>
      </c>
      <c r="K145" s="6">
        <f t="shared" si="63"/>
        <v>379</v>
      </c>
      <c r="L145" s="6">
        <f t="shared" si="59"/>
        <v>772</v>
      </c>
      <c r="M145" s="6">
        <f t="shared" si="64"/>
        <v>44</v>
      </c>
      <c r="N145" s="6" t="b">
        <f t="shared" si="45"/>
        <v>1</v>
      </c>
      <c r="O145" s="6" t="b">
        <f t="shared" si="60"/>
        <v>1</v>
      </c>
      <c r="P145" s="6" t="str">
        <f t="shared" si="46"/>
        <v>C003589-bottles</v>
      </c>
      <c r="Q145" s="7" t="str">
        <f t="shared" si="47"/>
        <v>T095881
2</v>
      </c>
      <c r="R145" s="6" t="b">
        <f t="shared" si="48"/>
        <v>0</v>
      </c>
      <c r="S145" s="6" t="str">
        <f t="shared" si="49"/>
        <v>04</v>
      </c>
      <c r="T145" s="6" t="str">
        <f t="shared" si="50"/>
        <v>BOTTLES</v>
      </c>
      <c r="U145" s="6" t="str">
        <f t="shared" si="51"/>
        <v>bottles</v>
      </c>
      <c r="V145" s="6">
        <f t="shared" si="52"/>
        <v>2</v>
      </c>
      <c r="W145" s="6" t="str">
        <f t="shared" si="53"/>
        <v>T095881 2</v>
      </c>
      <c r="X145" s="6" t="str">
        <f t="shared" si="54"/>
        <v>S55356</v>
      </c>
      <c r="Y145" s="6" t="str">
        <f t="shared" si="55"/>
        <v>T09</v>
      </c>
      <c r="Z145" s="6" t="str">
        <f t="shared" si="56"/>
        <v>881</v>
      </c>
      <c r="AA145" s="6">
        <f t="shared" si="61"/>
        <v>2</v>
      </c>
      <c r="AB145" s="6">
        <f t="shared" si="57"/>
        <v>7</v>
      </c>
      <c r="AC145" s="6"/>
      <c r="AD145" s="23"/>
    </row>
    <row r="146" spans="1:30" ht="30" x14ac:dyDescent="0.25">
      <c r="A146" s="2" t="s">
        <v>101</v>
      </c>
      <c r="B146" s="2" t="s">
        <v>657</v>
      </c>
      <c r="C146" s="2" t="s">
        <v>658</v>
      </c>
      <c r="D146" s="2" t="s">
        <v>530</v>
      </c>
      <c r="E146" s="2" t="s">
        <v>319</v>
      </c>
      <c r="F146" s="2">
        <v>5</v>
      </c>
      <c r="G146" s="2" t="s">
        <v>60</v>
      </c>
      <c r="H146" s="2">
        <v>22</v>
      </c>
      <c r="I146" s="6">
        <f t="shared" si="58"/>
        <v>110</v>
      </c>
      <c r="J146" s="6">
        <f t="shared" si="62"/>
        <v>194</v>
      </c>
      <c r="K146" s="6">
        <f t="shared" si="63"/>
        <v>192</v>
      </c>
      <c r="L146" s="6">
        <f t="shared" si="59"/>
        <v>748</v>
      </c>
      <c r="M146" s="6">
        <f t="shared" si="64"/>
        <v>43</v>
      </c>
      <c r="N146" s="6" t="b">
        <f t="shared" si="45"/>
        <v>1</v>
      </c>
      <c r="O146" s="6" t="b">
        <f t="shared" si="60"/>
        <v>1</v>
      </c>
      <c r="P146" s="6" t="str">
        <f t="shared" si="46"/>
        <v>C004255-bottles</v>
      </c>
      <c r="Q146" s="7" t="str">
        <f t="shared" si="47"/>
        <v>T092822
5</v>
      </c>
      <c r="R146" s="6" t="b">
        <f t="shared" si="48"/>
        <v>0</v>
      </c>
      <c r="S146" s="6" t="str">
        <f t="shared" si="49"/>
        <v>06</v>
      </c>
      <c r="T146" s="6" t="str">
        <f t="shared" si="50"/>
        <v>BOTTLES</v>
      </c>
      <c r="U146" s="6" t="str">
        <f t="shared" si="51"/>
        <v>bottles</v>
      </c>
      <c r="V146" s="6">
        <f t="shared" si="52"/>
        <v>2</v>
      </c>
      <c r="W146" s="6" t="str">
        <f t="shared" si="53"/>
        <v>T092822 5</v>
      </c>
      <c r="X146" s="6" t="str">
        <f t="shared" si="54"/>
        <v>S55385</v>
      </c>
      <c r="Y146" s="6" t="str">
        <f t="shared" si="55"/>
        <v>T09</v>
      </c>
      <c r="Z146" s="6" t="str">
        <f t="shared" si="56"/>
        <v>822</v>
      </c>
      <c r="AA146" s="6">
        <f t="shared" si="61"/>
        <v>2</v>
      </c>
      <c r="AB146" s="6">
        <f t="shared" si="57"/>
        <v>7</v>
      </c>
      <c r="AC146" s="6"/>
      <c r="AD146" s="23"/>
    </row>
    <row r="147" spans="1:30" ht="30" x14ac:dyDescent="0.25">
      <c r="A147" s="2" t="s">
        <v>101</v>
      </c>
      <c r="B147" s="2" t="s">
        <v>659</v>
      </c>
      <c r="C147" s="2" t="s">
        <v>660</v>
      </c>
      <c r="D147" s="2" t="s">
        <v>661</v>
      </c>
      <c r="E147" s="2" t="s">
        <v>662</v>
      </c>
      <c r="F147" s="2">
        <v>9</v>
      </c>
      <c r="G147" s="2" t="s">
        <v>407</v>
      </c>
      <c r="H147" s="2">
        <v>12</v>
      </c>
      <c r="I147" s="6">
        <f t="shared" si="58"/>
        <v>108</v>
      </c>
      <c r="J147" s="6">
        <f t="shared" si="62"/>
        <v>197.5</v>
      </c>
      <c r="K147" s="6">
        <f t="shared" si="63"/>
        <v>197</v>
      </c>
      <c r="L147" s="6">
        <f t="shared" si="59"/>
        <v>178.5</v>
      </c>
      <c r="M147" s="6">
        <f t="shared" si="64"/>
        <v>12</v>
      </c>
      <c r="N147" s="6" t="b">
        <f t="shared" si="45"/>
        <v>0</v>
      </c>
      <c r="O147" s="6" t="b">
        <f t="shared" si="60"/>
        <v>1</v>
      </c>
      <c r="P147" s="6" t="str">
        <f t="shared" si="46"/>
        <v>C000265-pk</v>
      </c>
      <c r="Q147" s="7" t="str">
        <f t="shared" si="47"/>
        <v>T092821
9</v>
      </c>
      <c r="R147" s="6" t="b">
        <f t="shared" si="48"/>
        <v>0</v>
      </c>
      <c r="S147" s="6" t="str">
        <f t="shared" si="49"/>
        <v>24</v>
      </c>
      <c r="T147" s="6" t="str">
        <f t="shared" si="50"/>
        <v>PK</v>
      </c>
      <c r="U147" s="6" t="str">
        <f t="shared" si="51"/>
        <v>pk</v>
      </c>
      <c r="V147" s="6">
        <f t="shared" si="52"/>
        <v>2</v>
      </c>
      <c r="W147" s="6" t="str">
        <f t="shared" si="53"/>
        <v>T092821 9</v>
      </c>
      <c r="X147" s="6" t="str">
        <f t="shared" si="54"/>
        <v>S55274</v>
      </c>
      <c r="Y147" s="6" t="str">
        <f t="shared" si="55"/>
        <v>T09</v>
      </c>
      <c r="Z147" s="6" t="str">
        <f t="shared" si="56"/>
        <v>821</v>
      </c>
      <c r="AA147" s="6">
        <f t="shared" si="61"/>
        <v>2</v>
      </c>
      <c r="AB147" s="6">
        <f t="shared" si="57"/>
        <v>2</v>
      </c>
      <c r="AC147" s="6"/>
      <c r="AD147" s="23"/>
    </row>
    <row r="148" spans="1:30" ht="30" x14ac:dyDescent="0.25">
      <c r="A148" s="2" t="s">
        <v>209</v>
      </c>
      <c r="B148" s="2" t="s">
        <v>663</v>
      </c>
      <c r="C148" s="2" t="s">
        <v>664</v>
      </c>
      <c r="D148" s="2" t="s">
        <v>620</v>
      </c>
      <c r="E148" s="2" t="s">
        <v>665</v>
      </c>
      <c r="F148" s="2">
        <v>6</v>
      </c>
      <c r="G148" s="2" t="s">
        <v>13</v>
      </c>
      <c r="H148" s="2">
        <v>12</v>
      </c>
      <c r="I148" s="6">
        <f t="shared" si="58"/>
        <v>72</v>
      </c>
      <c r="J148" s="6">
        <f t="shared" si="62"/>
        <v>295.5</v>
      </c>
      <c r="K148" s="6">
        <f t="shared" si="63"/>
        <v>292</v>
      </c>
      <c r="L148" s="6">
        <f t="shared" si="59"/>
        <v>2673.5</v>
      </c>
      <c r="M148" s="6">
        <f t="shared" si="64"/>
        <v>137</v>
      </c>
      <c r="N148" s="6" t="b">
        <f t="shared" si="45"/>
        <v>0</v>
      </c>
      <c r="O148" s="6" t="b">
        <f t="shared" si="60"/>
        <v>1</v>
      </c>
      <c r="P148" s="6" t="str">
        <f t="shared" si="46"/>
        <v>C000475-ct</v>
      </c>
      <c r="Q148" s="7" t="str">
        <f t="shared" si="47"/>
        <v>T099595
6</v>
      </c>
      <c r="R148" s="6" t="b">
        <f t="shared" si="48"/>
        <v>0</v>
      </c>
      <c r="S148" s="6" t="str">
        <f t="shared" si="49"/>
        <v>19</v>
      </c>
      <c r="T148" s="6" t="str">
        <f t="shared" si="50"/>
        <v>CT</v>
      </c>
      <c r="U148" s="6" t="str">
        <f t="shared" si="51"/>
        <v>ct</v>
      </c>
      <c r="V148" s="6">
        <f t="shared" si="52"/>
        <v>2</v>
      </c>
      <c r="W148" s="6" t="str">
        <f t="shared" si="53"/>
        <v>T099595 6</v>
      </c>
      <c r="X148" s="6" t="str">
        <f t="shared" si="54"/>
        <v>S55355</v>
      </c>
      <c r="Y148" s="6" t="str">
        <f t="shared" si="55"/>
        <v>T09</v>
      </c>
      <c r="Z148" s="6" t="str">
        <f t="shared" si="56"/>
        <v>595</v>
      </c>
      <c r="AA148" s="6">
        <f t="shared" si="61"/>
        <v>2</v>
      </c>
      <c r="AB148" s="6">
        <f t="shared" si="57"/>
        <v>2</v>
      </c>
      <c r="AC148" s="6"/>
      <c r="AD148" s="23"/>
    </row>
    <row r="149" spans="1:30" ht="30" x14ac:dyDescent="0.25">
      <c r="A149" s="2" t="s">
        <v>30</v>
      </c>
      <c r="B149" s="2" t="s">
        <v>666</v>
      </c>
      <c r="C149" s="2" t="s">
        <v>667</v>
      </c>
      <c r="D149" s="2" t="s">
        <v>668</v>
      </c>
      <c r="E149" s="2" t="s">
        <v>669</v>
      </c>
      <c r="F149" s="2">
        <v>2</v>
      </c>
      <c r="G149" s="2" t="s">
        <v>19</v>
      </c>
      <c r="H149" s="2">
        <v>26</v>
      </c>
      <c r="I149" s="6">
        <f t="shared" si="58"/>
        <v>52</v>
      </c>
      <c r="J149" s="6">
        <f t="shared" si="62"/>
        <v>371</v>
      </c>
      <c r="K149" s="6">
        <f t="shared" si="63"/>
        <v>370</v>
      </c>
      <c r="L149" s="6">
        <f t="shared" si="59"/>
        <v>52</v>
      </c>
      <c r="M149" s="6">
        <f t="shared" si="64"/>
        <v>2</v>
      </c>
      <c r="N149" s="6" t="b">
        <f t="shared" si="45"/>
        <v>1</v>
      </c>
      <c r="O149" s="6" t="b">
        <f t="shared" si="60"/>
        <v>1</v>
      </c>
      <c r="P149" s="6" t="str">
        <f t="shared" si="46"/>
        <v>C006453-rolls</v>
      </c>
      <c r="Q149" s="7" t="str">
        <f t="shared" si="47"/>
        <v>T093060
2</v>
      </c>
      <c r="R149" s="6" t="b">
        <f t="shared" si="48"/>
        <v>0</v>
      </c>
      <c r="S149" s="6" t="str">
        <f t="shared" si="49"/>
        <v>24</v>
      </c>
      <c r="T149" s="6" t="str">
        <f t="shared" si="50"/>
        <v>ROLLS</v>
      </c>
      <c r="U149" s="6" t="str">
        <f t="shared" si="51"/>
        <v>rolls</v>
      </c>
      <c r="V149" s="6">
        <f t="shared" si="52"/>
        <v>2</v>
      </c>
      <c r="W149" s="6" t="str">
        <f t="shared" si="53"/>
        <v>T093060 2</v>
      </c>
      <c r="X149" s="6" t="str">
        <f t="shared" si="54"/>
        <v>S5587</v>
      </c>
      <c r="Y149" s="6" t="str">
        <f t="shared" si="55"/>
        <v>T09</v>
      </c>
      <c r="Z149" s="6" t="str">
        <f t="shared" si="56"/>
        <v>060</v>
      </c>
      <c r="AA149" s="6">
        <f t="shared" si="61"/>
        <v>2</v>
      </c>
      <c r="AB149" s="6">
        <f t="shared" si="57"/>
        <v>5</v>
      </c>
      <c r="AC149" s="6"/>
      <c r="AD149" s="23"/>
    </row>
    <row r="150" spans="1:30" ht="30" x14ac:dyDescent="0.25">
      <c r="A150" s="2" t="s">
        <v>209</v>
      </c>
      <c r="B150" s="2" t="s">
        <v>670</v>
      </c>
      <c r="C150" s="2" t="s">
        <v>671</v>
      </c>
      <c r="D150" s="2" t="s">
        <v>79</v>
      </c>
      <c r="E150" s="2" t="s">
        <v>656</v>
      </c>
      <c r="F150" s="2">
        <v>3</v>
      </c>
      <c r="G150" s="2" t="s">
        <v>13</v>
      </c>
      <c r="H150" s="2">
        <v>15</v>
      </c>
      <c r="I150" s="6">
        <f t="shared" si="58"/>
        <v>45</v>
      </c>
      <c r="J150" s="6">
        <f t="shared" si="62"/>
        <v>396.5</v>
      </c>
      <c r="K150" s="6">
        <f t="shared" si="63"/>
        <v>394</v>
      </c>
      <c r="L150" s="6">
        <f t="shared" si="59"/>
        <v>2661.5</v>
      </c>
      <c r="M150" s="6">
        <f t="shared" si="64"/>
        <v>136</v>
      </c>
      <c r="N150" s="6" t="b">
        <f t="shared" si="45"/>
        <v>0</v>
      </c>
      <c r="O150" s="6" t="b">
        <f t="shared" si="60"/>
        <v>1</v>
      </c>
      <c r="P150" s="6" t="str">
        <f t="shared" si="46"/>
        <v>C004605-ct</v>
      </c>
      <c r="Q150" s="7" t="str">
        <f t="shared" si="47"/>
        <v>T065030
3</v>
      </c>
      <c r="R150" s="6" t="b">
        <f t="shared" si="48"/>
        <v>0</v>
      </c>
      <c r="S150" s="6" t="str">
        <f t="shared" si="49"/>
        <v>13</v>
      </c>
      <c r="T150" s="6" t="str">
        <f t="shared" si="50"/>
        <v>CT</v>
      </c>
      <c r="U150" s="6" t="str">
        <f t="shared" si="51"/>
        <v>ct</v>
      </c>
      <c r="V150" s="6">
        <f t="shared" si="52"/>
        <v>2</v>
      </c>
      <c r="W150" s="6" t="str">
        <f t="shared" si="53"/>
        <v>T065030 3</v>
      </c>
      <c r="X150" s="6" t="str">
        <f t="shared" si="54"/>
        <v>S55356</v>
      </c>
      <c r="Y150" s="6" t="str">
        <f t="shared" si="55"/>
        <v>T06</v>
      </c>
      <c r="Z150" s="6" t="str">
        <f t="shared" si="56"/>
        <v>030</v>
      </c>
      <c r="AA150" s="6">
        <f t="shared" si="61"/>
        <v>2</v>
      </c>
      <c r="AB150" s="6">
        <f t="shared" si="57"/>
        <v>2</v>
      </c>
      <c r="AC150" s="6"/>
      <c r="AD150" s="23"/>
    </row>
    <row r="151" spans="1:30" ht="30" x14ac:dyDescent="0.25">
      <c r="A151" s="2" t="s">
        <v>168</v>
      </c>
      <c r="B151" s="2" t="s">
        <v>672</v>
      </c>
      <c r="C151" s="2" t="s">
        <v>673</v>
      </c>
      <c r="D151" s="2" t="s">
        <v>588</v>
      </c>
      <c r="E151" s="2" t="s">
        <v>674</v>
      </c>
      <c r="F151" s="2">
        <v>6</v>
      </c>
      <c r="G151" s="2" t="s">
        <v>106</v>
      </c>
      <c r="H151" s="2">
        <v>16</v>
      </c>
      <c r="I151" s="6">
        <f t="shared" si="58"/>
        <v>96</v>
      </c>
      <c r="J151" s="6">
        <f t="shared" si="62"/>
        <v>231.5</v>
      </c>
      <c r="K151" s="6">
        <f t="shared" si="63"/>
        <v>228</v>
      </c>
      <c r="L151" s="6">
        <f t="shared" si="59"/>
        <v>381</v>
      </c>
      <c r="M151" s="6">
        <f t="shared" si="64"/>
        <v>23</v>
      </c>
      <c r="N151" s="6" t="b">
        <f t="shared" si="45"/>
        <v>0</v>
      </c>
      <c r="O151" s="6" t="b">
        <f t="shared" si="60"/>
        <v>1</v>
      </c>
      <c r="P151" s="6" t="str">
        <f t="shared" si="46"/>
        <v>C004081-bags</v>
      </c>
      <c r="Q151" s="7" t="str">
        <f t="shared" si="47"/>
        <v>T097295
6</v>
      </c>
      <c r="R151" s="6" t="b">
        <f t="shared" si="48"/>
        <v>0</v>
      </c>
      <c r="S151" s="6" t="str">
        <f t="shared" si="49"/>
        <v>15</v>
      </c>
      <c r="T151" s="6" t="str">
        <f t="shared" si="50"/>
        <v>BAGS</v>
      </c>
      <c r="U151" s="6" t="str">
        <f t="shared" si="51"/>
        <v>bags</v>
      </c>
      <c r="V151" s="6">
        <f t="shared" si="52"/>
        <v>2</v>
      </c>
      <c r="W151" s="6" t="str">
        <f t="shared" si="53"/>
        <v>T097295 6</v>
      </c>
      <c r="X151" s="6" t="str">
        <f t="shared" si="54"/>
        <v>S5551</v>
      </c>
      <c r="Y151" s="6" t="str">
        <f t="shared" si="55"/>
        <v>T09</v>
      </c>
      <c r="Z151" s="6" t="str">
        <f t="shared" si="56"/>
        <v>295</v>
      </c>
      <c r="AA151" s="6">
        <f t="shared" si="61"/>
        <v>2</v>
      </c>
      <c r="AB151" s="6">
        <f t="shared" si="57"/>
        <v>4</v>
      </c>
      <c r="AC151" s="6"/>
      <c r="AD151" s="23"/>
    </row>
    <row r="152" spans="1:30" ht="30" x14ac:dyDescent="0.25">
      <c r="A152" s="2" t="s">
        <v>61</v>
      </c>
      <c r="B152" s="2" t="s">
        <v>675</v>
      </c>
      <c r="C152" s="2" t="s">
        <v>676</v>
      </c>
      <c r="D152" s="2" t="s">
        <v>677</v>
      </c>
      <c r="E152" s="2" t="s">
        <v>678</v>
      </c>
      <c r="F152" s="2">
        <v>7</v>
      </c>
      <c r="G152" s="2" t="s">
        <v>60</v>
      </c>
      <c r="H152" s="2">
        <v>20</v>
      </c>
      <c r="I152" s="6">
        <f t="shared" si="58"/>
        <v>140</v>
      </c>
      <c r="J152" s="6">
        <f t="shared" si="62"/>
        <v>125</v>
      </c>
      <c r="K152" s="6">
        <f t="shared" si="63"/>
        <v>124</v>
      </c>
      <c r="L152" s="6">
        <f t="shared" si="59"/>
        <v>726</v>
      </c>
      <c r="M152" s="6">
        <f t="shared" si="64"/>
        <v>42</v>
      </c>
      <c r="N152" s="6" t="b">
        <f t="shared" si="45"/>
        <v>0</v>
      </c>
      <c r="O152" s="6" t="b">
        <f t="shared" si="60"/>
        <v>1</v>
      </c>
      <c r="P152" s="6" t="str">
        <f t="shared" si="46"/>
        <v>C002750-bottles</v>
      </c>
      <c r="Q152" s="7" t="str">
        <f t="shared" si="47"/>
        <v>T068178
7</v>
      </c>
      <c r="R152" s="6" t="b">
        <f t="shared" si="48"/>
        <v>0</v>
      </c>
      <c r="S152" s="6" t="str">
        <f t="shared" si="49"/>
        <v>07</v>
      </c>
      <c r="T152" s="6" t="str">
        <f t="shared" si="50"/>
        <v>BOTTLES</v>
      </c>
      <c r="U152" s="6" t="str">
        <f t="shared" si="51"/>
        <v>bottles</v>
      </c>
      <c r="V152" s="6">
        <f t="shared" si="52"/>
        <v>2</v>
      </c>
      <c r="W152" s="6" t="str">
        <f t="shared" si="53"/>
        <v>T068178 7</v>
      </c>
      <c r="X152" s="6" t="str">
        <f t="shared" si="54"/>
        <v>S55615</v>
      </c>
      <c r="Y152" s="6" t="str">
        <f t="shared" si="55"/>
        <v>T06</v>
      </c>
      <c r="Z152" s="6" t="str">
        <f t="shared" si="56"/>
        <v>178</v>
      </c>
      <c r="AA152" s="6">
        <f t="shared" si="61"/>
        <v>2</v>
      </c>
      <c r="AB152" s="6">
        <f t="shared" si="57"/>
        <v>7</v>
      </c>
      <c r="AC152" s="6"/>
      <c r="AD152" s="23"/>
    </row>
    <row r="153" spans="1:30" ht="30" x14ac:dyDescent="0.25">
      <c r="A153" s="2" t="s">
        <v>14</v>
      </c>
      <c r="B153" s="2" t="s">
        <v>679</v>
      </c>
      <c r="C153" s="2" t="s">
        <v>680</v>
      </c>
      <c r="D153" s="2" t="s">
        <v>681</v>
      </c>
      <c r="E153" s="2" t="s">
        <v>682</v>
      </c>
      <c r="F153" s="2">
        <v>2</v>
      </c>
      <c r="G153" s="2" t="s">
        <v>407</v>
      </c>
      <c r="H153" s="2">
        <v>15</v>
      </c>
      <c r="I153" s="6">
        <f t="shared" si="58"/>
        <v>30</v>
      </c>
      <c r="J153" s="6">
        <f t="shared" si="62"/>
        <v>440.5</v>
      </c>
      <c r="K153" s="6">
        <f t="shared" si="63"/>
        <v>439</v>
      </c>
      <c r="L153" s="6">
        <f t="shared" si="59"/>
        <v>166.5</v>
      </c>
      <c r="M153" s="6">
        <f t="shared" si="64"/>
        <v>11</v>
      </c>
      <c r="N153" s="6" t="b">
        <f t="shared" si="45"/>
        <v>0</v>
      </c>
      <c r="O153" s="6" t="b">
        <f t="shared" si="60"/>
        <v>1</v>
      </c>
      <c r="P153" s="6" t="str">
        <f t="shared" si="46"/>
        <v>C004401-pk</v>
      </c>
      <c r="Q153" s="7" t="str">
        <f t="shared" si="47"/>
        <v>T085077
2</v>
      </c>
      <c r="R153" s="6" t="b">
        <f t="shared" si="48"/>
        <v>0</v>
      </c>
      <c r="S153" s="6" t="str">
        <f t="shared" si="49"/>
        <v>22</v>
      </c>
      <c r="T153" s="6" t="str">
        <f t="shared" si="50"/>
        <v>PK</v>
      </c>
      <c r="U153" s="6" t="str">
        <f t="shared" si="51"/>
        <v>pk</v>
      </c>
      <c r="V153" s="6">
        <f t="shared" si="52"/>
        <v>2</v>
      </c>
      <c r="W153" s="6" t="str">
        <f t="shared" si="53"/>
        <v>T085077 2</v>
      </c>
      <c r="X153" s="6" t="str">
        <f t="shared" si="54"/>
        <v>S55426</v>
      </c>
      <c r="Y153" s="6" t="str">
        <f t="shared" si="55"/>
        <v>T08</v>
      </c>
      <c r="Z153" s="6" t="str">
        <f t="shared" si="56"/>
        <v>077</v>
      </c>
      <c r="AA153" s="6">
        <f t="shared" si="61"/>
        <v>2</v>
      </c>
      <c r="AB153" s="6">
        <f t="shared" si="57"/>
        <v>2</v>
      </c>
      <c r="AC153" s="6"/>
      <c r="AD153" s="23"/>
    </row>
    <row r="154" spans="1:30" ht="30" x14ac:dyDescent="0.25">
      <c r="A154" s="2" t="s">
        <v>274</v>
      </c>
      <c r="B154" s="2" t="s">
        <v>487</v>
      </c>
      <c r="C154" s="2" t="s">
        <v>683</v>
      </c>
      <c r="D154" s="2" t="s">
        <v>393</v>
      </c>
      <c r="E154" s="2" t="s">
        <v>282</v>
      </c>
      <c r="F154" s="2">
        <v>4</v>
      </c>
      <c r="G154" s="2" t="s">
        <v>167</v>
      </c>
      <c r="H154" s="2">
        <v>15</v>
      </c>
      <c r="I154" s="6">
        <f t="shared" si="58"/>
        <v>60</v>
      </c>
      <c r="J154" s="6">
        <f t="shared" si="62"/>
        <v>344.5</v>
      </c>
      <c r="K154" s="6">
        <f t="shared" si="63"/>
        <v>337</v>
      </c>
      <c r="L154" s="6">
        <f t="shared" si="59"/>
        <v>367</v>
      </c>
      <c r="M154" s="6">
        <f t="shared" si="64"/>
        <v>23</v>
      </c>
      <c r="N154" s="6" t="b">
        <f t="shared" si="45"/>
        <v>0</v>
      </c>
      <c r="O154" s="6" t="b">
        <f t="shared" si="60"/>
        <v>1</v>
      </c>
      <c r="P154" s="6" t="str">
        <f t="shared" si="46"/>
        <v>C008525-oz</v>
      </c>
      <c r="Q154" s="7" t="str">
        <f t="shared" si="47"/>
        <v>T020322
4</v>
      </c>
      <c r="R154" s="6" t="b">
        <f t="shared" si="48"/>
        <v>0</v>
      </c>
      <c r="S154" s="6" t="str">
        <f t="shared" si="49"/>
        <v>24</v>
      </c>
      <c r="T154" s="6" t="str">
        <f t="shared" si="50"/>
        <v>OZ</v>
      </c>
      <c r="U154" s="6" t="str">
        <f t="shared" si="51"/>
        <v>oz</v>
      </c>
      <c r="V154" s="6">
        <f t="shared" si="52"/>
        <v>2</v>
      </c>
      <c r="W154" s="6" t="str">
        <f t="shared" si="53"/>
        <v>T020322 4</v>
      </c>
      <c r="X154" s="6" t="str">
        <f t="shared" si="54"/>
        <v>S55194</v>
      </c>
      <c r="Y154" s="6" t="str">
        <f t="shared" si="55"/>
        <v>T02</v>
      </c>
      <c r="Z154" s="6" t="str">
        <f t="shared" si="56"/>
        <v>322</v>
      </c>
      <c r="AA154" s="6">
        <f t="shared" si="61"/>
        <v>2</v>
      </c>
      <c r="AB154" s="6">
        <f t="shared" si="57"/>
        <v>2</v>
      </c>
      <c r="AC154" s="6"/>
      <c r="AD154" s="23"/>
    </row>
    <row r="155" spans="1:30" ht="30" x14ac:dyDescent="0.25">
      <c r="A155" s="2" t="s">
        <v>288</v>
      </c>
      <c r="B155" s="2" t="s">
        <v>684</v>
      </c>
      <c r="C155" s="2" t="s">
        <v>685</v>
      </c>
      <c r="D155" s="2" t="s">
        <v>607</v>
      </c>
      <c r="E155" s="2" t="s">
        <v>161</v>
      </c>
      <c r="F155" s="2">
        <v>3</v>
      </c>
      <c r="G155" s="2" t="s">
        <v>13</v>
      </c>
      <c r="H155" s="2">
        <v>25</v>
      </c>
      <c r="I155" s="6">
        <f t="shared" si="58"/>
        <v>75</v>
      </c>
      <c r="J155" s="6">
        <f t="shared" si="62"/>
        <v>285</v>
      </c>
      <c r="K155" s="6">
        <f t="shared" si="63"/>
        <v>283</v>
      </c>
      <c r="L155" s="6">
        <f t="shared" si="59"/>
        <v>2646.5</v>
      </c>
      <c r="M155" s="6">
        <f t="shared" si="64"/>
        <v>135</v>
      </c>
      <c r="N155" s="6" t="b">
        <f t="shared" si="45"/>
        <v>1</v>
      </c>
      <c r="O155" s="6" t="b">
        <f t="shared" si="60"/>
        <v>1</v>
      </c>
      <c r="P155" s="6" t="str">
        <f t="shared" si="46"/>
        <v>C002110-ct</v>
      </c>
      <c r="Q155" s="7" t="str">
        <f t="shared" si="47"/>
        <v>T017049
3</v>
      </c>
      <c r="R155" s="6" t="b">
        <f t="shared" si="48"/>
        <v>0</v>
      </c>
      <c r="S155" s="6" t="str">
        <f t="shared" si="49"/>
        <v>12</v>
      </c>
      <c r="T155" s="6" t="str">
        <f t="shared" si="50"/>
        <v>CT</v>
      </c>
      <c r="U155" s="6" t="str">
        <f t="shared" si="51"/>
        <v>ct</v>
      </c>
      <c r="V155" s="6">
        <f t="shared" si="52"/>
        <v>2</v>
      </c>
      <c r="W155" s="6" t="str">
        <f t="shared" si="53"/>
        <v>T017049 3</v>
      </c>
      <c r="X155" s="6" t="str">
        <f t="shared" si="54"/>
        <v>S55142</v>
      </c>
      <c r="Y155" s="6" t="str">
        <f t="shared" si="55"/>
        <v>T01</v>
      </c>
      <c r="Z155" s="6" t="str">
        <f t="shared" si="56"/>
        <v>049</v>
      </c>
      <c r="AA155" s="6">
        <f t="shared" si="61"/>
        <v>2</v>
      </c>
      <c r="AB155" s="6">
        <f t="shared" si="57"/>
        <v>2</v>
      </c>
      <c r="AC155" s="6"/>
      <c r="AD155" s="23"/>
    </row>
    <row r="156" spans="1:30" ht="30" x14ac:dyDescent="0.25">
      <c r="A156" s="2" t="s">
        <v>307</v>
      </c>
      <c r="B156" s="2" t="s">
        <v>686</v>
      </c>
      <c r="C156" s="2" t="s">
        <v>687</v>
      </c>
      <c r="D156" s="2" t="s">
        <v>688</v>
      </c>
      <c r="E156" s="2" t="s">
        <v>689</v>
      </c>
      <c r="F156" s="2">
        <v>10</v>
      </c>
      <c r="G156" s="2" t="s">
        <v>13</v>
      </c>
      <c r="H156" s="2">
        <v>12</v>
      </c>
      <c r="I156" s="6">
        <f t="shared" si="58"/>
        <v>120</v>
      </c>
      <c r="J156" s="6">
        <f t="shared" si="62"/>
        <v>169.5</v>
      </c>
      <c r="K156" s="6">
        <f t="shared" si="63"/>
        <v>162</v>
      </c>
      <c r="L156" s="6">
        <f t="shared" si="59"/>
        <v>2621.5</v>
      </c>
      <c r="M156" s="6">
        <f t="shared" si="64"/>
        <v>134</v>
      </c>
      <c r="N156" s="6" t="b">
        <f t="shared" si="45"/>
        <v>0</v>
      </c>
      <c r="O156" s="6" t="b">
        <f t="shared" si="60"/>
        <v>1</v>
      </c>
      <c r="P156" s="6" t="str">
        <f t="shared" si="46"/>
        <v>C007170-ct</v>
      </c>
      <c r="Q156" s="7" t="str">
        <f t="shared" si="47"/>
        <v>T062404
10</v>
      </c>
      <c r="R156" s="6" t="b">
        <f t="shared" si="48"/>
        <v>0</v>
      </c>
      <c r="S156" s="6" t="str">
        <f t="shared" si="49"/>
        <v>24</v>
      </c>
      <c r="T156" s="6" t="str">
        <f t="shared" si="50"/>
        <v>CT</v>
      </c>
      <c r="U156" s="6" t="str">
        <f t="shared" si="51"/>
        <v>ct</v>
      </c>
      <c r="V156" s="6">
        <f t="shared" si="52"/>
        <v>2</v>
      </c>
      <c r="W156" s="6" t="str">
        <f t="shared" si="53"/>
        <v>T062404 10</v>
      </c>
      <c r="X156" s="6" t="str">
        <f t="shared" si="54"/>
        <v>S55322</v>
      </c>
      <c r="Y156" s="6" t="str">
        <f t="shared" si="55"/>
        <v>T06</v>
      </c>
      <c r="Z156" s="6" t="str">
        <f t="shared" si="56"/>
        <v>404</v>
      </c>
      <c r="AA156" s="6">
        <f t="shared" si="61"/>
        <v>2</v>
      </c>
      <c r="AB156" s="6">
        <f t="shared" si="57"/>
        <v>2</v>
      </c>
      <c r="AC156" s="6"/>
      <c r="AD156" s="23"/>
    </row>
    <row r="157" spans="1:30" ht="30" x14ac:dyDescent="0.25">
      <c r="A157" s="2" t="s">
        <v>162</v>
      </c>
      <c r="B157" s="2" t="s">
        <v>690</v>
      </c>
      <c r="C157" s="2" t="s">
        <v>691</v>
      </c>
      <c r="D157" s="2" t="s">
        <v>649</v>
      </c>
      <c r="E157" s="2" t="s">
        <v>692</v>
      </c>
      <c r="F157" s="2">
        <v>2</v>
      </c>
      <c r="G157" s="2" t="s">
        <v>60</v>
      </c>
      <c r="H157" s="2">
        <v>28</v>
      </c>
      <c r="I157" s="6">
        <f t="shared" si="58"/>
        <v>56</v>
      </c>
      <c r="J157" s="6">
        <f t="shared" si="62"/>
        <v>360.5</v>
      </c>
      <c r="K157" s="6">
        <f t="shared" si="63"/>
        <v>357</v>
      </c>
      <c r="L157" s="6">
        <f t="shared" si="59"/>
        <v>706</v>
      </c>
      <c r="M157" s="6">
        <f t="shared" si="64"/>
        <v>41</v>
      </c>
      <c r="N157" s="6" t="b">
        <f t="shared" si="45"/>
        <v>1</v>
      </c>
      <c r="O157" s="6" t="b">
        <f t="shared" si="60"/>
        <v>1</v>
      </c>
      <c r="P157" s="6" t="str">
        <f t="shared" si="46"/>
        <v>C001647-bottles</v>
      </c>
      <c r="Q157" s="7" t="str">
        <f t="shared" si="47"/>
        <v>T059671
2</v>
      </c>
      <c r="R157" s="6" t="b">
        <f t="shared" si="48"/>
        <v>0</v>
      </c>
      <c r="S157" s="6" t="str">
        <f t="shared" si="49"/>
        <v>04</v>
      </c>
      <c r="T157" s="6" t="str">
        <f t="shared" si="50"/>
        <v>BOTTLES</v>
      </c>
      <c r="U157" s="6" t="str">
        <f t="shared" si="51"/>
        <v>bottles</v>
      </c>
      <c r="V157" s="6">
        <f t="shared" si="52"/>
        <v>2</v>
      </c>
      <c r="W157" s="6" t="str">
        <f t="shared" si="53"/>
        <v>T059671 2</v>
      </c>
      <c r="X157" s="6" t="str">
        <f t="shared" si="54"/>
        <v>S55342</v>
      </c>
      <c r="Y157" s="6" t="str">
        <f t="shared" si="55"/>
        <v>T05</v>
      </c>
      <c r="Z157" s="6" t="str">
        <f t="shared" si="56"/>
        <v>671</v>
      </c>
      <c r="AA157" s="6">
        <f t="shared" si="61"/>
        <v>2</v>
      </c>
      <c r="AB157" s="6">
        <f t="shared" si="57"/>
        <v>7</v>
      </c>
      <c r="AC157" s="6"/>
      <c r="AD157" s="23"/>
    </row>
    <row r="158" spans="1:30" ht="30" x14ac:dyDescent="0.25">
      <c r="A158" s="2" t="s">
        <v>82</v>
      </c>
      <c r="B158" s="2" t="s">
        <v>460</v>
      </c>
      <c r="C158" s="2" t="s">
        <v>693</v>
      </c>
      <c r="D158" s="2" t="s">
        <v>694</v>
      </c>
      <c r="E158" s="2" t="s">
        <v>695</v>
      </c>
      <c r="F158" s="2">
        <v>8</v>
      </c>
      <c r="G158" s="2" t="s">
        <v>13</v>
      </c>
      <c r="H158" s="2">
        <v>12</v>
      </c>
      <c r="I158" s="6">
        <f t="shared" si="58"/>
        <v>96</v>
      </c>
      <c r="J158" s="6">
        <f t="shared" si="62"/>
        <v>231.5</v>
      </c>
      <c r="K158" s="6">
        <f t="shared" si="63"/>
        <v>228</v>
      </c>
      <c r="L158" s="6">
        <f t="shared" si="59"/>
        <v>2609.5</v>
      </c>
      <c r="M158" s="6">
        <f t="shared" si="64"/>
        <v>133</v>
      </c>
      <c r="N158" s="6" t="b">
        <f t="shared" si="45"/>
        <v>0</v>
      </c>
      <c r="O158" s="6" t="b">
        <f t="shared" si="60"/>
        <v>1</v>
      </c>
      <c r="P158" s="6" t="str">
        <f t="shared" si="46"/>
        <v>C009083-ct</v>
      </c>
      <c r="Q158" s="7" t="str">
        <f t="shared" si="47"/>
        <v>T063522
8</v>
      </c>
      <c r="R158" s="6" t="b">
        <f t="shared" si="48"/>
        <v>0</v>
      </c>
      <c r="S158" s="6" t="str">
        <f t="shared" si="49"/>
        <v>23</v>
      </c>
      <c r="T158" s="6" t="str">
        <f t="shared" si="50"/>
        <v>CT</v>
      </c>
      <c r="U158" s="6" t="str">
        <f t="shared" si="51"/>
        <v>ct</v>
      </c>
      <c r="V158" s="6">
        <f t="shared" si="52"/>
        <v>2</v>
      </c>
      <c r="W158" s="6" t="str">
        <f t="shared" si="53"/>
        <v>T063522 8</v>
      </c>
      <c r="X158" s="6" t="str">
        <f t="shared" si="54"/>
        <v>S5542</v>
      </c>
      <c r="Y158" s="6" t="str">
        <f t="shared" si="55"/>
        <v>T06</v>
      </c>
      <c r="Z158" s="6" t="str">
        <f t="shared" si="56"/>
        <v>522</v>
      </c>
      <c r="AA158" s="6">
        <f t="shared" si="61"/>
        <v>2</v>
      </c>
      <c r="AB158" s="6">
        <f t="shared" si="57"/>
        <v>2</v>
      </c>
      <c r="AC158" s="6"/>
      <c r="AD158" s="23"/>
    </row>
    <row r="159" spans="1:30" ht="30" x14ac:dyDescent="0.25">
      <c r="A159" s="2" t="s">
        <v>240</v>
      </c>
      <c r="B159" s="2" t="s">
        <v>696</v>
      </c>
      <c r="C159" s="2" t="s">
        <v>697</v>
      </c>
      <c r="D159" s="2" t="s">
        <v>592</v>
      </c>
      <c r="E159" s="2" t="s">
        <v>698</v>
      </c>
      <c r="F159" s="2">
        <v>2</v>
      </c>
      <c r="G159" s="2" t="s">
        <v>13</v>
      </c>
      <c r="H159" s="2">
        <v>19</v>
      </c>
      <c r="I159" s="6">
        <f t="shared" si="58"/>
        <v>38</v>
      </c>
      <c r="J159" s="6">
        <f t="shared" si="62"/>
        <v>415</v>
      </c>
      <c r="K159" s="6">
        <f t="shared" si="63"/>
        <v>415</v>
      </c>
      <c r="L159" s="6">
        <f t="shared" si="59"/>
        <v>2597.5</v>
      </c>
      <c r="M159" s="6">
        <f t="shared" si="64"/>
        <v>132</v>
      </c>
      <c r="N159" s="6" t="b">
        <f t="shared" si="45"/>
        <v>0</v>
      </c>
      <c r="O159" s="6" t="b">
        <f t="shared" si="60"/>
        <v>1</v>
      </c>
      <c r="P159" s="6" t="str">
        <f t="shared" si="46"/>
        <v>C009085-ct</v>
      </c>
      <c r="Q159" s="7" t="str">
        <f t="shared" si="47"/>
        <v>T077489
2</v>
      </c>
      <c r="R159" s="6" t="b">
        <f t="shared" si="48"/>
        <v>0</v>
      </c>
      <c r="S159" s="6" t="str">
        <f t="shared" si="49"/>
        <v>18</v>
      </c>
      <c r="T159" s="6" t="str">
        <f t="shared" si="50"/>
        <v>CT</v>
      </c>
      <c r="U159" s="6" t="str">
        <f t="shared" si="51"/>
        <v>ct</v>
      </c>
      <c r="V159" s="6">
        <f t="shared" si="52"/>
        <v>2</v>
      </c>
      <c r="W159" s="6" t="str">
        <f t="shared" si="53"/>
        <v>T077489 2</v>
      </c>
      <c r="X159" s="6" t="str">
        <f t="shared" si="54"/>
        <v>S55467</v>
      </c>
      <c r="Y159" s="6" t="str">
        <f t="shared" si="55"/>
        <v>T07</v>
      </c>
      <c r="Z159" s="6" t="str">
        <f t="shared" si="56"/>
        <v>489</v>
      </c>
      <c r="AA159" s="6">
        <f t="shared" si="61"/>
        <v>2</v>
      </c>
      <c r="AB159" s="6">
        <f t="shared" si="57"/>
        <v>2</v>
      </c>
      <c r="AC159" s="6"/>
      <c r="AD159" s="23"/>
    </row>
    <row r="160" spans="1:30" ht="30" x14ac:dyDescent="0.25">
      <c r="A160" s="2" t="s">
        <v>125</v>
      </c>
      <c r="B160" s="2" t="s">
        <v>699</v>
      </c>
      <c r="C160" s="2" t="s">
        <v>700</v>
      </c>
      <c r="D160" s="2" t="s">
        <v>556</v>
      </c>
      <c r="E160" s="2" t="s">
        <v>486</v>
      </c>
      <c r="F160" s="2">
        <v>5</v>
      </c>
      <c r="G160" s="2" t="s">
        <v>402</v>
      </c>
      <c r="H160" s="2">
        <v>19.5</v>
      </c>
      <c r="I160" s="6">
        <f t="shared" si="58"/>
        <v>97.5</v>
      </c>
      <c r="J160" s="6">
        <f t="shared" si="62"/>
        <v>225</v>
      </c>
      <c r="K160" s="6">
        <f t="shared" si="63"/>
        <v>223</v>
      </c>
      <c r="L160" s="6">
        <f t="shared" si="59"/>
        <v>161</v>
      </c>
      <c r="M160" s="6">
        <f t="shared" si="64"/>
        <v>8</v>
      </c>
      <c r="N160" s="6" t="b">
        <f t="shared" si="45"/>
        <v>0</v>
      </c>
      <c r="O160" s="6" t="b">
        <f t="shared" si="60"/>
        <v>1</v>
      </c>
      <c r="P160" s="6" t="str">
        <f t="shared" si="46"/>
        <v>C003950-pack</v>
      </c>
      <c r="Q160" s="7" t="str">
        <f t="shared" si="47"/>
        <v>T089335
5</v>
      </c>
      <c r="R160" s="6" t="b">
        <f t="shared" si="48"/>
        <v>0</v>
      </c>
      <c r="S160" s="6" t="str">
        <f t="shared" si="49"/>
        <v>25</v>
      </c>
      <c r="T160" s="6" t="str">
        <f t="shared" si="50"/>
        <v>PACK</v>
      </c>
      <c r="U160" s="6" t="str">
        <f t="shared" si="51"/>
        <v>pack</v>
      </c>
      <c r="V160" s="6">
        <f t="shared" si="52"/>
        <v>2</v>
      </c>
      <c r="W160" s="6" t="str">
        <f t="shared" si="53"/>
        <v>T089335 5</v>
      </c>
      <c r="X160" s="6" t="str">
        <f t="shared" si="54"/>
        <v>S55312</v>
      </c>
      <c r="Y160" s="6" t="str">
        <f t="shared" si="55"/>
        <v>T08</v>
      </c>
      <c r="Z160" s="6" t="str">
        <f t="shared" si="56"/>
        <v>335</v>
      </c>
      <c r="AA160" s="6">
        <f t="shared" si="61"/>
        <v>2</v>
      </c>
      <c r="AB160" s="6">
        <f t="shared" si="57"/>
        <v>4</v>
      </c>
      <c r="AC160" s="6"/>
      <c r="AD160" s="23"/>
    </row>
    <row r="161" spans="1:30" ht="30" x14ac:dyDescent="0.25">
      <c r="A161" s="2" t="s">
        <v>55</v>
      </c>
      <c r="B161" s="2" t="s">
        <v>701</v>
      </c>
      <c r="C161" s="2" t="s">
        <v>702</v>
      </c>
      <c r="D161" s="2" t="s">
        <v>703</v>
      </c>
      <c r="E161" s="2" t="s">
        <v>704</v>
      </c>
      <c r="F161" s="2">
        <v>2</v>
      </c>
      <c r="G161" s="2" t="s">
        <v>35</v>
      </c>
      <c r="H161" s="2">
        <v>16.25</v>
      </c>
      <c r="I161" s="6">
        <f t="shared" si="58"/>
        <v>32.5</v>
      </c>
      <c r="J161" s="6">
        <f t="shared" si="62"/>
        <v>430.5</v>
      </c>
      <c r="K161" s="6">
        <f t="shared" si="63"/>
        <v>429</v>
      </c>
      <c r="L161" s="6">
        <f t="shared" si="59"/>
        <v>1434</v>
      </c>
      <c r="M161" s="6">
        <f t="shared" si="64"/>
        <v>82</v>
      </c>
      <c r="N161" s="6" t="b">
        <f t="shared" si="45"/>
        <v>0</v>
      </c>
      <c r="O161" s="6" t="b">
        <f t="shared" si="60"/>
        <v>1</v>
      </c>
      <c r="P161" s="6" t="str">
        <f t="shared" si="46"/>
        <v>C007980-cans</v>
      </c>
      <c r="Q161" s="7" t="str">
        <f t="shared" si="47"/>
        <v>T022421
2</v>
      </c>
      <c r="R161" s="6" t="b">
        <f t="shared" si="48"/>
        <v>0</v>
      </c>
      <c r="S161" s="6" t="str">
        <f t="shared" si="49"/>
        <v>02</v>
      </c>
      <c r="T161" s="6" t="str">
        <f t="shared" si="50"/>
        <v>CANS</v>
      </c>
      <c r="U161" s="6" t="str">
        <f t="shared" si="51"/>
        <v>cans</v>
      </c>
      <c r="V161" s="6">
        <f t="shared" si="52"/>
        <v>2</v>
      </c>
      <c r="W161" s="6" t="str">
        <f t="shared" si="53"/>
        <v>T022421 2</v>
      </c>
      <c r="X161" s="6" t="str">
        <f t="shared" si="54"/>
        <v>S55677</v>
      </c>
      <c r="Y161" s="6" t="str">
        <f t="shared" si="55"/>
        <v>T02</v>
      </c>
      <c r="Z161" s="6" t="str">
        <f t="shared" si="56"/>
        <v>421</v>
      </c>
      <c r="AA161" s="6">
        <f t="shared" si="61"/>
        <v>2</v>
      </c>
      <c r="AB161" s="6">
        <f t="shared" si="57"/>
        <v>4</v>
      </c>
      <c r="AC161" s="6"/>
      <c r="AD161" s="23"/>
    </row>
    <row r="162" spans="1:30" ht="30" x14ac:dyDescent="0.25">
      <c r="A162" s="2" t="s">
        <v>71</v>
      </c>
      <c r="B162" s="2" t="s">
        <v>705</v>
      </c>
      <c r="C162" s="2" t="s">
        <v>706</v>
      </c>
      <c r="D162" s="2" t="s">
        <v>114</v>
      </c>
      <c r="E162" s="2" t="s">
        <v>707</v>
      </c>
      <c r="F162" s="2">
        <v>11</v>
      </c>
      <c r="G162" s="2" t="s">
        <v>13</v>
      </c>
      <c r="H162" s="2">
        <v>15</v>
      </c>
      <c r="I162" s="6">
        <f t="shared" si="58"/>
        <v>165</v>
      </c>
      <c r="J162" s="6">
        <f t="shared" si="62"/>
        <v>79.5</v>
      </c>
      <c r="K162" s="6">
        <f t="shared" si="63"/>
        <v>77</v>
      </c>
      <c r="L162" s="6">
        <f t="shared" si="59"/>
        <v>2578.5</v>
      </c>
      <c r="M162" s="6">
        <f t="shared" si="64"/>
        <v>131</v>
      </c>
      <c r="N162" s="6" t="b">
        <f t="shared" si="45"/>
        <v>0</v>
      </c>
      <c r="O162" s="6" t="b">
        <f t="shared" si="60"/>
        <v>1</v>
      </c>
      <c r="P162" s="6" t="str">
        <f t="shared" si="46"/>
        <v>C005512-ct</v>
      </c>
      <c r="Q162" s="7" t="str">
        <f t="shared" si="47"/>
        <v>T072405
11</v>
      </c>
      <c r="R162" s="6" t="b">
        <f t="shared" si="48"/>
        <v>0</v>
      </c>
      <c r="S162" s="6" t="str">
        <f t="shared" si="49"/>
        <v>12</v>
      </c>
      <c r="T162" s="6" t="str">
        <f t="shared" si="50"/>
        <v>CT</v>
      </c>
      <c r="U162" s="6" t="str">
        <f t="shared" si="51"/>
        <v>ct</v>
      </c>
      <c r="V162" s="6">
        <f t="shared" si="52"/>
        <v>2</v>
      </c>
      <c r="W162" s="6" t="str">
        <f t="shared" si="53"/>
        <v>T072405 11</v>
      </c>
      <c r="X162" s="6" t="str">
        <f t="shared" si="54"/>
        <v>S55127</v>
      </c>
      <c r="Y162" s="6" t="str">
        <f t="shared" si="55"/>
        <v>T07</v>
      </c>
      <c r="Z162" s="6" t="str">
        <f t="shared" si="56"/>
        <v>405</v>
      </c>
      <c r="AA162" s="6">
        <f t="shared" si="61"/>
        <v>2</v>
      </c>
      <c r="AB162" s="6">
        <f t="shared" si="57"/>
        <v>2</v>
      </c>
      <c r="AC162" s="6"/>
      <c r="AD162" s="23"/>
    </row>
    <row r="163" spans="1:30" ht="30" x14ac:dyDescent="0.25">
      <c r="A163" s="2" t="s">
        <v>25</v>
      </c>
      <c r="B163" s="2" t="s">
        <v>708</v>
      </c>
      <c r="C163" s="2" t="s">
        <v>709</v>
      </c>
      <c r="D163" s="2" t="s">
        <v>428</v>
      </c>
      <c r="E163" s="2" t="s">
        <v>710</v>
      </c>
      <c r="F163" s="2">
        <v>2</v>
      </c>
      <c r="G163" s="2" t="s">
        <v>13</v>
      </c>
      <c r="H163" s="2">
        <v>14</v>
      </c>
      <c r="I163" s="6">
        <f t="shared" si="58"/>
        <v>28</v>
      </c>
      <c r="J163" s="6">
        <f t="shared" si="62"/>
        <v>443.5</v>
      </c>
      <c r="K163" s="6">
        <f t="shared" si="63"/>
        <v>443</v>
      </c>
      <c r="L163" s="6">
        <f t="shared" si="59"/>
        <v>2563.5</v>
      </c>
      <c r="M163" s="6">
        <f t="shared" si="64"/>
        <v>130</v>
      </c>
      <c r="N163" s="6" t="b">
        <f t="shared" si="45"/>
        <v>0</v>
      </c>
      <c r="O163" s="6" t="b">
        <f t="shared" si="60"/>
        <v>1</v>
      </c>
      <c r="P163" s="6" t="str">
        <f t="shared" si="46"/>
        <v>C005690-ct</v>
      </c>
      <c r="Q163" s="7" t="str">
        <f t="shared" si="47"/>
        <v>T04866
2</v>
      </c>
      <c r="R163" s="6" t="b">
        <f t="shared" si="48"/>
        <v>0</v>
      </c>
      <c r="S163" s="6" t="str">
        <f t="shared" si="49"/>
        <v>26</v>
      </c>
      <c r="T163" s="6" t="str">
        <f t="shared" si="50"/>
        <v>CT</v>
      </c>
      <c r="U163" s="6" t="str">
        <f t="shared" si="51"/>
        <v>ct</v>
      </c>
      <c r="V163" s="6">
        <f t="shared" si="52"/>
        <v>2</v>
      </c>
      <c r="W163" s="6" t="str">
        <f t="shared" si="53"/>
        <v>T04866 2</v>
      </c>
      <c r="X163" s="6" t="str">
        <f t="shared" si="54"/>
        <v>S55461</v>
      </c>
      <c r="Y163" s="6" t="str">
        <f t="shared" si="55"/>
        <v>T04</v>
      </c>
      <c r="Z163" s="6" t="str">
        <f t="shared" si="56"/>
        <v>866</v>
      </c>
      <c r="AA163" s="6">
        <f t="shared" si="61"/>
        <v>2</v>
      </c>
      <c r="AB163" s="6">
        <f t="shared" si="57"/>
        <v>2</v>
      </c>
      <c r="AC163" s="6"/>
      <c r="AD163" s="23"/>
    </row>
    <row r="164" spans="1:30" ht="30" x14ac:dyDescent="0.25">
      <c r="A164" s="2" t="s">
        <v>76</v>
      </c>
      <c r="B164" s="2" t="s">
        <v>711</v>
      </c>
      <c r="C164" s="2" t="s">
        <v>712</v>
      </c>
      <c r="D164" s="2" t="s">
        <v>190</v>
      </c>
      <c r="E164" s="2" t="s">
        <v>713</v>
      </c>
      <c r="F164" s="2">
        <v>1</v>
      </c>
      <c r="G164" s="2" t="s">
        <v>13</v>
      </c>
      <c r="H164" s="2">
        <v>20</v>
      </c>
      <c r="I164" s="6">
        <f t="shared" si="58"/>
        <v>20</v>
      </c>
      <c r="J164" s="6">
        <f t="shared" si="62"/>
        <v>464</v>
      </c>
      <c r="K164" s="6">
        <f t="shared" si="63"/>
        <v>462</v>
      </c>
      <c r="L164" s="6">
        <f t="shared" si="59"/>
        <v>2549.5</v>
      </c>
      <c r="M164" s="6">
        <f t="shared" si="64"/>
        <v>129</v>
      </c>
      <c r="N164" s="6" t="b">
        <f t="shared" si="45"/>
        <v>0</v>
      </c>
      <c r="O164" s="6" t="b">
        <f t="shared" si="60"/>
        <v>1</v>
      </c>
      <c r="P164" s="6" t="str">
        <f t="shared" si="46"/>
        <v>C005423-ct</v>
      </c>
      <c r="Q164" s="7" t="str">
        <f t="shared" si="47"/>
        <v>T081628
1</v>
      </c>
      <c r="R164" s="6" t="b">
        <f t="shared" si="48"/>
        <v>0</v>
      </c>
      <c r="S164" s="6" t="str">
        <f t="shared" si="49"/>
        <v>24</v>
      </c>
      <c r="T164" s="6" t="str">
        <f t="shared" si="50"/>
        <v>CT</v>
      </c>
      <c r="U164" s="6" t="str">
        <f t="shared" si="51"/>
        <v>ct</v>
      </c>
      <c r="V164" s="6">
        <f t="shared" si="52"/>
        <v>2</v>
      </c>
      <c r="W164" s="6" t="str">
        <f t="shared" si="53"/>
        <v>T081628 1</v>
      </c>
      <c r="X164" s="6" t="str">
        <f t="shared" si="54"/>
        <v>S55255</v>
      </c>
      <c r="Y164" s="6" t="str">
        <f t="shared" si="55"/>
        <v>T08</v>
      </c>
      <c r="Z164" s="6" t="str">
        <f t="shared" si="56"/>
        <v>628</v>
      </c>
      <c r="AA164" s="6">
        <f t="shared" si="61"/>
        <v>2</v>
      </c>
      <c r="AB164" s="6">
        <f t="shared" si="57"/>
        <v>2</v>
      </c>
      <c r="AC164" s="6"/>
      <c r="AD164" s="23"/>
    </row>
    <row r="165" spans="1:30" ht="30" x14ac:dyDescent="0.25">
      <c r="A165" s="2" t="s">
        <v>218</v>
      </c>
      <c r="B165" s="2" t="s">
        <v>714</v>
      </c>
      <c r="C165" s="2" t="s">
        <v>715</v>
      </c>
      <c r="D165" s="2" t="s">
        <v>694</v>
      </c>
      <c r="E165" s="2" t="s">
        <v>716</v>
      </c>
      <c r="F165" s="2">
        <v>7</v>
      </c>
      <c r="G165" s="2" t="s">
        <v>13</v>
      </c>
      <c r="H165" s="2">
        <v>12</v>
      </c>
      <c r="I165" s="6">
        <f t="shared" si="58"/>
        <v>84</v>
      </c>
      <c r="J165" s="6">
        <f t="shared" si="62"/>
        <v>263.5</v>
      </c>
      <c r="K165" s="6">
        <f t="shared" si="63"/>
        <v>260</v>
      </c>
      <c r="L165" s="6">
        <f t="shared" si="59"/>
        <v>2529.5</v>
      </c>
      <c r="M165" s="6">
        <f t="shared" si="64"/>
        <v>128</v>
      </c>
      <c r="N165" s="6" t="b">
        <f t="shared" si="45"/>
        <v>0</v>
      </c>
      <c r="O165" s="6" t="b">
        <f t="shared" si="60"/>
        <v>1</v>
      </c>
      <c r="P165" s="6" t="str">
        <f t="shared" si="46"/>
        <v>C007461-ct</v>
      </c>
      <c r="Q165" s="7" t="str">
        <f t="shared" si="47"/>
        <v>T016602
7</v>
      </c>
      <c r="R165" s="6" t="b">
        <f t="shared" si="48"/>
        <v>0</v>
      </c>
      <c r="S165" s="6" t="str">
        <f t="shared" si="49"/>
        <v>23</v>
      </c>
      <c r="T165" s="6" t="str">
        <f t="shared" si="50"/>
        <v>CT</v>
      </c>
      <c r="U165" s="6" t="str">
        <f t="shared" si="51"/>
        <v>ct</v>
      </c>
      <c r="V165" s="6">
        <f t="shared" si="52"/>
        <v>2</v>
      </c>
      <c r="W165" s="6" t="str">
        <f t="shared" si="53"/>
        <v>T016602 7</v>
      </c>
      <c r="X165" s="6" t="str">
        <f t="shared" si="54"/>
        <v>S55178</v>
      </c>
      <c r="Y165" s="6" t="str">
        <f t="shared" si="55"/>
        <v>T01</v>
      </c>
      <c r="Z165" s="6" t="str">
        <f t="shared" si="56"/>
        <v>602</v>
      </c>
      <c r="AA165" s="6">
        <f t="shared" si="61"/>
        <v>2</v>
      </c>
      <c r="AB165" s="6">
        <f t="shared" si="57"/>
        <v>2</v>
      </c>
      <c r="AC165" s="6"/>
      <c r="AD165" s="23"/>
    </row>
    <row r="166" spans="1:30" ht="30" x14ac:dyDescent="0.25">
      <c r="A166" s="2" t="s">
        <v>218</v>
      </c>
      <c r="B166" s="2" t="s">
        <v>717</v>
      </c>
      <c r="C166" s="2" t="s">
        <v>718</v>
      </c>
      <c r="D166" s="2" t="s">
        <v>719</v>
      </c>
      <c r="E166" s="2" t="s">
        <v>720</v>
      </c>
      <c r="F166" s="2">
        <v>2</v>
      </c>
      <c r="G166" s="2" t="s">
        <v>178</v>
      </c>
      <c r="H166" s="2">
        <v>15</v>
      </c>
      <c r="I166" s="6">
        <f t="shared" si="58"/>
        <v>30</v>
      </c>
      <c r="J166" s="6">
        <f t="shared" si="62"/>
        <v>440.5</v>
      </c>
      <c r="K166" s="6">
        <f t="shared" si="63"/>
        <v>439</v>
      </c>
      <c r="L166" s="6">
        <f t="shared" si="59"/>
        <v>77</v>
      </c>
      <c r="M166" s="6">
        <f t="shared" si="64"/>
        <v>5</v>
      </c>
      <c r="N166" s="6" t="b">
        <f t="shared" si="45"/>
        <v>0</v>
      </c>
      <c r="O166" s="6" t="b">
        <f t="shared" si="60"/>
        <v>1</v>
      </c>
      <c r="P166" s="6" t="str">
        <f t="shared" si="46"/>
        <v>C005548-tubs</v>
      </c>
      <c r="Q166" s="7" t="str">
        <f t="shared" si="47"/>
        <v>T057813
2</v>
      </c>
      <c r="R166" s="6" t="b">
        <f t="shared" si="48"/>
        <v>0</v>
      </c>
      <c r="S166" s="6" t="str">
        <f t="shared" si="49"/>
        <v>10</v>
      </c>
      <c r="T166" s="6" t="str">
        <f t="shared" si="50"/>
        <v>TUBS</v>
      </c>
      <c r="U166" s="6" t="str">
        <f t="shared" si="51"/>
        <v>tubs</v>
      </c>
      <c r="V166" s="6">
        <f t="shared" si="52"/>
        <v>2</v>
      </c>
      <c r="W166" s="6" t="str">
        <f t="shared" si="53"/>
        <v>T057813 2</v>
      </c>
      <c r="X166" s="6" t="str">
        <f t="shared" si="54"/>
        <v>S55357</v>
      </c>
      <c r="Y166" s="6" t="str">
        <f t="shared" si="55"/>
        <v>T05</v>
      </c>
      <c r="Z166" s="6" t="str">
        <f t="shared" si="56"/>
        <v>813</v>
      </c>
      <c r="AA166" s="6">
        <f t="shared" si="61"/>
        <v>2</v>
      </c>
      <c r="AB166" s="6">
        <f t="shared" si="57"/>
        <v>4</v>
      </c>
      <c r="AC166" s="6"/>
      <c r="AD166" s="23"/>
    </row>
    <row r="167" spans="1:30" ht="30" x14ac:dyDescent="0.25">
      <c r="A167" s="2" t="s">
        <v>137</v>
      </c>
      <c r="B167" s="2" t="s">
        <v>721</v>
      </c>
      <c r="C167" s="2" t="s">
        <v>722</v>
      </c>
      <c r="D167" s="2" t="s">
        <v>330</v>
      </c>
      <c r="E167" s="2" t="s">
        <v>723</v>
      </c>
      <c r="F167" s="2">
        <v>2</v>
      </c>
      <c r="G167" s="2" t="s">
        <v>13</v>
      </c>
      <c r="H167" s="2">
        <v>17</v>
      </c>
      <c r="I167" s="6">
        <f t="shared" si="58"/>
        <v>34</v>
      </c>
      <c r="J167" s="6">
        <f t="shared" si="62"/>
        <v>422.5</v>
      </c>
      <c r="K167" s="6">
        <f t="shared" si="63"/>
        <v>422</v>
      </c>
      <c r="L167" s="6">
        <f t="shared" si="59"/>
        <v>2517.5</v>
      </c>
      <c r="M167" s="6">
        <f t="shared" si="64"/>
        <v>127</v>
      </c>
      <c r="N167" s="6" t="b">
        <f t="shared" si="45"/>
        <v>0</v>
      </c>
      <c r="O167" s="6" t="b">
        <f t="shared" si="60"/>
        <v>1</v>
      </c>
      <c r="P167" s="6" t="str">
        <f t="shared" si="46"/>
        <v>C009187-ct</v>
      </c>
      <c r="Q167" s="7" t="str">
        <f t="shared" si="47"/>
        <v>T080308
2</v>
      </c>
      <c r="R167" s="6" t="b">
        <f t="shared" si="48"/>
        <v>0</v>
      </c>
      <c r="S167" s="6" t="str">
        <f t="shared" si="49"/>
        <v>12</v>
      </c>
      <c r="T167" s="6" t="str">
        <f t="shared" si="50"/>
        <v>CT</v>
      </c>
      <c r="U167" s="6" t="str">
        <f t="shared" si="51"/>
        <v>ct</v>
      </c>
      <c r="V167" s="6">
        <f t="shared" si="52"/>
        <v>2</v>
      </c>
      <c r="W167" s="6" t="str">
        <f t="shared" si="53"/>
        <v>T080308 2</v>
      </c>
      <c r="X167" s="6" t="str">
        <f t="shared" si="54"/>
        <v>S55394</v>
      </c>
      <c r="Y167" s="6" t="str">
        <f t="shared" si="55"/>
        <v>T08</v>
      </c>
      <c r="Z167" s="6" t="str">
        <f t="shared" si="56"/>
        <v>308</v>
      </c>
      <c r="AA167" s="6">
        <f t="shared" si="61"/>
        <v>2</v>
      </c>
      <c r="AB167" s="6">
        <f t="shared" si="57"/>
        <v>2</v>
      </c>
      <c r="AC167" s="6"/>
      <c r="AD167" s="23"/>
    </row>
    <row r="168" spans="1:30" ht="30" x14ac:dyDescent="0.25">
      <c r="A168" s="2" t="s">
        <v>209</v>
      </c>
      <c r="B168" s="2" t="s">
        <v>724</v>
      </c>
      <c r="C168" s="2" t="s">
        <v>725</v>
      </c>
      <c r="D168" s="2" t="s">
        <v>99</v>
      </c>
      <c r="E168" s="2" t="s">
        <v>531</v>
      </c>
      <c r="F168" s="2">
        <v>1</v>
      </c>
      <c r="G168" s="2" t="s">
        <v>13</v>
      </c>
      <c r="H168" s="2">
        <v>15</v>
      </c>
      <c r="I168" s="6">
        <f t="shared" si="58"/>
        <v>15</v>
      </c>
      <c r="J168" s="6">
        <f t="shared" si="62"/>
        <v>476.5</v>
      </c>
      <c r="K168" s="6">
        <f t="shared" si="63"/>
        <v>473</v>
      </c>
      <c r="L168" s="6">
        <f t="shared" si="59"/>
        <v>2500.5</v>
      </c>
      <c r="M168" s="6">
        <f t="shared" si="64"/>
        <v>126</v>
      </c>
      <c r="N168" s="6" t="b">
        <f t="shared" si="45"/>
        <v>0</v>
      </c>
      <c r="O168" s="6" t="b">
        <f t="shared" si="60"/>
        <v>1</v>
      </c>
      <c r="P168" s="6" t="str">
        <f t="shared" si="46"/>
        <v>C007335-ct</v>
      </c>
      <c r="Q168" s="7" t="str">
        <f t="shared" si="47"/>
        <v>T051185
1</v>
      </c>
      <c r="R168" s="6" t="b">
        <f t="shared" si="48"/>
        <v>0</v>
      </c>
      <c r="S168" s="6" t="str">
        <f t="shared" si="49"/>
        <v>08</v>
      </c>
      <c r="T168" s="6" t="str">
        <f t="shared" si="50"/>
        <v>CT</v>
      </c>
      <c r="U168" s="6" t="str">
        <f t="shared" si="51"/>
        <v>ct</v>
      </c>
      <c r="V168" s="6">
        <f t="shared" si="52"/>
        <v>2</v>
      </c>
      <c r="W168" s="6" t="str">
        <f t="shared" si="53"/>
        <v>T051185 1</v>
      </c>
      <c r="X168" s="6" t="str">
        <f t="shared" si="54"/>
        <v>S55566</v>
      </c>
      <c r="Y168" s="6" t="str">
        <f t="shared" si="55"/>
        <v>T05</v>
      </c>
      <c r="Z168" s="6" t="str">
        <f t="shared" si="56"/>
        <v>185</v>
      </c>
      <c r="AA168" s="6">
        <f t="shared" si="61"/>
        <v>2</v>
      </c>
      <c r="AB168" s="6">
        <f t="shared" si="57"/>
        <v>2</v>
      </c>
      <c r="AC168" s="6"/>
      <c r="AD168" s="23"/>
    </row>
    <row r="169" spans="1:30" ht="30" x14ac:dyDescent="0.25">
      <c r="A169" s="2" t="s">
        <v>274</v>
      </c>
      <c r="B169" s="2" t="s">
        <v>726</v>
      </c>
      <c r="C169" s="2" t="s">
        <v>727</v>
      </c>
      <c r="D169" s="2" t="s">
        <v>453</v>
      </c>
      <c r="E169" s="2" t="s">
        <v>238</v>
      </c>
      <c r="F169" s="2">
        <v>4</v>
      </c>
      <c r="G169" s="2" t="s">
        <v>35</v>
      </c>
      <c r="H169" s="2">
        <v>40</v>
      </c>
      <c r="I169" s="6">
        <f t="shared" si="58"/>
        <v>160</v>
      </c>
      <c r="J169" s="6">
        <f t="shared" si="62"/>
        <v>90.5</v>
      </c>
      <c r="K169" s="6">
        <f t="shared" si="63"/>
        <v>84</v>
      </c>
      <c r="L169" s="6">
        <f t="shared" si="59"/>
        <v>1417.75</v>
      </c>
      <c r="M169" s="6">
        <f t="shared" si="64"/>
        <v>81</v>
      </c>
      <c r="N169" s="6" t="b">
        <f t="shared" si="45"/>
        <v>1</v>
      </c>
      <c r="O169" s="6" t="b">
        <f t="shared" si="60"/>
        <v>1</v>
      </c>
      <c r="P169" s="6" t="str">
        <f t="shared" si="46"/>
        <v>C002760-cans</v>
      </c>
      <c r="Q169" s="7" t="str">
        <f t="shared" si="47"/>
        <v>T084238
4</v>
      </c>
      <c r="R169" s="6" t="b">
        <f t="shared" si="48"/>
        <v>0</v>
      </c>
      <c r="S169" s="6" t="str">
        <f t="shared" si="49"/>
        <v>06</v>
      </c>
      <c r="T169" s="6" t="str">
        <f t="shared" si="50"/>
        <v>CANS</v>
      </c>
      <c r="U169" s="6" t="str">
        <f t="shared" si="51"/>
        <v>cans</v>
      </c>
      <c r="V169" s="6">
        <f t="shared" si="52"/>
        <v>2</v>
      </c>
      <c r="W169" s="6" t="str">
        <f t="shared" si="53"/>
        <v>T084238 4</v>
      </c>
      <c r="X169" s="6" t="str">
        <f t="shared" si="54"/>
        <v>S55582</v>
      </c>
      <c r="Y169" s="6" t="str">
        <f t="shared" si="55"/>
        <v>T08</v>
      </c>
      <c r="Z169" s="6" t="str">
        <f t="shared" si="56"/>
        <v>238</v>
      </c>
      <c r="AA169" s="6">
        <f t="shared" si="61"/>
        <v>2</v>
      </c>
      <c r="AB169" s="6">
        <f t="shared" si="57"/>
        <v>4</v>
      </c>
      <c r="AC169" s="6"/>
      <c r="AD169" s="23"/>
    </row>
    <row r="170" spans="1:30" ht="30" x14ac:dyDescent="0.25">
      <c r="A170" s="2" t="s">
        <v>101</v>
      </c>
      <c r="B170" s="2" t="s">
        <v>728</v>
      </c>
      <c r="C170" s="2" t="s">
        <v>729</v>
      </c>
      <c r="D170" s="2" t="s">
        <v>165</v>
      </c>
      <c r="E170" s="2" t="s">
        <v>730</v>
      </c>
      <c r="F170" s="2">
        <v>4</v>
      </c>
      <c r="G170" s="2" t="s">
        <v>167</v>
      </c>
      <c r="H170" s="2">
        <v>15</v>
      </c>
      <c r="I170" s="6">
        <f t="shared" si="58"/>
        <v>60</v>
      </c>
      <c r="J170" s="6">
        <f t="shared" si="62"/>
        <v>344.5</v>
      </c>
      <c r="K170" s="6">
        <f t="shared" si="63"/>
        <v>337</v>
      </c>
      <c r="L170" s="6">
        <f t="shared" si="59"/>
        <v>352</v>
      </c>
      <c r="M170" s="6">
        <f t="shared" si="64"/>
        <v>22</v>
      </c>
      <c r="N170" s="6" t="b">
        <f t="shared" si="45"/>
        <v>0</v>
      </c>
      <c r="O170" s="6" t="b">
        <f t="shared" si="60"/>
        <v>1</v>
      </c>
      <c r="P170" s="6" t="str">
        <f t="shared" si="46"/>
        <v>C006111-oz</v>
      </c>
      <c r="Q170" s="7" t="str">
        <f t="shared" si="47"/>
        <v>T05728
4</v>
      </c>
      <c r="R170" s="6" t="b">
        <f t="shared" si="48"/>
        <v>0</v>
      </c>
      <c r="S170" s="6" t="str">
        <f t="shared" si="49"/>
        <v>10</v>
      </c>
      <c r="T170" s="6" t="str">
        <f t="shared" si="50"/>
        <v>OZ</v>
      </c>
      <c r="U170" s="6" t="str">
        <f t="shared" si="51"/>
        <v>oz</v>
      </c>
      <c r="V170" s="6">
        <f t="shared" si="52"/>
        <v>2</v>
      </c>
      <c r="W170" s="6" t="str">
        <f t="shared" si="53"/>
        <v>T05728 4</v>
      </c>
      <c r="X170" s="6" t="str">
        <f t="shared" si="54"/>
        <v>S55377</v>
      </c>
      <c r="Y170" s="6" t="str">
        <f t="shared" si="55"/>
        <v>T05</v>
      </c>
      <c r="Z170" s="6" t="str">
        <f t="shared" si="56"/>
        <v>728</v>
      </c>
      <c r="AA170" s="6">
        <f t="shared" si="61"/>
        <v>2</v>
      </c>
      <c r="AB170" s="6">
        <f t="shared" si="57"/>
        <v>2</v>
      </c>
      <c r="AC170" s="6"/>
      <c r="AD170" s="23"/>
    </row>
    <row r="171" spans="1:30" ht="30" x14ac:dyDescent="0.25">
      <c r="A171" s="2" t="s">
        <v>173</v>
      </c>
      <c r="B171" s="2" t="s">
        <v>731</v>
      </c>
      <c r="C171" s="2" t="s">
        <v>732</v>
      </c>
      <c r="D171" s="2" t="s">
        <v>465</v>
      </c>
      <c r="E171" s="2" t="s">
        <v>733</v>
      </c>
      <c r="F171" s="2">
        <v>6</v>
      </c>
      <c r="G171" s="2" t="s">
        <v>167</v>
      </c>
      <c r="H171" s="2">
        <v>20</v>
      </c>
      <c r="I171" s="6">
        <f t="shared" si="58"/>
        <v>120</v>
      </c>
      <c r="J171" s="6">
        <f t="shared" si="62"/>
        <v>169.5</v>
      </c>
      <c r="K171" s="6">
        <f t="shared" si="63"/>
        <v>162</v>
      </c>
      <c r="L171" s="6">
        <f t="shared" si="59"/>
        <v>337</v>
      </c>
      <c r="M171" s="6">
        <f t="shared" si="64"/>
        <v>21</v>
      </c>
      <c r="N171" s="6" t="b">
        <f t="shared" si="45"/>
        <v>0</v>
      </c>
      <c r="O171" s="6" t="b">
        <f t="shared" si="60"/>
        <v>1</v>
      </c>
      <c r="P171" s="6" t="str">
        <f t="shared" si="46"/>
        <v>C000827-oz</v>
      </c>
      <c r="Q171" s="7" t="str">
        <f t="shared" si="47"/>
        <v>T075378
6</v>
      </c>
      <c r="R171" s="6" t="b">
        <f t="shared" si="48"/>
        <v>0</v>
      </c>
      <c r="S171" s="6" t="str">
        <f t="shared" si="49"/>
        <v>10</v>
      </c>
      <c r="T171" s="6" t="str">
        <f t="shared" si="50"/>
        <v>OZ</v>
      </c>
      <c r="U171" s="6" t="str">
        <f t="shared" si="51"/>
        <v>oz</v>
      </c>
      <c r="V171" s="6">
        <f t="shared" si="52"/>
        <v>2</v>
      </c>
      <c r="W171" s="6" t="str">
        <f t="shared" si="53"/>
        <v>T075378 6</v>
      </c>
      <c r="X171" s="6" t="str">
        <f t="shared" si="54"/>
        <v>S55648</v>
      </c>
      <c r="Y171" s="6" t="str">
        <f t="shared" si="55"/>
        <v>T07</v>
      </c>
      <c r="Z171" s="6" t="str">
        <f t="shared" si="56"/>
        <v>378</v>
      </c>
      <c r="AA171" s="6">
        <f t="shared" si="61"/>
        <v>2</v>
      </c>
      <c r="AB171" s="6">
        <f t="shared" si="57"/>
        <v>2</v>
      </c>
      <c r="AC171" s="6"/>
      <c r="AD171" s="23"/>
    </row>
    <row r="172" spans="1:30" ht="30" x14ac:dyDescent="0.25">
      <c r="A172" s="2" t="s">
        <v>71</v>
      </c>
      <c r="B172" s="2" t="s">
        <v>734</v>
      </c>
      <c r="C172" s="2" t="s">
        <v>735</v>
      </c>
      <c r="D172" s="2" t="s">
        <v>567</v>
      </c>
      <c r="E172" s="2" t="s">
        <v>345</v>
      </c>
      <c r="F172" s="2">
        <v>3</v>
      </c>
      <c r="G172" s="2" t="s">
        <v>60</v>
      </c>
      <c r="H172" s="2">
        <v>20</v>
      </c>
      <c r="I172" s="6">
        <f t="shared" si="58"/>
        <v>60</v>
      </c>
      <c r="J172" s="6">
        <f t="shared" si="62"/>
        <v>344.5</v>
      </c>
      <c r="K172" s="6">
        <f t="shared" si="63"/>
        <v>337</v>
      </c>
      <c r="L172" s="6">
        <f t="shared" si="59"/>
        <v>678</v>
      </c>
      <c r="M172" s="6">
        <f t="shared" si="64"/>
        <v>40</v>
      </c>
      <c r="N172" s="6" t="b">
        <f t="shared" si="45"/>
        <v>0</v>
      </c>
      <c r="O172" s="6" t="b">
        <f t="shared" si="60"/>
        <v>1</v>
      </c>
      <c r="P172" s="6" t="str">
        <f t="shared" si="46"/>
        <v>C000247-bottles</v>
      </c>
      <c r="Q172" s="7" t="str">
        <f t="shared" si="47"/>
        <v>T019329
3</v>
      </c>
      <c r="R172" s="6" t="b">
        <f t="shared" si="48"/>
        <v>0</v>
      </c>
      <c r="S172" s="6" t="str">
        <f t="shared" si="49"/>
        <v>09</v>
      </c>
      <c r="T172" s="6" t="str">
        <f t="shared" si="50"/>
        <v>BOTTLES</v>
      </c>
      <c r="U172" s="6" t="str">
        <f t="shared" si="51"/>
        <v>bottles</v>
      </c>
      <c r="V172" s="6">
        <f t="shared" si="52"/>
        <v>2</v>
      </c>
      <c r="W172" s="6" t="str">
        <f t="shared" si="53"/>
        <v>T019329 3</v>
      </c>
      <c r="X172" s="6" t="str">
        <f t="shared" si="54"/>
        <v>S55389</v>
      </c>
      <c r="Y172" s="6" t="str">
        <f t="shared" si="55"/>
        <v>T01</v>
      </c>
      <c r="Z172" s="6" t="str">
        <f t="shared" si="56"/>
        <v>329</v>
      </c>
      <c r="AA172" s="6">
        <f t="shared" si="61"/>
        <v>2</v>
      </c>
      <c r="AB172" s="6">
        <f t="shared" si="57"/>
        <v>7</v>
      </c>
      <c r="AC172" s="6"/>
      <c r="AD172" s="23"/>
    </row>
    <row r="173" spans="1:30" ht="30" x14ac:dyDescent="0.25">
      <c r="A173" s="2" t="s">
        <v>91</v>
      </c>
      <c r="B173" s="2" t="s">
        <v>736</v>
      </c>
      <c r="C173" s="2" t="s">
        <v>737</v>
      </c>
      <c r="D173" s="2" t="s">
        <v>620</v>
      </c>
      <c r="E173" s="2" t="s">
        <v>738</v>
      </c>
      <c r="F173" s="2">
        <v>7</v>
      </c>
      <c r="G173" s="2" t="s">
        <v>13</v>
      </c>
      <c r="H173" s="2">
        <v>12</v>
      </c>
      <c r="I173" s="6">
        <f t="shared" si="58"/>
        <v>84</v>
      </c>
      <c r="J173" s="6">
        <f t="shared" si="62"/>
        <v>263.5</v>
      </c>
      <c r="K173" s="6">
        <f t="shared" si="63"/>
        <v>260</v>
      </c>
      <c r="L173" s="6">
        <f t="shared" si="59"/>
        <v>2485.5</v>
      </c>
      <c r="M173" s="6">
        <f t="shared" si="64"/>
        <v>125</v>
      </c>
      <c r="N173" s="6" t="b">
        <f t="shared" si="45"/>
        <v>0</v>
      </c>
      <c r="O173" s="6" t="b">
        <f t="shared" si="60"/>
        <v>1</v>
      </c>
      <c r="P173" s="6" t="str">
        <f t="shared" si="46"/>
        <v>C005046-ct</v>
      </c>
      <c r="Q173" s="7" t="str">
        <f t="shared" si="47"/>
        <v>T033517
7</v>
      </c>
      <c r="R173" s="6" t="b">
        <f t="shared" si="48"/>
        <v>0</v>
      </c>
      <c r="S173" s="6" t="str">
        <f t="shared" si="49"/>
        <v>19</v>
      </c>
      <c r="T173" s="6" t="str">
        <f t="shared" si="50"/>
        <v>CT</v>
      </c>
      <c r="U173" s="6" t="str">
        <f t="shared" si="51"/>
        <v>ct</v>
      </c>
      <c r="V173" s="6">
        <f t="shared" si="52"/>
        <v>2</v>
      </c>
      <c r="W173" s="6" t="str">
        <f t="shared" si="53"/>
        <v>T033517 7</v>
      </c>
      <c r="X173" s="6" t="str">
        <f t="shared" si="54"/>
        <v>S55662</v>
      </c>
      <c r="Y173" s="6" t="str">
        <f t="shared" si="55"/>
        <v>T03</v>
      </c>
      <c r="Z173" s="6" t="str">
        <f t="shared" si="56"/>
        <v>517</v>
      </c>
      <c r="AA173" s="6">
        <f t="shared" si="61"/>
        <v>2</v>
      </c>
      <c r="AB173" s="6">
        <f t="shared" si="57"/>
        <v>2</v>
      </c>
      <c r="AC173" s="6"/>
      <c r="AD173" s="23"/>
    </row>
    <row r="174" spans="1:30" ht="30" x14ac:dyDescent="0.25">
      <c r="A174" s="2" t="s">
        <v>116</v>
      </c>
      <c r="B174" s="2" t="s">
        <v>739</v>
      </c>
      <c r="C174" s="2" t="s">
        <v>740</v>
      </c>
      <c r="D174" s="2" t="s">
        <v>741</v>
      </c>
      <c r="E174" s="2" t="s">
        <v>742</v>
      </c>
      <c r="F174" s="2">
        <v>4</v>
      </c>
      <c r="G174" s="2" t="s">
        <v>13</v>
      </c>
      <c r="H174" s="2">
        <v>16</v>
      </c>
      <c r="I174" s="6">
        <f t="shared" si="58"/>
        <v>64</v>
      </c>
      <c r="J174" s="6">
        <f t="shared" si="62"/>
        <v>328</v>
      </c>
      <c r="K174" s="6">
        <f t="shared" si="63"/>
        <v>324</v>
      </c>
      <c r="L174" s="6">
        <f t="shared" si="59"/>
        <v>2473.5</v>
      </c>
      <c r="M174" s="6">
        <f t="shared" si="64"/>
        <v>124</v>
      </c>
      <c r="N174" s="6" t="b">
        <f t="shared" si="45"/>
        <v>0</v>
      </c>
      <c r="O174" s="6" t="b">
        <f t="shared" si="60"/>
        <v>1</v>
      </c>
      <c r="P174" s="6" t="str">
        <f t="shared" si="46"/>
        <v>C005367-ct</v>
      </c>
      <c r="Q174" s="7" t="str">
        <f t="shared" si="47"/>
        <v>T013761
4</v>
      </c>
      <c r="R174" s="6" t="b">
        <f t="shared" si="48"/>
        <v>0</v>
      </c>
      <c r="S174" s="6" t="str">
        <f t="shared" si="49"/>
        <v>17</v>
      </c>
      <c r="T174" s="6" t="str">
        <f t="shared" si="50"/>
        <v>CT</v>
      </c>
      <c r="U174" s="6" t="str">
        <f t="shared" si="51"/>
        <v>ct</v>
      </c>
      <c r="V174" s="6">
        <f t="shared" si="52"/>
        <v>2</v>
      </c>
      <c r="W174" s="6" t="str">
        <f t="shared" si="53"/>
        <v>T013761 4</v>
      </c>
      <c r="X174" s="6" t="str">
        <f t="shared" si="54"/>
        <v>S55243</v>
      </c>
      <c r="Y174" s="6" t="str">
        <f t="shared" si="55"/>
        <v>T01</v>
      </c>
      <c r="Z174" s="6" t="str">
        <f t="shared" si="56"/>
        <v>761</v>
      </c>
      <c r="AA174" s="6">
        <f t="shared" si="61"/>
        <v>2</v>
      </c>
      <c r="AB174" s="6">
        <f t="shared" si="57"/>
        <v>2</v>
      </c>
      <c r="AC174" s="6"/>
      <c r="AD174" s="23"/>
    </row>
    <row r="175" spans="1:30" ht="30" x14ac:dyDescent="0.25">
      <c r="A175" s="2" t="s">
        <v>743</v>
      </c>
      <c r="B175" s="2" t="s">
        <v>744</v>
      </c>
      <c r="C175" s="2" t="s">
        <v>745</v>
      </c>
      <c r="D175" s="2" t="s">
        <v>746</v>
      </c>
      <c r="E175" s="2" t="s">
        <v>747</v>
      </c>
      <c r="F175" s="2">
        <v>8</v>
      </c>
      <c r="G175" s="2" t="s">
        <v>35</v>
      </c>
      <c r="H175" s="2">
        <v>16</v>
      </c>
      <c r="I175" s="6">
        <f t="shared" si="58"/>
        <v>128</v>
      </c>
      <c r="J175" s="6">
        <f t="shared" si="62"/>
        <v>150</v>
      </c>
      <c r="K175" s="6">
        <f t="shared" si="63"/>
        <v>148</v>
      </c>
      <c r="L175" s="6">
        <f t="shared" si="59"/>
        <v>1377.75</v>
      </c>
      <c r="M175" s="6">
        <f t="shared" si="64"/>
        <v>80</v>
      </c>
      <c r="N175" s="6" t="b">
        <f t="shared" si="45"/>
        <v>0</v>
      </c>
      <c r="O175" s="6" t="b">
        <f t="shared" si="60"/>
        <v>1</v>
      </c>
      <c r="P175" s="6" t="str">
        <f t="shared" si="46"/>
        <v>C007465-cans</v>
      </c>
      <c r="Q175" s="7" t="str">
        <f t="shared" si="47"/>
        <v>T054055
8</v>
      </c>
      <c r="R175" s="6" t="b">
        <f t="shared" si="48"/>
        <v>0</v>
      </c>
      <c r="S175" s="6" t="str">
        <f t="shared" si="49"/>
        <v>03</v>
      </c>
      <c r="T175" s="6" t="str">
        <f t="shared" si="50"/>
        <v>CANS</v>
      </c>
      <c r="U175" s="6" t="str">
        <f t="shared" si="51"/>
        <v>cans</v>
      </c>
      <c r="V175" s="6">
        <f t="shared" si="52"/>
        <v>2</v>
      </c>
      <c r="W175" s="6" t="str">
        <f t="shared" si="53"/>
        <v>T054055 8</v>
      </c>
      <c r="X175" s="6" t="str">
        <f t="shared" si="54"/>
        <v>S55474</v>
      </c>
      <c r="Y175" s="6" t="str">
        <f t="shared" si="55"/>
        <v>T05</v>
      </c>
      <c r="Z175" s="6" t="str">
        <f t="shared" si="56"/>
        <v>055</v>
      </c>
      <c r="AA175" s="6">
        <f t="shared" si="61"/>
        <v>2</v>
      </c>
      <c r="AB175" s="6">
        <f t="shared" si="57"/>
        <v>4</v>
      </c>
      <c r="AC175" s="6"/>
      <c r="AD175" s="23"/>
    </row>
    <row r="176" spans="1:30" ht="30" x14ac:dyDescent="0.25">
      <c r="A176" s="2" t="s">
        <v>162</v>
      </c>
      <c r="B176" s="2" t="s">
        <v>748</v>
      </c>
      <c r="C176" s="2" t="s">
        <v>749</v>
      </c>
      <c r="D176" s="2" t="s">
        <v>588</v>
      </c>
      <c r="E176" s="2" t="s">
        <v>750</v>
      </c>
      <c r="F176" s="2">
        <v>9</v>
      </c>
      <c r="G176" s="2" t="s">
        <v>106</v>
      </c>
      <c r="H176" s="2">
        <v>16</v>
      </c>
      <c r="I176" s="6">
        <f t="shared" si="58"/>
        <v>144</v>
      </c>
      <c r="J176" s="6">
        <f t="shared" si="62"/>
        <v>118</v>
      </c>
      <c r="K176" s="6">
        <f t="shared" si="63"/>
        <v>115</v>
      </c>
      <c r="L176" s="6">
        <f t="shared" si="59"/>
        <v>365</v>
      </c>
      <c r="M176" s="6">
        <f t="shared" si="64"/>
        <v>22</v>
      </c>
      <c r="N176" s="6" t="b">
        <f t="shared" si="45"/>
        <v>0</v>
      </c>
      <c r="O176" s="6" t="b">
        <f t="shared" si="60"/>
        <v>1</v>
      </c>
      <c r="P176" s="6" t="str">
        <f t="shared" si="46"/>
        <v>C004321-bags</v>
      </c>
      <c r="Q176" s="7" t="str">
        <f t="shared" si="47"/>
        <v>T038449
9</v>
      </c>
      <c r="R176" s="6" t="b">
        <f t="shared" si="48"/>
        <v>0</v>
      </c>
      <c r="S176" s="6" t="str">
        <f t="shared" si="49"/>
        <v>15</v>
      </c>
      <c r="T176" s="6" t="str">
        <f t="shared" si="50"/>
        <v>BAGS</v>
      </c>
      <c r="U176" s="6" t="str">
        <f t="shared" si="51"/>
        <v>bags</v>
      </c>
      <c r="V176" s="6">
        <f t="shared" si="52"/>
        <v>2</v>
      </c>
      <c r="W176" s="6" t="str">
        <f t="shared" si="53"/>
        <v>T038449 9</v>
      </c>
      <c r="X176" s="6" t="str">
        <f t="shared" si="54"/>
        <v>S55288</v>
      </c>
      <c r="Y176" s="6" t="str">
        <f t="shared" si="55"/>
        <v>T03</v>
      </c>
      <c r="Z176" s="6" t="str">
        <f t="shared" si="56"/>
        <v>449</v>
      </c>
      <c r="AA176" s="6">
        <f t="shared" si="61"/>
        <v>2</v>
      </c>
      <c r="AB176" s="6">
        <f t="shared" si="57"/>
        <v>4</v>
      </c>
      <c r="AC176" s="6"/>
      <c r="AD176" s="23"/>
    </row>
    <row r="177" spans="1:30" ht="30" x14ac:dyDescent="0.25">
      <c r="A177" s="2" t="s">
        <v>8</v>
      </c>
      <c r="B177" s="2" t="s">
        <v>751</v>
      </c>
      <c r="C177" s="2" t="s">
        <v>752</v>
      </c>
      <c r="D177" s="2" t="s">
        <v>753</v>
      </c>
      <c r="E177" s="2" t="s">
        <v>754</v>
      </c>
      <c r="F177" s="2">
        <v>8</v>
      </c>
      <c r="G177" s="2" t="s">
        <v>35</v>
      </c>
      <c r="H177" s="2">
        <v>11.5</v>
      </c>
      <c r="I177" s="6">
        <f t="shared" si="58"/>
        <v>92</v>
      </c>
      <c r="J177" s="6">
        <f t="shared" si="62"/>
        <v>237</v>
      </c>
      <c r="K177" s="6">
        <f t="shared" si="63"/>
        <v>237</v>
      </c>
      <c r="L177" s="6">
        <f t="shared" si="59"/>
        <v>1361.75</v>
      </c>
      <c r="M177" s="6">
        <f t="shared" si="64"/>
        <v>79</v>
      </c>
      <c r="N177" s="6" t="b">
        <f t="shared" si="45"/>
        <v>0</v>
      </c>
      <c r="O177" s="6" t="b">
        <f t="shared" si="60"/>
        <v>1</v>
      </c>
      <c r="P177" s="6" t="str">
        <f t="shared" si="46"/>
        <v>C008394-cans</v>
      </c>
      <c r="Q177" s="7" t="str">
        <f t="shared" si="47"/>
        <v>T013267
8</v>
      </c>
      <c r="R177" s="6" t="b">
        <f t="shared" si="48"/>
        <v>0</v>
      </c>
      <c r="S177" s="6" t="str">
        <f t="shared" si="49"/>
        <v>02</v>
      </c>
      <c r="T177" s="6" t="str">
        <f t="shared" si="50"/>
        <v>CANS</v>
      </c>
      <c r="U177" s="6" t="str">
        <f t="shared" si="51"/>
        <v>cans</v>
      </c>
      <c r="V177" s="6">
        <f t="shared" si="52"/>
        <v>2</v>
      </c>
      <c r="W177" s="6" t="str">
        <f t="shared" si="53"/>
        <v>T013267 8</v>
      </c>
      <c r="X177" s="6" t="str">
        <f t="shared" si="54"/>
        <v>S55242</v>
      </c>
      <c r="Y177" s="6" t="str">
        <f t="shared" si="55"/>
        <v>T01</v>
      </c>
      <c r="Z177" s="6" t="str">
        <f t="shared" si="56"/>
        <v>267</v>
      </c>
      <c r="AA177" s="6">
        <f t="shared" si="61"/>
        <v>2</v>
      </c>
      <c r="AB177" s="6">
        <f t="shared" si="57"/>
        <v>4</v>
      </c>
      <c r="AC177" s="6"/>
      <c r="AD177" s="23"/>
    </row>
    <row r="178" spans="1:30" ht="30" x14ac:dyDescent="0.25">
      <c r="A178" s="2" t="s">
        <v>283</v>
      </c>
      <c r="B178" s="2" t="s">
        <v>755</v>
      </c>
      <c r="C178" s="2" t="s">
        <v>756</v>
      </c>
      <c r="D178" s="2" t="s">
        <v>757</v>
      </c>
      <c r="E178" s="2" t="s">
        <v>758</v>
      </c>
      <c r="F178" s="2">
        <v>8</v>
      </c>
      <c r="G178" s="2" t="s">
        <v>13</v>
      </c>
      <c r="H178" s="2">
        <v>19.5</v>
      </c>
      <c r="I178" s="6">
        <f t="shared" si="58"/>
        <v>156</v>
      </c>
      <c r="J178" s="6">
        <f t="shared" si="62"/>
        <v>98</v>
      </c>
      <c r="K178" s="6">
        <f t="shared" si="63"/>
        <v>98</v>
      </c>
      <c r="L178" s="6">
        <f t="shared" si="59"/>
        <v>2457.5</v>
      </c>
      <c r="M178" s="6">
        <f t="shared" si="64"/>
        <v>123</v>
      </c>
      <c r="N178" s="6" t="b">
        <f t="shared" si="45"/>
        <v>0</v>
      </c>
      <c r="O178" s="6" t="b">
        <f t="shared" si="60"/>
        <v>1</v>
      </c>
      <c r="P178" s="6" t="str">
        <f t="shared" si="46"/>
        <v>C004333-ct</v>
      </c>
      <c r="Q178" s="7" t="str">
        <f t="shared" si="47"/>
        <v>T087002
8</v>
      </c>
      <c r="R178" s="6" t="b">
        <f t="shared" si="48"/>
        <v>0</v>
      </c>
      <c r="S178" s="6" t="str">
        <f t="shared" si="49"/>
        <v>13</v>
      </c>
      <c r="T178" s="6" t="str">
        <f t="shared" si="50"/>
        <v>CT</v>
      </c>
      <c r="U178" s="6" t="str">
        <f t="shared" si="51"/>
        <v>ct</v>
      </c>
      <c r="V178" s="6">
        <f t="shared" si="52"/>
        <v>2</v>
      </c>
      <c r="W178" s="6" t="str">
        <f t="shared" si="53"/>
        <v>T087002 8</v>
      </c>
      <c r="X178" s="6" t="str">
        <f t="shared" si="54"/>
        <v>S55347</v>
      </c>
      <c r="Y178" s="6" t="str">
        <f t="shared" si="55"/>
        <v>T08</v>
      </c>
      <c r="Z178" s="6" t="str">
        <f t="shared" si="56"/>
        <v>002</v>
      </c>
      <c r="AA178" s="6">
        <f t="shared" si="61"/>
        <v>2</v>
      </c>
      <c r="AB178" s="6">
        <f t="shared" si="57"/>
        <v>2</v>
      </c>
      <c r="AC178" s="6"/>
      <c r="AD178" s="23"/>
    </row>
    <row r="179" spans="1:30" ht="30" x14ac:dyDescent="0.25">
      <c r="A179" s="2" t="s">
        <v>121</v>
      </c>
      <c r="B179" s="2" t="s">
        <v>759</v>
      </c>
      <c r="C179" s="2" t="s">
        <v>760</v>
      </c>
      <c r="D179" s="2" t="s">
        <v>110</v>
      </c>
      <c r="E179" s="2" t="s">
        <v>761</v>
      </c>
      <c r="F179" s="2">
        <v>11</v>
      </c>
      <c r="G179" s="2" t="s">
        <v>60</v>
      </c>
      <c r="H179" s="2">
        <v>7.5</v>
      </c>
      <c r="I179" s="6">
        <f t="shared" si="58"/>
        <v>82.5</v>
      </c>
      <c r="J179" s="6">
        <f t="shared" si="62"/>
        <v>268</v>
      </c>
      <c r="K179" s="6">
        <f t="shared" si="63"/>
        <v>268</v>
      </c>
      <c r="L179" s="6">
        <f t="shared" si="59"/>
        <v>658</v>
      </c>
      <c r="M179" s="6">
        <f t="shared" si="64"/>
        <v>39</v>
      </c>
      <c r="N179" s="6" t="b">
        <f t="shared" si="45"/>
        <v>0</v>
      </c>
      <c r="O179" s="6" t="b">
        <f t="shared" si="60"/>
        <v>0</v>
      </c>
      <c r="P179" s="6" t="str">
        <f t="shared" si="46"/>
        <v>C008928-bottles</v>
      </c>
      <c r="Q179" s="7" t="str">
        <f t="shared" si="47"/>
        <v>T080527
11</v>
      </c>
      <c r="R179" s="6" t="b">
        <f t="shared" si="48"/>
        <v>0</v>
      </c>
      <c r="S179" s="6" t="str">
        <f t="shared" si="49"/>
        <v>09</v>
      </c>
      <c r="T179" s="6" t="str">
        <f t="shared" si="50"/>
        <v>BOTTLES</v>
      </c>
      <c r="U179" s="6" t="str">
        <f t="shared" si="51"/>
        <v>bottles</v>
      </c>
      <c r="V179" s="6">
        <f t="shared" si="52"/>
        <v>2</v>
      </c>
      <c r="W179" s="6" t="str">
        <f t="shared" si="53"/>
        <v>T080527 11</v>
      </c>
      <c r="X179" s="6" t="str">
        <f t="shared" si="54"/>
        <v>S55455</v>
      </c>
      <c r="Y179" s="6" t="str">
        <f t="shared" si="55"/>
        <v>T08</v>
      </c>
      <c r="Z179" s="6" t="str">
        <f t="shared" si="56"/>
        <v>527</v>
      </c>
      <c r="AA179" s="6">
        <f t="shared" si="61"/>
        <v>2</v>
      </c>
      <c r="AB179" s="6">
        <f t="shared" si="57"/>
        <v>7</v>
      </c>
      <c r="AC179" s="6"/>
      <c r="AD179" s="23"/>
    </row>
    <row r="180" spans="1:30" ht="30" x14ac:dyDescent="0.25">
      <c r="A180" s="2" t="s">
        <v>209</v>
      </c>
      <c r="B180" s="2" t="s">
        <v>762</v>
      </c>
      <c r="C180" s="2" t="s">
        <v>763</v>
      </c>
      <c r="D180" s="2" t="s">
        <v>114</v>
      </c>
      <c r="E180" s="2" t="s">
        <v>764</v>
      </c>
      <c r="F180" s="2">
        <v>3</v>
      </c>
      <c r="G180" s="2" t="s">
        <v>13</v>
      </c>
      <c r="H180" s="2">
        <v>15</v>
      </c>
      <c r="I180" s="6">
        <f t="shared" si="58"/>
        <v>45</v>
      </c>
      <c r="J180" s="6">
        <f t="shared" si="62"/>
        <v>396.5</v>
      </c>
      <c r="K180" s="6">
        <f t="shared" si="63"/>
        <v>394</v>
      </c>
      <c r="L180" s="6">
        <f t="shared" si="59"/>
        <v>2438</v>
      </c>
      <c r="M180" s="6">
        <f t="shared" si="64"/>
        <v>122</v>
      </c>
      <c r="N180" s="6" t="b">
        <f t="shared" si="45"/>
        <v>0</v>
      </c>
      <c r="O180" s="6" t="b">
        <f t="shared" si="60"/>
        <v>1</v>
      </c>
      <c r="P180" s="6" t="str">
        <f t="shared" si="46"/>
        <v>C008992-ct</v>
      </c>
      <c r="Q180" s="7" t="str">
        <f t="shared" si="47"/>
        <v>T099538
3</v>
      </c>
      <c r="R180" s="6" t="b">
        <f t="shared" si="48"/>
        <v>0</v>
      </c>
      <c r="S180" s="6" t="str">
        <f t="shared" si="49"/>
        <v>12</v>
      </c>
      <c r="T180" s="6" t="str">
        <f t="shared" si="50"/>
        <v>CT</v>
      </c>
      <c r="U180" s="6" t="str">
        <f t="shared" si="51"/>
        <v>ct</v>
      </c>
      <c r="V180" s="6">
        <f t="shared" si="52"/>
        <v>2</v>
      </c>
      <c r="W180" s="6" t="str">
        <f t="shared" si="53"/>
        <v>T099538 3</v>
      </c>
      <c r="X180" s="6" t="str">
        <f t="shared" si="54"/>
        <v>S5555</v>
      </c>
      <c r="Y180" s="6" t="str">
        <f t="shared" si="55"/>
        <v>T09</v>
      </c>
      <c r="Z180" s="6" t="str">
        <f t="shared" si="56"/>
        <v>538</v>
      </c>
      <c r="AA180" s="6">
        <f t="shared" si="61"/>
        <v>2</v>
      </c>
      <c r="AB180" s="6">
        <f t="shared" si="57"/>
        <v>2</v>
      </c>
      <c r="AC180" s="6"/>
      <c r="AD180" s="23"/>
    </row>
    <row r="181" spans="1:30" ht="30" x14ac:dyDescent="0.25">
      <c r="A181" s="2" t="s">
        <v>137</v>
      </c>
      <c r="B181" s="2" t="s">
        <v>765</v>
      </c>
      <c r="C181" s="2" t="s">
        <v>766</v>
      </c>
      <c r="D181" s="2" t="s">
        <v>374</v>
      </c>
      <c r="E181" s="2" t="s">
        <v>767</v>
      </c>
      <c r="F181" s="2">
        <v>5</v>
      </c>
      <c r="G181" s="2" t="s">
        <v>60</v>
      </c>
      <c r="H181" s="2">
        <v>20</v>
      </c>
      <c r="I181" s="6">
        <f t="shared" si="58"/>
        <v>100</v>
      </c>
      <c r="J181" s="6">
        <f t="shared" si="62"/>
        <v>214.5</v>
      </c>
      <c r="K181" s="6">
        <f t="shared" si="63"/>
        <v>212</v>
      </c>
      <c r="L181" s="6">
        <f t="shared" si="59"/>
        <v>650.5</v>
      </c>
      <c r="M181" s="6">
        <f t="shared" si="64"/>
        <v>38</v>
      </c>
      <c r="N181" s="6" t="b">
        <f t="shared" si="45"/>
        <v>0</v>
      </c>
      <c r="O181" s="6" t="b">
        <f t="shared" si="60"/>
        <v>1</v>
      </c>
      <c r="P181" s="6" t="str">
        <f t="shared" si="46"/>
        <v>C008381-bottles</v>
      </c>
      <c r="Q181" s="7" t="str">
        <f t="shared" si="47"/>
        <v>T068587
5</v>
      </c>
      <c r="R181" s="6" t="b">
        <f t="shared" si="48"/>
        <v>0</v>
      </c>
      <c r="S181" s="6" t="str">
        <f t="shared" si="49"/>
        <v>07</v>
      </c>
      <c r="T181" s="6" t="str">
        <f t="shared" si="50"/>
        <v>BOTTLES</v>
      </c>
      <c r="U181" s="6" t="str">
        <f t="shared" si="51"/>
        <v>bottles</v>
      </c>
      <c r="V181" s="6">
        <f t="shared" si="52"/>
        <v>2</v>
      </c>
      <c r="W181" s="6" t="str">
        <f t="shared" si="53"/>
        <v>T068587 5</v>
      </c>
      <c r="X181" s="6" t="str">
        <f t="shared" si="54"/>
        <v>S55543</v>
      </c>
      <c r="Y181" s="6" t="str">
        <f t="shared" si="55"/>
        <v>T06</v>
      </c>
      <c r="Z181" s="6" t="str">
        <f t="shared" si="56"/>
        <v>587</v>
      </c>
      <c r="AA181" s="6">
        <f t="shared" si="61"/>
        <v>2</v>
      </c>
      <c r="AB181" s="6">
        <f t="shared" si="57"/>
        <v>7</v>
      </c>
      <c r="AC181" s="6"/>
      <c r="AD181" s="23"/>
    </row>
    <row r="182" spans="1:30" ht="30" x14ac:dyDescent="0.25">
      <c r="A182" s="2" t="s">
        <v>209</v>
      </c>
      <c r="B182" s="2" t="s">
        <v>768</v>
      </c>
      <c r="C182" s="2" t="s">
        <v>769</v>
      </c>
      <c r="D182" s="2" t="s">
        <v>104</v>
      </c>
      <c r="E182" s="2" t="s">
        <v>604</v>
      </c>
      <c r="F182" s="2">
        <v>6</v>
      </c>
      <c r="G182" s="2" t="s">
        <v>106</v>
      </c>
      <c r="H182" s="2">
        <v>15</v>
      </c>
      <c r="I182" s="6">
        <f t="shared" si="58"/>
        <v>90</v>
      </c>
      <c r="J182" s="6">
        <f t="shared" si="62"/>
        <v>245</v>
      </c>
      <c r="K182" s="6">
        <f t="shared" si="63"/>
        <v>239</v>
      </c>
      <c r="L182" s="6">
        <f t="shared" si="59"/>
        <v>349</v>
      </c>
      <c r="M182" s="6">
        <f t="shared" si="64"/>
        <v>21</v>
      </c>
      <c r="N182" s="6" t="b">
        <f t="shared" si="45"/>
        <v>0</v>
      </c>
      <c r="O182" s="6" t="b">
        <f t="shared" si="60"/>
        <v>1</v>
      </c>
      <c r="P182" s="6" t="str">
        <f t="shared" si="46"/>
        <v>C005131-bags</v>
      </c>
      <c r="Q182" s="7" t="str">
        <f t="shared" si="47"/>
        <v>T099005
6</v>
      </c>
      <c r="R182" s="6" t="b">
        <f t="shared" si="48"/>
        <v>0</v>
      </c>
      <c r="S182" s="6" t="str">
        <f t="shared" si="49"/>
        <v>16</v>
      </c>
      <c r="T182" s="6" t="str">
        <f t="shared" si="50"/>
        <v>BAGS</v>
      </c>
      <c r="U182" s="6" t="str">
        <f t="shared" si="51"/>
        <v>bags</v>
      </c>
      <c r="V182" s="6">
        <f t="shared" si="52"/>
        <v>2</v>
      </c>
      <c r="W182" s="6" t="str">
        <f t="shared" si="53"/>
        <v>T099005 6</v>
      </c>
      <c r="X182" s="6" t="str">
        <f t="shared" si="54"/>
        <v>S55239</v>
      </c>
      <c r="Y182" s="6" t="str">
        <f t="shared" si="55"/>
        <v>T09</v>
      </c>
      <c r="Z182" s="6" t="str">
        <f t="shared" si="56"/>
        <v>005</v>
      </c>
      <c r="AA182" s="6">
        <f t="shared" si="61"/>
        <v>2</v>
      </c>
      <c r="AB182" s="6">
        <f t="shared" si="57"/>
        <v>4</v>
      </c>
      <c r="AC182" s="6"/>
      <c r="AD182" s="23"/>
    </row>
    <row r="183" spans="1:30" ht="30" x14ac:dyDescent="0.25">
      <c r="A183" s="2" t="s">
        <v>283</v>
      </c>
      <c r="B183" s="2" t="s">
        <v>770</v>
      </c>
      <c r="C183" s="2" t="s">
        <v>771</v>
      </c>
      <c r="D183" s="2" t="s">
        <v>362</v>
      </c>
      <c r="E183" s="2" t="s">
        <v>772</v>
      </c>
      <c r="F183" s="2">
        <v>9</v>
      </c>
      <c r="G183" s="2" t="s">
        <v>13</v>
      </c>
      <c r="H183" s="2">
        <v>24</v>
      </c>
      <c r="I183" s="6">
        <f t="shared" si="58"/>
        <v>216</v>
      </c>
      <c r="J183" s="6">
        <f t="shared" si="62"/>
        <v>38</v>
      </c>
      <c r="K183" s="6">
        <f t="shared" si="63"/>
        <v>37</v>
      </c>
      <c r="L183" s="6">
        <f t="shared" si="59"/>
        <v>2423</v>
      </c>
      <c r="M183" s="6">
        <f t="shared" si="64"/>
        <v>121</v>
      </c>
      <c r="N183" s="6" t="b">
        <f t="shared" si="45"/>
        <v>1</v>
      </c>
      <c r="O183" s="6" t="b">
        <f t="shared" si="60"/>
        <v>1</v>
      </c>
      <c r="P183" s="6" t="str">
        <f t="shared" si="46"/>
        <v>C006179-ct</v>
      </c>
      <c r="Q183" s="7" t="str">
        <f t="shared" si="47"/>
        <v>T074779
9</v>
      </c>
      <c r="R183" s="6" t="b">
        <f t="shared" si="48"/>
        <v>0</v>
      </c>
      <c r="S183" s="6" t="str">
        <f t="shared" si="49"/>
        <v>13</v>
      </c>
      <c r="T183" s="6" t="str">
        <f t="shared" si="50"/>
        <v>CT</v>
      </c>
      <c r="U183" s="6" t="str">
        <f t="shared" si="51"/>
        <v>ct</v>
      </c>
      <c r="V183" s="6">
        <f t="shared" si="52"/>
        <v>2</v>
      </c>
      <c r="W183" s="6" t="str">
        <f t="shared" si="53"/>
        <v>T074779 9</v>
      </c>
      <c r="X183" s="6" t="str">
        <f t="shared" si="54"/>
        <v>S55544</v>
      </c>
      <c r="Y183" s="6" t="str">
        <f t="shared" si="55"/>
        <v>T07</v>
      </c>
      <c r="Z183" s="6" t="str">
        <f t="shared" si="56"/>
        <v>779</v>
      </c>
      <c r="AA183" s="6">
        <f t="shared" si="61"/>
        <v>2</v>
      </c>
      <c r="AB183" s="6">
        <f t="shared" si="57"/>
        <v>2</v>
      </c>
      <c r="AC183" s="6"/>
      <c r="AD183" s="23"/>
    </row>
    <row r="184" spans="1:30" ht="30" x14ac:dyDescent="0.25">
      <c r="A184" s="2" t="s">
        <v>30</v>
      </c>
      <c r="B184" s="2" t="s">
        <v>773</v>
      </c>
      <c r="C184" s="2" t="s">
        <v>774</v>
      </c>
      <c r="D184" s="2" t="s">
        <v>144</v>
      </c>
      <c r="E184" s="2" t="s">
        <v>371</v>
      </c>
      <c r="F184" s="2">
        <v>10</v>
      </c>
      <c r="G184" s="2" t="s">
        <v>13</v>
      </c>
      <c r="H184" s="2">
        <v>42</v>
      </c>
      <c r="I184" s="6">
        <f t="shared" si="58"/>
        <v>420</v>
      </c>
      <c r="J184" s="6">
        <f t="shared" si="62"/>
        <v>6</v>
      </c>
      <c r="K184" s="6">
        <f t="shared" si="63"/>
        <v>6</v>
      </c>
      <c r="L184" s="6">
        <f t="shared" si="59"/>
        <v>2399</v>
      </c>
      <c r="M184" s="6">
        <f t="shared" si="64"/>
        <v>120</v>
      </c>
      <c r="N184" s="6" t="b">
        <f t="shared" si="45"/>
        <v>1</v>
      </c>
      <c r="O184" s="6" t="b">
        <f t="shared" si="60"/>
        <v>1</v>
      </c>
      <c r="P184" s="6" t="str">
        <f t="shared" si="46"/>
        <v>C005302-ct</v>
      </c>
      <c r="Q184" s="7" t="str">
        <f t="shared" si="47"/>
        <v>T049751
10</v>
      </c>
      <c r="R184" s="6" t="b">
        <f t="shared" si="48"/>
        <v>0</v>
      </c>
      <c r="S184" s="6" t="str">
        <f t="shared" si="49"/>
        <v>11</v>
      </c>
      <c r="T184" s="6" t="str">
        <f t="shared" si="50"/>
        <v>CT</v>
      </c>
      <c r="U184" s="6" t="str">
        <f t="shared" si="51"/>
        <v>ct</v>
      </c>
      <c r="V184" s="6">
        <f t="shared" si="52"/>
        <v>2</v>
      </c>
      <c r="W184" s="6" t="str">
        <f t="shared" si="53"/>
        <v>T049751 10</v>
      </c>
      <c r="X184" s="6" t="str">
        <f t="shared" si="54"/>
        <v>S55378</v>
      </c>
      <c r="Y184" s="6" t="str">
        <f t="shared" si="55"/>
        <v>T04</v>
      </c>
      <c r="Z184" s="6" t="str">
        <f t="shared" si="56"/>
        <v>751</v>
      </c>
      <c r="AA184" s="6">
        <f t="shared" si="61"/>
        <v>2</v>
      </c>
      <c r="AB184" s="6">
        <f t="shared" si="57"/>
        <v>2</v>
      </c>
      <c r="AC184" s="6"/>
      <c r="AD184" s="23"/>
    </row>
    <row r="185" spans="1:30" ht="30" x14ac:dyDescent="0.25">
      <c r="A185" s="2" t="s">
        <v>30</v>
      </c>
      <c r="B185" s="2" t="s">
        <v>219</v>
      </c>
      <c r="C185" s="2" t="s">
        <v>775</v>
      </c>
      <c r="D185" s="2" t="s">
        <v>370</v>
      </c>
      <c r="E185" s="2" t="s">
        <v>129</v>
      </c>
      <c r="F185" s="2">
        <v>2</v>
      </c>
      <c r="G185" s="2" t="s">
        <v>167</v>
      </c>
      <c r="H185" s="2">
        <v>17</v>
      </c>
      <c r="I185" s="6">
        <f t="shared" si="58"/>
        <v>34</v>
      </c>
      <c r="J185" s="6">
        <f t="shared" si="62"/>
        <v>422.5</v>
      </c>
      <c r="K185" s="6">
        <f t="shared" si="63"/>
        <v>422</v>
      </c>
      <c r="L185" s="6">
        <f t="shared" si="59"/>
        <v>317</v>
      </c>
      <c r="M185" s="6">
        <f t="shared" si="64"/>
        <v>20</v>
      </c>
      <c r="N185" s="6" t="b">
        <f t="shared" si="45"/>
        <v>0</v>
      </c>
      <c r="O185" s="6" t="b">
        <f t="shared" si="60"/>
        <v>1</v>
      </c>
      <c r="P185" s="6" t="str">
        <f t="shared" si="46"/>
        <v>C006607-oz</v>
      </c>
      <c r="Q185" s="7" t="str">
        <f t="shared" si="47"/>
        <v>T086204
2</v>
      </c>
      <c r="R185" s="6" t="b">
        <f t="shared" si="48"/>
        <v>0</v>
      </c>
      <c r="S185" s="6" t="str">
        <f t="shared" si="49"/>
        <v>10</v>
      </c>
      <c r="T185" s="6" t="str">
        <f t="shared" si="50"/>
        <v>OZ</v>
      </c>
      <c r="U185" s="6" t="str">
        <f t="shared" si="51"/>
        <v>oz</v>
      </c>
      <c r="V185" s="6">
        <f t="shared" si="52"/>
        <v>2</v>
      </c>
      <c r="W185" s="6" t="str">
        <f t="shared" si="53"/>
        <v>T086204 2</v>
      </c>
      <c r="X185" s="6" t="str">
        <f t="shared" si="54"/>
        <v>S55658</v>
      </c>
      <c r="Y185" s="6" t="str">
        <f t="shared" si="55"/>
        <v>T08</v>
      </c>
      <c r="Z185" s="6" t="str">
        <f t="shared" si="56"/>
        <v>204</v>
      </c>
      <c r="AA185" s="6">
        <f t="shared" si="61"/>
        <v>2</v>
      </c>
      <c r="AB185" s="6">
        <f t="shared" si="57"/>
        <v>2</v>
      </c>
      <c r="AC185" s="6"/>
      <c r="AD185" s="23"/>
    </row>
    <row r="186" spans="1:30" ht="30" x14ac:dyDescent="0.25">
      <c r="A186" s="2" t="s">
        <v>71</v>
      </c>
      <c r="B186" s="2" t="s">
        <v>776</v>
      </c>
      <c r="C186" s="2" t="s">
        <v>777</v>
      </c>
      <c r="D186" s="2" t="s">
        <v>778</v>
      </c>
      <c r="E186" s="2" t="s">
        <v>779</v>
      </c>
      <c r="F186" s="2">
        <v>6</v>
      </c>
      <c r="G186" s="2" t="s">
        <v>269</v>
      </c>
      <c r="H186" s="2">
        <v>15</v>
      </c>
      <c r="I186" s="6">
        <f t="shared" si="58"/>
        <v>90</v>
      </c>
      <c r="J186" s="6">
        <f t="shared" si="62"/>
        <v>245</v>
      </c>
      <c r="K186" s="6">
        <f t="shared" si="63"/>
        <v>239</v>
      </c>
      <c r="L186" s="6">
        <f t="shared" si="59"/>
        <v>191</v>
      </c>
      <c r="M186" s="6">
        <f t="shared" si="64"/>
        <v>14</v>
      </c>
      <c r="N186" s="6" t="b">
        <f t="shared" si="45"/>
        <v>0</v>
      </c>
      <c r="O186" s="6" t="b">
        <f t="shared" si="60"/>
        <v>1</v>
      </c>
      <c r="P186" s="6" t="str">
        <f t="shared" si="46"/>
        <v>C007110-ct.</v>
      </c>
      <c r="Q186" s="7" t="str">
        <f t="shared" si="47"/>
        <v>T021185
6</v>
      </c>
      <c r="R186" s="6" t="b">
        <f t="shared" si="48"/>
        <v>0</v>
      </c>
      <c r="S186" s="6" t="str">
        <f t="shared" si="49"/>
        <v>17</v>
      </c>
      <c r="T186" s="6" t="str">
        <f t="shared" si="50"/>
        <v>CT.</v>
      </c>
      <c r="U186" s="6" t="str">
        <f t="shared" si="51"/>
        <v>ct.</v>
      </c>
      <c r="V186" s="6">
        <f t="shared" si="52"/>
        <v>2</v>
      </c>
      <c r="W186" s="6" t="str">
        <f t="shared" si="53"/>
        <v>T021185 6</v>
      </c>
      <c r="X186" s="6" t="str">
        <f t="shared" si="54"/>
        <v>S55473</v>
      </c>
      <c r="Y186" s="6" t="str">
        <f t="shared" si="55"/>
        <v>T02</v>
      </c>
      <c r="Z186" s="6" t="str">
        <f t="shared" si="56"/>
        <v>185</v>
      </c>
      <c r="AA186" s="6">
        <f t="shared" si="61"/>
        <v>2</v>
      </c>
      <c r="AB186" s="6">
        <f t="shared" si="57"/>
        <v>3</v>
      </c>
      <c r="AC186" s="6"/>
      <c r="AD186" s="23"/>
    </row>
    <row r="187" spans="1:30" ht="30" x14ac:dyDescent="0.25">
      <c r="A187" s="2" t="s">
        <v>146</v>
      </c>
      <c r="B187" s="2" t="s">
        <v>780</v>
      </c>
      <c r="C187" s="2" t="s">
        <v>781</v>
      </c>
      <c r="D187" s="2" t="s">
        <v>782</v>
      </c>
      <c r="E187" s="2" t="s">
        <v>153</v>
      </c>
      <c r="F187" s="2">
        <v>8</v>
      </c>
      <c r="G187" s="2" t="s">
        <v>13</v>
      </c>
      <c r="H187" s="2">
        <v>26</v>
      </c>
      <c r="I187" s="6">
        <f t="shared" si="58"/>
        <v>208</v>
      </c>
      <c r="J187" s="6">
        <f t="shared" si="62"/>
        <v>44</v>
      </c>
      <c r="K187" s="6">
        <f t="shared" si="63"/>
        <v>44</v>
      </c>
      <c r="L187" s="6">
        <f t="shared" si="59"/>
        <v>2357</v>
      </c>
      <c r="M187" s="6">
        <f t="shared" si="64"/>
        <v>119</v>
      </c>
      <c r="N187" s="6" t="b">
        <f t="shared" si="45"/>
        <v>1</v>
      </c>
      <c r="O187" s="6" t="b">
        <f t="shared" si="60"/>
        <v>1</v>
      </c>
      <c r="P187" s="6" t="str">
        <f t="shared" si="46"/>
        <v>C006397-ct</v>
      </c>
      <c r="Q187" s="7" t="str">
        <f t="shared" si="47"/>
        <v>T020301
8</v>
      </c>
      <c r="R187" s="6" t="b">
        <f t="shared" si="48"/>
        <v>0</v>
      </c>
      <c r="S187" s="6" t="str">
        <f t="shared" si="49"/>
        <v>18</v>
      </c>
      <c r="T187" s="6" t="str">
        <f t="shared" si="50"/>
        <v>CT</v>
      </c>
      <c r="U187" s="6" t="str">
        <f t="shared" si="51"/>
        <v>ct</v>
      </c>
      <c r="V187" s="6">
        <f t="shared" si="52"/>
        <v>2</v>
      </c>
      <c r="W187" s="6" t="str">
        <f t="shared" si="53"/>
        <v>T020301 8</v>
      </c>
      <c r="X187" s="6" t="str">
        <f t="shared" si="54"/>
        <v>S55465</v>
      </c>
      <c r="Y187" s="6" t="str">
        <f t="shared" si="55"/>
        <v>T02</v>
      </c>
      <c r="Z187" s="6" t="str">
        <f t="shared" si="56"/>
        <v>301</v>
      </c>
      <c r="AA187" s="6">
        <f t="shared" si="61"/>
        <v>2</v>
      </c>
      <c r="AB187" s="6">
        <f t="shared" si="57"/>
        <v>2</v>
      </c>
      <c r="AC187" s="6"/>
      <c r="AD187" s="23"/>
    </row>
    <row r="188" spans="1:30" ht="30" x14ac:dyDescent="0.25">
      <c r="A188" s="2" t="s">
        <v>523</v>
      </c>
      <c r="B188" s="2" t="s">
        <v>783</v>
      </c>
      <c r="C188" s="2" t="s">
        <v>784</v>
      </c>
      <c r="D188" s="2" t="s">
        <v>785</v>
      </c>
      <c r="E188" s="2" t="s">
        <v>786</v>
      </c>
      <c r="F188" s="2">
        <v>4</v>
      </c>
      <c r="G188" s="2" t="s">
        <v>13</v>
      </c>
      <c r="H188" s="2">
        <v>29</v>
      </c>
      <c r="I188" s="6">
        <f t="shared" si="58"/>
        <v>116</v>
      </c>
      <c r="J188" s="6">
        <f t="shared" si="62"/>
        <v>182</v>
      </c>
      <c r="K188" s="6">
        <f t="shared" si="63"/>
        <v>182</v>
      </c>
      <c r="L188" s="6">
        <f t="shared" si="59"/>
        <v>2331</v>
      </c>
      <c r="M188" s="6">
        <f t="shared" si="64"/>
        <v>118</v>
      </c>
      <c r="N188" s="6" t="b">
        <f t="shared" si="45"/>
        <v>1</v>
      </c>
      <c r="O188" s="6" t="b">
        <f t="shared" si="60"/>
        <v>1</v>
      </c>
      <c r="P188" s="6" t="str">
        <f t="shared" si="46"/>
        <v>C001432-ct</v>
      </c>
      <c r="Q188" s="7" t="str">
        <f t="shared" si="47"/>
        <v>T026282
4</v>
      </c>
      <c r="R188" s="6" t="b">
        <f t="shared" si="48"/>
        <v>0</v>
      </c>
      <c r="S188" s="6" t="str">
        <f t="shared" si="49"/>
        <v>14</v>
      </c>
      <c r="T188" s="6" t="str">
        <f t="shared" si="50"/>
        <v>CT</v>
      </c>
      <c r="U188" s="6" t="str">
        <f t="shared" si="51"/>
        <v>ct</v>
      </c>
      <c r="V188" s="6">
        <f t="shared" si="52"/>
        <v>2</v>
      </c>
      <c r="W188" s="6" t="str">
        <f t="shared" si="53"/>
        <v>T026282 4</v>
      </c>
      <c r="X188" s="6" t="str">
        <f t="shared" si="54"/>
        <v>S55177</v>
      </c>
      <c r="Y188" s="6" t="str">
        <f t="shared" si="55"/>
        <v>T02</v>
      </c>
      <c r="Z188" s="6" t="str">
        <f t="shared" si="56"/>
        <v>282</v>
      </c>
      <c r="AA188" s="6">
        <f t="shared" si="61"/>
        <v>2</v>
      </c>
      <c r="AB188" s="6">
        <f t="shared" si="57"/>
        <v>2</v>
      </c>
      <c r="AC188" s="6"/>
      <c r="AD188" s="23"/>
    </row>
    <row r="189" spans="1:30" ht="30" x14ac:dyDescent="0.25">
      <c r="A189" s="2" t="s">
        <v>71</v>
      </c>
      <c r="B189" s="2" t="s">
        <v>787</v>
      </c>
      <c r="C189" s="2" t="s">
        <v>788</v>
      </c>
      <c r="D189" s="2" t="s">
        <v>789</v>
      </c>
      <c r="E189" s="2" t="s">
        <v>790</v>
      </c>
      <c r="F189" s="2">
        <v>9</v>
      </c>
      <c r="G189" s="2" t="s">
        <v>35</v>
      </c>
      <c r="H189" s="2">
        <v>6.75</v>
      </c>
      <c r="I189" s="6">
        <f t="shared" si="58"/>
        <v>60.75</v>
      </c>
      <c r="J189" s="6">
        <f t="shared" si="62"/>
        <v>335.5</v>
      </c>
      <c r="K189" s="6">
        <f t="shared" si="63"/>
        <v>335</v>
      </c>
      <c r="L189" s="6">
        <f t="shared" si="59"/>
        <v>1350.25</v>
      </c>
      <c r="M189" s="6">
        <f t="shared" si="64"/>
        <v>78</v>
      </c>
      <c r="N189" s="6" t="b">
        <f t="shared" si="45"/>
        <v>0</v>
      </c>
      <c r="O189" s="6" t="b">
        <f t="shared" si="60"/>
        <v>0</v>
      </c>
      <c r="P189" s="6" t="str">
        <f t="shared" si="46"/>
        <v>C000360-cans</v>
      </c>
      <c r="Q189" s="7" t="str">
        <f t="shared" si="47"/>
        <v>T03072
9</v>
      </c>
      <c r="R189" s="6" t="b">
        <f t="shared" si="48"/>
        <v>0</v>
      </c>
      <c r="S189" s="6" t="str">
        <f t="shared" si="49"/>
        <v>02</v>
      </c>
      <c r="T189" s="6" t="str">
        <f t="shared" si="50"/>
        <v>CANS</v>
      </c>
      <c r="U189" s="6" t="str">
        <f t="shared" si="51"/>
        <v>cans</v>
      </c>
      <c r="V189" s="6">
        <f t="shared" si="52"/>
        <v>2</v>
      </c>
      <c r="W189" s="6" t="str">
        <f t="shared" si="53"/>
        <v>T03072 9</v>
      </c>
      <c r="X189" s="6" t="str">
        <f t="shared" si="54"/>
        <v>S55367</v>
      </c>
      <c r="Y189" s="6" t="str">
        <f t="shared" si="55"/>
        <v>T03</v>
      </c>
      <c r="Z189" s="6" t="str">
        <f t="shared" si="56"/>
        <v>072</v>
      </c>
      <c r="AA189" s="6">
        <f t="shared" si="61"/>
        <v>2</v>
      </c>
      <c r="AB189" s="6">
        <f t="shared" si="57"/>
        <v>4</v>
      </c>
      <c r="AC189" s="6"/>
      <c r="AD189" s="23"/>
    </row>
    <row r="190" spans="1:30" ht="30" x14ac:dyDescent="0.25">
      <c r="A190" s="2" t="s">
        <v>218</v>
      </c>
      <c r="B190" s="2" t="s">
        <v>791</v>
      </c>
      <c r="C190" s="2" t="s">
        <v>792</v>
      </c>
      <c r="D190" s="2" t="s">
        <v>793</v>
      </c>
      <c r="E190" s="2" t="s">
        <v>794</v>
      </c>
      <c r="F190" s="2">
        <v>6</v>
      </c>
      <c r="G190" s="2" t="s">
        <v>106</v>
      </c>
      <c r="H190" s="2">
        <v>17</v>
      </c>
      <c r="I190" s="6">
        <f t="shared" si="58"/>
        <v>102</v>
      </c>
      <c r="J190" s="6">
        <f t="shared" si="62"/>
        <v>210.5</v>
      </c>
      <c r="K190" s="6">
        <f t="shared" si="63"/>
        <v>210</v>
      </c>
      <c r="L190" s="6">
        <f t="shared" si="59"/>
        <v>334</v>
      </c>
      <c r="M190" s="6">
        <f t="shared" si="64"/>
        <v>20</v>
      </c>
      <c r="N190" s="6" t="b">
        <f t="shared" si="45"/>
        <v>0</v>
      </c>
      <c r="O190" s="6" t="b">
        <f t="shared" si="60"/>
        <v>1</v>
      </c>
      <c r="P190" s="6" t="str">
        <f t="shared" si="46"/>
        <v>C002796-bags</v>
      </c>
      <c r="Q190" s="7" t="str">
        <f t="shared" si="47"/>
        <v>T068914
6</v>
      </c>
      <c r="R190" s="6" t="b">
        <f t="shared" si="48"/>
        <v>0</v>
      </c>
      <c r="S190" s="6" t="str">
        <f t="shared" si="49"/>
        <v>16</v>
      </c>
      <c r="T190" s="6" t="str">
        <f t="shared" si="50"/>
        <v>BAGS</v>
      </c>
      <c r="U190" s="6" t="str">
        <f t="shared" si="51"/>
        <v>bags</v>
      </c>
      <c r="V190" s="6">
        <f t="shared" si="52"/>
        <v>2</v>
      </c>
      <c r="W190" s="6" t="str">
        <f t="shared" si="53"/>
        <v>T068914 6</v>
      </c>
      <c r="X190" s="6" t="str">
        <f t="shared" si="54"/>
        <v>S55624</v>
      </c>
      <c r="Y190" s="6" t="str">
        <f t="shared" si="55"/>
        <v>T06</v>
      </c>
      <c r="Z190" s="6" t="str">
        <f t="shared" si="56"/>
        <v>914</v>
      </c>
      <c r="AA190" s="6">
        <f t="shared" si="61"/>
        <v>2</v>
      </c>
      <c r="AB190" s="6">
        <f t="shared" si="57"/>
        <v>4</v>
      </c>
      <c r="AC190" s="6"/>
      <c r="AD190" s="23"/>
    </row>
    <row r="191" spans="1:30" ht="30" x14ac:dyDescent="0.25">
      <c r="A191" s="2" t="s">
        <v>25</v>
      </c>
      <c r="B191" s="2" t="s">
        <v>795</v>
      </c>
      <c r="C191" s="2" t="s">
        <v>796</v>
      </c>
      <c r="D191" s="2" t="s">
        <v>797</v>
      </c>
      <c r="E191" s="2" t="s">
        <v>798</v>
      </c>
      <c r="F191" s="2">
        <v>3</v>
      </c>
      <c r="G191" s="2" t="s">
        <v>13</v>
      </c>
      <c r="H191" s="2">
        <v>14</v>
      </c>
      <c r="I191" s="6">
        <f t="shared" si="58"/>
        <v>42</v>
      </c>
      <c r="J191" s="6">
        <f t="shared" si="62"/>
        <v>404</v>
      </c>
      <c r="K191" s="6">
        <f t="shared" si="63"/>
        <v>400</v>
      </c>
      <c r="L191" s="6">
        <f t="shared" si="59"/>
        <v>2302</v>
      </c>
      <c r="M191" s="6">
        <f t="shared" si="64"/>
        <v>117</v>
      </c>
      <c r="N191" s="6" t="b">
        <f t="shared" si="45"/>
        <v>0</v>
      </c>
      <c r="O191" s="6" t="b">
        <f t="shared" si="60"/>
        <v>1</v>
      </c>
      <c r="P191" s="6" t="str">
        <f t="shared" si="46"/>
        <v>C005519-ct</v>
      </c>
      <c r="Q191" s="7" t="str">
        <f t="shared" si="47"/>
        <v>T050958
3</v>
      </c>
      <c r="R191" s="6" t="b">
        <f t="shared" si="48"/>
        <v>0</v>
      </c>
      <c r="S191" s="6" t="str">
        <f t="shared" si="49"/>
        <v>16</v>
      </c>
      <c r="T191" s="6" t="str">
        <f t="shared" si="50"/>
        <v>CT</v>
      </c>
      <c r="U191" s="6" t="str">
        <f t="shared" si="51"/>
        <v>ct</v>
      </c>
      <c r="V191" s="6">
        <f t="shared" si="52"/>
        <v>2</v>
      </c>
      <c r="W191" s="6" t="str">
        <f t="shared" si="53"/>
        <v>T050958 3</v>
      </c>
      <c r="X191" s="6" t="str">
        <f t="shared" si="54"/>
        <v>S55549</v>
      </c>
      <c r="Y191" s="6" t="str">
        <f t="shared" si="55"/>
        <v>T05</v>
      </c>
      <c r="Z191" s="6" t="str">
        <f t="shared" si="56"/>
        <v>958</v>
      </c>
      <c r="AA191" s="6">
        <f t="shared" si="61"/>
        <v>2</v>
      </c>
      <c r="AB191" s="6">
        <f t="shared" si="57"/>
        <v>2</v>
      </c>
      <c r="AC191" s="6"/>
      <c r="AD191" s="23"/>
    </row>
    <row r="192" spans="1:30" ht="30" x14ac:dyDescent="0.25">
      <c r="A192" s="2" t="s">
        <v>359</v>
      </c>
      <c r="B192" s="2" t="s">
        <v>799</v>
      </c>
      <c r="C192" s="2" t="s">
        <v>800</v>
      </c>
      <c r="D192" s="2" t="s">
        <v>510</v>
      </c>
      <c r="E192" s="2" t="s">
        <v>801</v>
      </c>
      <c r="F192" s="2">
        <v>4</v>
      </c>
      <c r="G192" s="2" t="s">
        <v>167</v>
      </c>
      <c r="H192" s="2">
        <v>10</v>
      </c>
      <c r="I192" s="6">
        <f t="shared" si="58"/>
        <v>40</v>
      </c>
      <c r="J192" s="6">
        <f t="shared" si="62"/>
        <v>412.5</v>
      </c>
      <c r="K192" s="6">
        <f t="shared" si="63"/>
        <v>411</v>
      </c>
      <c r="L192" s="6">
        <f t="shared" si="59"/>
        <v>300</v>
      </c>
      <c r="M192" s="6">
        <f t="shared" si="64"/>
        <v>19</v>
      </c>
      <c r="N192" s="6" t="b">
        <f t="shared" si="45"/>
        <v>0</v>
      </c>
      <c r="O192" s="6" t="b">
        <f t="shared" si="60"/>
        <v>1</v>
      </c>
      <c r="P192" s="6" t="str">
        <f t="shared" si="46"/>
        <v>C003460-oz</v>
      </c>
      <c r="Q192" s="7" t="str">
        <f t="shared" si="47"/>
        <v>T025941
4</v>
      </c>
      <c r="R192" s="6" t="b">
        <f t="shared" si="48"/>
        <v>0</v>
      </c>
      <c r="S192" s="6" t="str">
        <f t="shared" si="49"/>
        <v>09</v>
      </c>
      <c r="T192" s="6" t="str">
        <f t="shared" si="50"/>
        <v>OZ</v>
      </c>
      <c r="U192" s="6" t="str">
        <f t="shared" si="51"/>
        <v>oz</v>
      </c>
      <c r="V192" s="6">
        <f t="shared" si="52"/>
        <v>2</v>
      </c>
      <c r="W192" s="6" t="str">
        <f t="shared" si="53"/>
        <v>T025941 4</v>
      </c>
      <c r="X192" s="6" t="str">
        <f t="shared" si="54"/>
        <v>S5534</v>
      </c>
      <c r="Y192" s="6" t="str">
        <f t="shared" si="55"/>
        <v>T02</v>
      </c>
      <c r="Z192" s="6" t="str">
        <f t="shared" si="56"/>
        <v>941</v>
      </c>
      <c r="AA192" s="6">
        <f t="shared" si="61"/>
        <v>2</v>
      </c>
      <c r="AB192" s="6">
        <f t="shared" si="57"/>
        <v>2</v>
      </c>
      <c r="AC192" s="6"/>
      <c r="AD192" s="23"/>
    </row>
    <row r="193" spans="1:30" ht="30" x14ac:dyDescent="0.25">
      <c r="A193" s="2" t="s">
        <v>55</v>
      </c>
      <c r="B193" s="2" t="s">
        <v>802</v>
      </c>
      <c r="C193" s="2" t="s">
        <v>803</v>
      </c>
      <c r="D193" s="2" t="s">
        <v>277</v>
      </c>
      <c r="E193" s="2" t="s">
        <v>804</v>
      </c>
      <c r="F193" s="2">
        <v>6</v>
      </c>
      <c r="G193" s="2" t="s">
        <v>13</v>
      </c>
      <c r="H193" s="2">
        <v>15</v>
      </c>
      <c r="I193" s="6">
        <f t="shared" si="58"/>
        <v>90</v>
      </c>
      <c r="J193" s="6">
        <f t="shared" si="62"/>
        <v>245</v>
      </c>
      <c r="K193" s="6">
        <f t="shared" si="63"/>
        <v>239</v>
      </c>
      <c r="L193" s="6">
        <f t="shared" si="59"/>
        <v>2288</v>
      </c>
      <c r="M193" s="6">
        <f t="shared" si="64"/>
        <v>116</v>
      </c>
      <c r="N193" s="6" t="b">
        <f t="shared" si="45"/>
        <v>0</v>
      </c>
      <c r="O193" s="6" t="b">
        <f t="shared" si="60"/>
        <v>1</v>
      </c>
      <c r="P193" s="6" t="str">
        <f t="shared" si="46"/>
        <v>C005672-ct</v>
      </c>
      <c r="Q193" s="7" t="str">
        <f t="shared" si="47"/>
        <v>T044432
6</v>
      </c>
      <c r="R193" s="6" t="b">
        <f t="shared" si="48"/>
        <v>0</v>
      </c>
      <c r="S193" s="6" t="str">
        <f t="shared" si="49"/>
        <v>12</v>
      </c>
      <c r="T193" s="6" t="str">
        <f t="shared" si="50"/>
        <v>CT</v>
      </c>
      <c r="U193" s="6" t="str">
        <f t="shared" si="51"/>
        <v>ct</v>
      </c>
      <c r="V193" s="6">
        <f t="shared" si="52"/>
        <v>2</v>
      </c>
      <c r="W193" s="6" t="str">
        <f t="shared" si="53"/>
        <v>T044432 6</v>
      </c>
      <c r="X193" s="6" t="str">
        <f t="shared" si="54"/>
        <v>S55248</v>
      </c>
      <c r="Y193" s="6" t="str">
        <f t="shared" si="55"/>
        <v>T04</v>
      </c>
      <c r="Z193" s="6" t="str">
        <f t="shared" si="56"/>
        <v>432</v>
      </c>
      <c r="AA193" s="6">
        <f t="shared" si="61"/>
        <v>2</v>
      </c>
      <c r="AB193" s="6">
        <f t="shared" si="57"/>
        <v>2</v>
      </c>
      <c r="AC193" s="6"/>
      <c r="AD193" s="23"/>
    </row>
    <row r="194" spans="1:30" ht="30" x14ac:dyDescent="0.25">
      <c r="A194" s="2" t="s">
        <v>274</v>
      </c>
      <c r="B194" s="2" t="s">
        <v>805</v>
      </c>
      <c r="C194" s="2" t="s">
        <v>806</v>
      </c>
      <c r="D194" s="2" t="s">
        <v>807</v>
      </c>
      <c r="E194" s="2" t="s">
        <v>808</v>
      </c>
      <c r="F194" s="2">
        <v>4</v>
      </c>
      <c r="G194" s="2" t="s">
        <v>13</v>
      </c>
      <c r="H194" s="2">
        <v>21</v>
      </c>
      <c r="I194" s="6">
        <f t="shared" si="58"/>
        <v>84</v>
      </c>
      <c r="J194" s="6">
        <f t="shared" si="62"/>
        <v>263.5</v>
      </c>
      <c r="K194" s="6">
        <f t="shared" si="63"/>
        <v>260</v>
      </c>
      <c r="L194" s="6">
        <f t="shared" si="59"/>
        <v>2273</v>
      </c>
      <c r="M194" s="6">
        <f t="shared" si="64"/>
        <v>115</v>
      </c>
      <c r="N194" s="6" t="b">
        <f t="shared" si="45"/>
        <v>1</v>
      </c>
      <c r="O194" s="6" t="b">
        <f t="shared" si="60"/>
        <v>1</v>
      </c>
      <c r="P194" s="6" t="str">
        <f t="shared" si="46"/>
        <v>C007281-ct</v>
      </c>
      <c r="Q194" s="7" t="str">
        <f t="shared" si="47"/>
        <v>T083858
4</v>
      </c>
      <c r="R194" s="6" t="b">
        <f t="shared" si="48"/>
        <v>0</v>
      </c>
      <c r="S194" s="6" t="str">
        <f t="shared" si="49"/>
        <v>25</v>
      </c>
      <c r="T194" s="6" t="str">
        <f t="shared" si="50"/>
        <v>CT</v>
      </c>
      <c r="U194" s="6" t="str">
        <f t="shared" si="51"/>
        <v>ct</v>
      </c>
      <c r="V194" s="6">
        <f t="shared" si="52"/>
        <v>2</v>
      </c>
      <c r="W194" s="6" t="str">
        <f t="shared" si="53"/>
        <v>T083858 4</v>
      </c>
      <c r="X194" s="6" t="str">
        <f t="shared" si="54"/>
        <v>S55451</v>
      </c>
      <c r="Y194" s="6" t="str">
        <f t="shared" si="55"/>
        <v>T08</v>
      </c>
      <c r="Z194" s="6" t="str">
        <f t="shared" si="56"/>
        <v>858</v>
      </c>
      <c r="AA194" s="6">
        <f t="shared" si="61"/>
        <v>2</v>
      </c>
      <c r="AB194" s="6">
        <f t="shared" si="57"/>
        <v>2</v>
      </c>
      <c r="AC194" s="6"/>
      <c r="AD194" s="23"/>
    </row>
    <row r="195" spans="1:30" ht="30" x14ac:dyDescent="0.25">
      <c r="A195" s="2" t="s">
        <v>459</v>
      </c>
      <c r="B195" s="2" t="s">
        <v>809</v>
      </c>
      <c r="C195" s="2" t="s">
        <v>810</v>
      </c>
      <c r="D195" s="2" t="s">
        <v>337</v>
      </c>
      <c r="E195" s="2" t="s">
        <v>589</v>
      </c>
      <c r="F195" s="2">
        <v>4</v>
      </c>
      <c r="G195" s="2" t="s">
        <v>35</v>
      </c>
      <c r="H195" s="2">
        <v>6.75</v>
      </c>
      <c r="I195" s="6">
        <f t="shared" si="58"/>
        <v>27</v>
      </c>
      <c r="J195" s="6">
        <f t="shared" si="62"/>
        <v>445.5</v>
      </c>
      <c r="K195" s="6">
        <f t="shared" si="63"/>
        <v>445</v>
      </c>
      <c r="L195" s="6">
        <f t="shared" si="59"/>
        <v>1343.5</v>
      </c>
      <c r="M195" s="6">
        <f t="shared" si="64"/>
        <v>77</v>
      </c>
      <c r="N195" s="6" t="b">
        <f t="shared" si="45"/>
        <v>0</v>
      </c>
      <c r="O195" s="6" t="b">
        <f t="shared" si="60"/>
        <v>1</v>
      </c>
      <c r="P195" s="6" t="str">
        <f t="shared" si="46"/>
        <v>C008944-cans</v>
      </c>
      <c r="Q195" s="7" t="str">
        <f t="shared" si="47"/>
        <v>T07376
4</v>
      </c>
      <c r="R195" s="6" t="b">
        <f t="shared" si="48"/>
        <v>0</v>
      </c>
      <c r="S195" s="6" t="str">
        <f t="shared" si="49"/>
        <v>02</v>
      </c>
      <c r="T195" s="6" t="str">
        <f t="shared" si="50"/>
        <v>CANS</v>
      </c>
      <c r="U195" s="6" t="str">
        <f t="shared" si="51"/>
        <v>cans</v>
      </c>
      <c r="V195" s="6">
        <f t="shared" si="52"/>
        <v>2</v>
      </c>
      <c r="W195" s="6" t="str">
        <f t="shared" si="53"/>
        <v>T07376 4</v>
      </c>
      <c r="X195" s="6" t="str">
        <f t="shared" si="54"/>
        <v>S55555</v>
      </c>
      <c r="Y195" s="6" t="str">
        <f t="shared" si="55"/>
        <v>T07</v>
      </c>
      <c r="Z195" s="6" t="str">
        <f t="shared" si="56"/>
        <v>376</v>
      </c>
      <c r="AA195" s="6">
        <f t="shared" si="61"/>
        <v>2</v>
      </c>
      <c r="AB195" s="6">
        <f t="shared" si="57"/>
        <v>4</v>
      </c>
      <c r="AC195" s="6"/>
      <c r="AD195" s="23"/>
    </row>
    <row r="196" spans="1:30" ht="30" x14ac:dyDescent="0.25">
      <c r="A196" s="2" t="s">
        <v>25</v>
      </c>
      <c r="B196" s="2" t="s">
        <v>811</v>
      </c>
      <c r="C196" s="2" t="s">
        <v>812</v>
      </c>
      <c r="D196" s="2" t="s">
        <v>517</v>
      </c>
      <c r="E196" s="2" t="s">
        <v>422</v>
      </c>
      <c r="F196" s="2">
        <v>3</v>
      </c>
      <c r="G196" s="2" t="s">
        <v>13</v>
      </c>
      <c r="H196" s="2">
        <v>20</v>
      </c>
      <c r="I196" s="6">
        <f t="shared" si="58"/>
        <v>60</v>
      </c>
      <c r="J196" s="6">
        <f t="shared" si="62"/>
        <v>344.5</v>
      </c>
      <c r="K196" s="6">
        <f t="shared" si="63"/>
        <v>337</v>
      </c>
      <c r="L196" s="6">
        <f t="shared" si="59"/>
        <v>2252</v>
      </c>
      <c r="M196" s="6">
        <f t="shared" si="64"/>
        <v>114</v>
      </c>
      <c r="N196" s="6" t="b">
        <f t="shared" si="45"/>
        <v>0</v>
      </c>
      <c r="O196" s="6" t="b">
        <f t="shared" si="60"/>
        <v>1</v>
      </c>
      <c r="P196" s="6" t="str">
        <f t="shared" si="46"/>
        <v>C007426-ct</v>
      </c>
      <c r="Q196" s="7" t="str">
        <f t="shared" si="47"/>
        <v>T045335
3</v>
      </c>
      <c r="R196" s="6" t="b">
        <f t="shared" si="48"/>
        <v>0</v>
      </c>
      <c r="S196" s="6" t="str">
        <f t="shared" si="49"/>
        <v>14</v>
      </c>
      <c r="T196" s="6" t="str">
        <f t="shared" si="50"/>
        <v>CT</v>
      </c>
      <c r="U196" s="6" t="str">
        <f t="shared" si="51"/>
        <v>ct</v>
      </c>
      <c r="V196" s="6">
        <f t="shared" si="52"/>
        <v>2</v>
      </c>
      <c r="W196" s="6" t="str">
        <f t="shared" si="53"/>
        <v>T045335 3</v>
      </c>
      <c r="X196" s="6" t="str">
        <f t="shared" si="54"/>
        <v>S55675</v>
      </c>
      <c r="Y196" s="6" t="str">
        <f t="shared" si="55"/>
        <v>T04</v>
      </c>
      <c r="Z196" s="6" t="str">
        <f t="shared" si="56"/>
        <v>335</v>
      </c>
      <c r="AA196" s="6">
        <f t="shared" si="61"/>
        <v>2</v>
      </c>
      <c r="AB196" s="6">
        <f t="shared" si="57"/>
        <v>2</v>
      </c>
      <c r="AC196" s="6"/>
      <c r="AD196" s="23"/>
    </row>
    <row r="197" spans="1:30" ht="30" x14ac:dyDescent="0.25">
      <c r="A197" s="2" t="s">
        <v>240</v>
      </c>
      <c r="B197" s="2" t="s">
        <v>813</v>
      </c>
      <c r="C197" s="2" t="s">
        <v>814</v>
      </c>
      <c r="D197" s="2" t="s">
        <v>326</v>
      </c>
      <c r="E197" s="2" t="s">
        <v>815</v>
      </c>
      <c r="F197" s="2">
        <v>10</v>
      </c>
      <c r="G197" s="2" t="s">
        <v>35</v>
      </c>
      <c r="H197" s="2">
        <v>40</v>
      </c>
      <c r="I197" s="6">
        <f t="shared" si="58"/>
        <v>400</v>
      </c>
      <c r="J197" s="6">
        <f t="shared" si="62"/>
        <v>8</v>
      </c>
      <c r="K197" s="6">
        <f t="shared" si="63"/>
        <v>8</v>
      </c>
      <c r="L197" s="6">
        <f t="shared" si="59"/>
        <v>1336.75</v>
      </c>
      <c r="M197" s="6">
        <f t="shared" si="64"/>
        <v>76</v>
      </c>
      <c r="N197" s="6" t="b">
        <f t="shared" ref="N197:N260" si="65">AND(H197&gt;20,H197&lt;70)</f>
        <v>1</v>
      </c>
      <c r="O197" s="6" t="b">
        <f t="shared" si="60"/>
        <v>1</v>
      </c>
      <c r="P197" s="6" t="str">
        <f t="shared" ref="P197:P260" si="66">_xlfn.CONCAT(B197,"-",G197)</f>
        <v>C004033-cans</v>
      </c>
      <c r="Q197" s="7" t="str">
        <f t="shared" ref="Q197:Q260" si="67">_xlfn.CONCAT(C197,CHAR(10),F197)</f>
        <v>T068656
10</v>
      </c>
      <c r="R197" s="6" t="b">
        <f t="shared" ref="R197:R260" si="68">EXACT(D197,E197)</f>
        <v>0</v>
      </c>
      <c r="S197" s="6" t="str">
        <f t="shared" ref="S197:S260" si="69">MID(D197,4,2)</f>
        <v>05</v>
      </c>
      <c r="T197" s="6" t="str">
        <f t="shared" ref="T197:T260" si="70">UPPER(G197)</f>
        <v>CANS</v>
      </c>
      <c r="U197" s="6" t="str">
        <f t="shared" ref="U197:U260" si="71">LOWER(G197)</f>
        <v>cans</v>
      </c>
      <c r="V197" s="6">
        <f t="shared" ref="V197:V260" si="72">SEARCH("0",E197)</f>
        <v>2</v>
      </c>
      <c r="W197" s="6" t="str">
        <f t="shared" ref="W197:W260" si="73">_xlfn.TEXTJOIN(" ",TRUE,C197,F197)</f>
        <v>T068656 10</v>
      </c>
      <c r="X197" s="6" t="str">
        <f t="shared" ref="X197:X260" si="74">SUBSTITUTE(E197,"0","5")</f>
        <v>S55515</v>
      </c>
      <c r="Y197" s="6" t="str">
        <f t="shared" ref="Y197:Y260" si="75">LEFT(C197,3)</f>
        <v>T06</v>
      </c>
      <c r="Z197" s="6" t="str">
        <f t="shared" ref="Z197:Z260" si="76">RIGHT(C197,3)</f>
        <v>656</v>
      </c>
      <c r="AA197" s="6">
        <f t="shared" si="61"/>
        <v>2</v>
      </c>
      <c r="AB197" s="6">
        <f t="shared" ref="AB197:AB260" si="77">LEN(G197)</f>
        <v>4</v>
      </c>
      <c r="AC197" s="6"/>
      <c r="AD197" s="23"/>
    </row>
    <row r="198" spans="1:30" ht="30" x14ac:dyDescent="0.25">
      <c r="A198" s="2" t="s">
        <v>71</v>
      </c>
      <c r="B198" s="2" t="s">
        <v>816</v>
      </c>
      <c r="C198" s="2" t="s">
        <v>817</v>
      </c>
      <c r="D198" s="2" t="s">
        <v>807</v>
      </c>
      <c r="E198" s="2" t="s">
        <v>349</v>
      </c>
      <c r="F198" s="2">
        <v>4</v>
      </c>
      <c r="G198" s="2" t="s">
        <v>13</v>
      </c>
      <c r="H198" s="2">
        <v>21</v>
      </c>
      <c r="I198" s="6">
        <f t="shared" ref="I198:I261" si="78">$F198*H198</f>
        <v>84</v>
      </c>
      <c r="J198" s="6">
        <f t="shared" si="62"/>
        <v>263.5</v>
      </c>
      <c r="K198" s="6">
        <f t="shared" si="63"/>
        <v>260</v>
      </c>
      <c r="L198" s="6">
        <f t="shared" ref="L198:L261" si="79">SUMIF(G198:G610,G198,H198:H693)</f>
        <v>2232</v>
      </c>
      <c r="M198" s="6">
        <f t="shared" si="64"/>
        <v>113</v>
      </c>
      <c r="N198" s="6" t="b">
        <f t="shared" si="65"/>
        <v>1</v>
      </c>
      <c r="O198" s="6" t="b">
        <f t="shared" si="60"/>
        <v>1</v>
      </c>
      <c r="P198" s="6" t="str">
        <f t="shared" si="66"/>
        <v>C007308-ct</v>
      </c>
      <c r="Q198" s="7" t="str">
        <f t="shared" si="67"/>
        <v>T065074
4</v>
      </c>
      <c r="R198" s="6" t="b">
        <f t="shared" si="68"/>
        <v>0</v>
      </c>
      <c r="S198" s="6" t="str">
        <f t="shared" si="69"/>
        <v>25</v>
      </c>
      <c r="T198" s="6" t="str">
        <f t="shared" si="70"/>
        <v>CT</v>
      </c>
      <c r="U198" s="6" t="str">
        <f t="shared" si="71"/>
        <v>ct</v>
      </c>
      <c r="V198" s="6">
        <f t="shared" si="72"/>
        <v>2</v>
      </c>
      <c r="W198" s="6" t="str">
        <f t="shared" si="73"/>
        <v>T065074 4</v>
      </c>
      <c r="X198" s="6" t="str">
        <f t="shared" si="74"/>
        <v>S55362</v>
      </c>
      <c r="Y198" s="6" t="str">
        <f t="shared" si="75"/>
        <v>T06</v>
      </c>
      <c r="Z198" s="6" t="str">
        <f t="shared" si="76"/>
        <v>074</v>
      </c>
      <c r="AA198" s="6">
        <f t="shared" si="61"/>
        <v>2</v>
      </c>
      <c r="AB198" s="6">
        <f t="shared" si="77"/>
        <v>2</v>
      </c>
      <c r="AC198" s="6"/>
      <c r="AD198" s="23"/>
    </row>
    <row r="199" spans="1:30" ht="30" x14ac:dyDescent="0.25">
      <c r="A199" s="2" t="s">
        <v>523</v>
      </c>
      <c r="B199" s="2" t="s">
        <v>818</v>
      </c>
      <c r="C199" s="2" t="s">
        <v>819</v>
      </c>
      <c r="D199" s="2" t="s">
        <v>483</v>
      </c>
      <c r="E199" s="2" t="s">
        <v>820</v>
      </c>
      <c r="F199" s="2">
        <v>11</v>
      </c>
      <c r="G199" s="2" t="s">
        <v>35</v>
      </c>
      <c r="H199" s="2">
        <v>8</v>
      </c>
      <c r="I199" s="6">
        <f t="shared" si="78"/>
        <v>88</v>
      </c>
      <c r="J199" s="6">
        <f t="shared" si="62"/>
        <v>253</v>
      </c>
      <c r="K199" s="6">
        <f t="shared" si="63"/>
        <v>252</v>
      </c>
      <c r="L199" s="6">
        <f t="shared" si="79"/>
        <v>1296.75</v>
      </c>
      <c r="M199" s="6">
        <f t="shared" si="64"/>
        <v>75</v>
      </c>
      <c r="N199" s="6" t="b">
        <f t="shared" si="65"/>
        <v>0</v>
      </c>
      <c r="O199" s="6" t="b">
        <f t="shared" ref="O199:O262" si="80">OR(H199&gt;10,I199&lt;60)</f>
        <v>0</v>
      </c>
      <c r="P199" s="6" t="str">
        <f t="shared" si="66"/>
        <v>C008308-cans</v>
      </c>
      <c r="Q199" s="7" t="str">
        <f t="shared" si="67"/>
        <v>T027450
11</v>
      </c>
      <c r="R199" s="6" t="b">
        <f t="shared" si="68"/>
        <v>0</v>
      </c>
      <c r="S199" s="6" t="str">
        <f t="shared" si="69"/>
        <v>04</v>
      </c>
      <c r="T199" s="6" t="str">
        <f t="shared" si="70"/>
        <v>CANS</v>
      </c>
      <c r="U199" s="6" t="str">
        <f t="shared" si="71"/>
        <v>cans</v>
      </c>
      <c r="V199" s="6">
        <f t="shared" si="72"/>
        <v>2</v>
      </c>
      <c r="W199" s="6" t="str">
        <f t="shared" si="73"/>
        <v>T027450 11</v>
      </c>
      <c r="X199" s="6" t="str">
        <f t="shared" si="74"/>
        <v>S55214</v>
      </c>
      <c r="Y199" s="6" t="str">
        <f t="shared" si="75"/>
        <v>T02</v>
      </c>
      <c r="Z199" s="6" t="str">
        <f t="shared" si="76"/>
        <v>450</v>
      </c>
      <c r="AA199" s="6">
        <f t="shared" si="61"/>
        <v>2</v>
      </c>
      <c r="AB199" s="6">
        <f t="shared" si="77"/>
        <v>4</v>
      </c>
      <c r="AC199" s="6"/>
      <c r="AD199" s="23"/>
    </row>
    <row r="200" spans="1:30" ht="30" x14ac:dyDescent="0.25">
      <c r="A200" s="2" t="s">
        <v>288</v>
      </c>
      <c r="B200" s="2" t="s">
        <v>821</v>
      </c>
      <c r="C200" s="2" t="s">
        <v>822</v>
      </c>
      <c r="D200" s="2" t="s">
        <v>823</v>
      </c>
      <c r="E200" s="2" t="s">
        <v>824</v>
      </c>
      <c r="F200" s="2">
        <v>6</v>
      </c>
      <c r="G200" s="2" t="s">
        <v>60</v>
      </c>
      <c r="H200" s="2">
        <v>11</v>
      </c>
      <c r="I200" s="6">
        <f t="shared" si="78"/>
        <v>66</v>
      </c>
      <c r="J200" s="6">
        <f t="shared" si="62"/>
        <v>317</v>
      </c>
      <c r="K200" s="6">
        <f t="shared" si="63"/>
        <v>315</v>
      </c>
      <c r="L200" s="6">
        <f t="shared" si="79"/>
        <v>630.5</v>
      </c>
      <c r="M200" s="6">
        <f t="shared" si="64"/>
        <v>37</v>
      </c>
      <c r="N200" s="6" t="b">
        <f t="shared" si="65"/>
        <v>0</v>
      </c>
      <c r="O200" s="6" t="b">
        <f t="shared" si="80"/>
        <v>1</v>
      </c>
      <c r="P200" s="6" t="str">
        <f t="shared" si="66"/>
        <v>C000369-bottles</v>
      </c>
      <c r="Q200" s="7" t="str">
        <f t="shared" si="67"/>
        <v>T038151
6</v>
      </c>
      <c r="R200" s="6" t="b">
        <f t="shared" si="68"/>
        <v>0</v>
      </c>
      <c r="S200" s="6" t="str">
        <f t="shared" si="69"/>
        <v>09</v>
      </c>
      <c r="T200" s="6" t="str">
        <f t="shared" si="70"/>
        <v>BOTTLES</v>
      </c>
      <c r="U200" s="6" t="str">
        <f t="shared" si="71"/>
        <v>bottles</v>
      </c>
      <c r="V200" s="6">
        <f t="shared" si="72"/>
        <v>2</v>
      </c>
      <c r="W200" s="6" t="str">
        <f t="shared" si="73"/>
        <v>T038151 6</v>
      </c>
      <c r="X200" s="6" t="str">
        <f t="shared" si="74"/>
        <v>S55148</v>
      </c>
      <c r="Y200" s="6" t="str">
        <f t="shared" si="75"/>
        <v>T03</v>
      </c>
      <c r="Z200" s="6" t="str">
        <f t="shared" si="76"/>
        <v>151</v>
      </c>
      <c r="AA200" s="6">
        <f t="shared" ref="AA200:AA263" si="81">FIND("0",A200)</f>
        <v>2</v>
      </c>
      <c r="AB200" s="6">
        <f t="shared" si="77"/>
        <v>7</v>
      </c>
      <c r="AC200" s="6"/>
      <c r="AD200" s="23"/>
    </row>
    <row r="201" spans="1:30" ht="30" x14ac:dyDescent="0.25">
      <c r="A201" s="2" t="s">
        <v>173</v>
      </c>
      <c r="B201" s="2" t="s">
        <v>825</v>
      </c>
      <c r="C201" s="2" t="s">
        <v>826</v>
      </c>
      <c r="D201" s="2" t="s">
        <v>574</v>
      </c>
      <c r="E201" s="2" t="s">
        <v>86</v>
      </c>
      <c r="F201" s="2">
        <v>6</v>
      </c>
      <c r="G201" s="2" t="s">
        <v>402</v>
      </c>
      <c r="H201" s="2">
        <v>20</v>
      </c>
      <c r="I201" s="6">
        <f t="shared" si="78"/>
        <v>120</v>
      </c>
      <c r="J201" s="6">
        <f t="shared" si="62"/>
        <v>169.5</v>
      </c>
      <c r="K201" s="6">
        <f t="shared" si="63"/>
        <v>162</v>
      </c>
      <c r="L201" s="6">
        <f t="shared" si="79"/>
        <v>141.5</v>
      </c>
      <c r="M201" s="6">
        <f t="shared" si="64"/>
        <v>7</v>
      </c>
      <c r="N201" s="6" t="b">
        <f t="shared" si="65"/>
        <v>0</v>
      </c>
      <c r="O201" s="6" t="b">
        <f t="shared" si="80"/>
        <v>1</v>
      </c>
      <c r="P201" s="6" t="str">
        <f t="shared" si="66"/>
        <v>C002064-pack</v>
      </c>
      <c r="Q201" s="7" t="str">
        <f t="shared" si="67"/>
        <v>T010382
6</v>
      </c>
      <c r="R201" s="6" t="b">
        <f t="shared" si="68"/>
        <v>0</v>
      </c>
      <c r="S201" s="6" t="str">
        <f t="shared" si="69"/>
        <v>25</v>
      </c>
      <c r="T201" s="6" t="str">
        <f t="shared" si="70"/>
        <v>PACK</v>
      </c>
      <c r="U201" s="6" t="str">
        <f t="shared" si="71"/>
        <v>pack</v>
      </c>
      <c r="V201" s="6">
        <f t="shared" si="72"/>
        <v>2</v>
      </c>
      <c r="W201" s="6" t="str">
        <f t="shared" si="73"/>
        <v>T010382 6</v>
      </c>
      <c r="X201" s="6" t="str">
        <f t="shared" si="74"/>
        <v>S55545</v>
      </c>
      <c r="Y201" s="6" t="str">
        <f t="shared" si="75"/>
        <v>T01</v>
      </c>
      <c r="Z201" s="6" t="str">
        <f t="shared" si="76"/>
        <v>382</v>
      </c>
      <c r="AA201" s="6">
        <f t="shared" si="81"/>
        <v>2</v>
      </c>
      <c r="AB201" s="6">
        <f t="shared" si="77"/>
        <v>4</v>
      </c>
      <c r="AC201" s="6"/>
      <c r="AD201" s="23"/>
    </row>
    <row r="202" spans="1:30" ht="30" x14ac:dyDescent="0.25">
      <c r="A202" s="2" t="s">
        <v>146</v>
      </c>
      <c r="B202" s="2" t="s">
        <v>827</v>
      </c>
      <c r="C202" s="2" t="s">
        <v>828</v>
      </c>
      <c r="D202" s="2" t="s">
        <v>829</v>
      </c>
      <c r="E202" s="2" t="s">
        <v>435</v>
      </c>
      <c r="F202" s="2">
        <v>9</v>
      </c>
      <c r="G202" s="2" t="s">
        <v>35</v>
      </c>
      <c r="H202" s="2">
        <v>16</v>
      </c>
      <c r="I202" s="6">
        <f t="shared" si="78"/>
        <v>144</v>
      </c>
      <c r="J202" s="6">
        <f t="shared" si="62"/>
        <v>118</v>
      </c>
      <c r="K202" s="6">
        <f t="shared" si="63"/>
        <v>115</v>
      </c>
      <c r="L202" s="6">
        <f t="shared" si="79"/>
        <v>1288.75</v>
      </c>
      <c r="M202" s="6">
        <f t="shared" si="64"/>
        <v>74</v>
      </c>
      <c r="N202" s="6" t="b">
        <f t="shared" si="65"/>
        <v>0</v>
      </c>
      <c r="O202" s="6" t="b">
        <f t="shared" si="80"/>
        <v>1</v>
      </c>
      <c r="P202" s="6" t="str">
        <f t="shared" si="66"/>
        <v>C007492-cans</v>
      </c>
      <c r="Q202" s="7" t="str">
        <f t="shared" si="67"/>
        <v>T037984
9</v>
      </c>
      <c r="R202" s="6" t="b">
        <f t="shared" si="68"/>
        <v>0</v>
      </c>
      <c r="S202" s="6" t="str">
        <f t="shared" si="69"/>
        <v>03</v>
      </c>
      <c r="T202" s="6" t="str">
        <f t="shared" si="70"/>
        <v>CANS</v>
      </c>
      <c r="U202" s="6" t="str">
        <f t="shared" si="71"/>
        <v>cans</v>
      </c>
      <c r="V202" s="6">
        <f t="shared" si="72"/>
        <v>2</v>
      </c>
      <c r="W202" s="6" t="str">
        <f t="shared" si="73"/>
        <v>T037984 9</v>
      </c>
      <c r="X202" s="6" t="str">
        <f t="shared" si="74"/>
        <v>S55685</v>
      </c>
      <c r="Y202" s="6" t="str">
        <f t="shared" si="75"/>
        <v>T03</v>
      </c>
      <c r="Z202" s="6" t="str">
        <f t="shared" si="76"/>
        <v>984</v>
      </c>
      <c r="AA202" s="6">
        <f t="shared" si="81"/>
        <v>2</v>
      </c>
      <c r="AB202" s="6">
        <f t="shared" si="77"/>
        <v>4</v>
      </c>
      <c r="AC202" s="6"/>
      <c r="AD202" s="23"/>
    </row>
    <row r="203" spans="1:30" ht="30" x14ac:dyDescent="0.25">
      <c r="A203" s="2" t="s">
        <v>519</v>
      </c>
      <c r="B203" s="2" t="s">
        <v>830</v>
      </c>
      <c r="C203" s="2" t="s">
        <v>831</v>
      </c>
      <c r="D203" s="2" t="s">
        <v>832</v>
      </c>
      <c r="E203" s="2" t="s">
        <v>833</v>
      </c>
      <c r="F203" s="2">
        <v>8</v>
      </c>
      <c r="G203" s="2" t="s">
        <v>13</v>
      </c>
      <c r="H203" s="2">
        <v>12</v>
      </c>
      <c r="I203" s="6">
        <f t="shared" si="78"/>
        <v>96</v>
      </c>
      <c r="J203" s="6">
        <f t="shared" si="62"/>
        <v>231.5</v>
      </c>
      <c r="K203" s="6">
        <f t="shared" si="63"/>
        <v>228</v>
      </c>
      <c r="L203" s="6">
        <f t="shared" si="79"/>
        <v>2211</v>
      </c>
      <c r="M203" s="6">
        <f t="shared" si="64"/>
        <v>112</v>
      </c>
      <c r="N203" s="6" t="b">
        <f t="shared" si="65"/>
        <v>0</v>
      </c>
      <c r="O203" s="6" t="b">
        <f t="shared" si="80"/>
        <v>1</v>
      </c>
      <c r="P203" s="6" t="str">
        <f t="shared" si="66"/>
        <v>C000758-ct</v>
      </c>
      <c r="Q203" s="7" t="str">
        <f t="shared" si="67"/>
        <v>T027289
8</v>
      </c>
      <c r="R203" s="6" t="b">
        <f t="shared" si="68"/>
        <v>0</v>
      </c>
      <c r="S203" s="6" t="str">
        <f t="shared" si="69"/>
        <v>23</v>
      </c>
      <c r="T203" s="6" t="str">
        <f t="shared" si="70"/>
        <v>CT</v>
      </c>
      <c r="U203" s="6" t="str">
        <f t="shared" si="71"/>
        <v>ct</v>
      </c>
      <c r="V203" s="6">
        <f t="shared" si="72"/>
        <v>2</v>
      </c>
      <c r="W203" s="6" t="str">
        <f t="shared" si="73"/>
        <v>T027289 8</v>
      </c>
      <c r="X203" s="6" t="str">
        <f t="shared" si="74"/>
        <v>S5552</v>
      </c>
      <c r="Y203" s="6" t="str">
        <f t="shared" si="75"/>
        <v>T02</v>
      </c>
      <c r="Z203" s="6" t="str">
        <f t="shared" si="76"/>
        <v>289</v>
      </c>
      <c r="AA203" s="6">
        <f t="shared" si="81"/>
        <v>2</v>
      </c>
      <c r="AB203" s="6">
        <f t="shared" si="77"/>
        <v>2</v>
      </c>
      <c r="AC203" s="6"/>
      <c r="AD203" s="23"/>
    </row>
    <row r="204" spans="1:30" ht="30" x14ac:dyDescent="0.25">
      <c r="A204" s="2" t="s">
        <v>209</v>
      </c>
      <c r="B204" s="2" t="s">
        <v>834</v>
      </c>
      <c r="C204" s="2" t="s">
        <v>835</v>
      </c>
      <c r="D204" s="2" t="s">
        <v>836</v>
      </c>
      <c r="E204" s="2" t="s">
        <v>837</v>
      </c>
      <c r="F204" s="2">
        <v>7</v>
      </c>
      <c r="G204" s="2" t="s">
        <v>35</v>
      </c>
      <c r="H204" s="2">
        <v>16.25</v>
      </c>
      <c r="I204" s="6">
        <f t="shared" si="78"/>
        <v>113.75</v>
      </c>
      <c r="J204" s="6">
        <f t="shared" ref="J204:J267" si="82">_xlfn.RANK.AVG(I204,$I$5:$I$500)</f>
        <v>184</v>
      </c>
      <c r="K204" s="6">
        <f t="shared" ref="K204:K267" si="83">_xlfn.RANK.EQ(I204,$I$5:$I$500)</f>
        <v>184</v>
      </c>
      <c r="L204" s="6">
        <f t="shared" si="79"/>
        <v>1272.75</v>
      </c>
      <c r="M204" s="6">
        <f t="shared" ref="M204:M267" si="84">COUNTIF(G204:G616,G204)</f>
        <v>73</v>
      </c>
      <c r="N204" s="6" t="b">
        <f t="shared" si="65"/>
        <v>0</v>
      </c>
      <c r="O204" s="6" t="b">
        <f t="shared" si="80"/>
        <v>1</v>
      </c>
      <c r="P204" s="6" t="str">
        <f t="shared" si="66"/>
        <v>C004895-cans</v>
      </c>
      <c r="Q204" s="7" t="str">
        <f t="shared" si="67"/>
        <v>T071088
7</v>
      </c>
      <c r="R204" s="6" t="b">
        <f t="shared" si="68"/>
        <v>0</v>
      </c>
      <c r="S204" s="6" t="str">
        <f t="shared" si="69"/>
        <v>00</v>
      </c>
      <c r="T204" s="6" t="str">
        <f t="shared" si="70"/>
        <v>CANS</v>
      </c>
      <c r="U204" s="6" t="str">
        <f t="shared" si="71"/>
        <v>cans</v>
      </c>
      <c r="V204" s="6">
        <f t="shared" si="72"/>
        <v>2</v>
      </c>
      <c r="W204" s="6" t="str">
        <f t="shared" si="73"/>
        <v>T071088 7</v>
      </c>
      <c r="X204" s="6" t="str">
        <f t="shared" si="74"/>
        <v>S55551</v>
      </c>
      <c r="Y204" s="6" t="str">
        <f t="shared" si="75"/>
        <v>T07</v>
      </c>
      <c r="Z204" s="6" t="str">
        <f t="shared" si="76"/>
        <v>088</v>
      </c>
      <c r="AA204" s="6">
        <f t="shared" si="81"/>
        <v>2</v>
      </c>
      <c r="AB204" s="6">
        <f t="shared" si="77"/>
        <v>4</v>
      </c>
      <c r="AC204" s="6"/>
      <c r="AD204" s="23"/>
    </row>
    <row r="205" spans="1:30" ht="30" x14ac:dyDescent="0.25">
      <c r="A205" s="2" t="s">
        <v>307</v>
      </c>
      <c r="B205" s="2" t="s">
        <v>838</v>
      </c>
      <c r="C205" s="2" t="s">
        <v>839</v>
      </c>
      <c r="D205" s="2" t="s">
        <v>840</v>
      </c>
      <c r="E205" s="2" t="s">
        <v>841</v>
      </c>
      <c r="F205" s="2">
        <v>9</v>
      </c>
      <c r="G205" s="2" t="s">
        <v>13</v>
      </c>
      <c r="H205" s="2">
        <v>14</v>
      </c>
      <c r="I205" s="6">
        <f t="shared" si="78"/>
        <v>126</v>
      </c>
      <c r="J205" s="6">
        <f t="shared" si="82"/>
        <v>157</v>
      </c>
      <c r="K205" s="6">
        <f t="shared" si="83"/>
        <v>154</v>
      </c>
      <c r="L205" s="6">
        <f t="shared" si="79"/>
        <v>2199</v>
      </c>
      <c r="M205" s="6">
        <f t="shared" si="84"/>
        <v>111</v>
      </c>
      <c r="N205" s="6" t="b">
        <f t="shared" si="65"/>
        <v>0</v>
      </c>
      <c r="O205" s="6" t="b">
        <f t="shared" si="80"/>
        <v>1</v>
      </c>
      <c r="P205" s="6" t="str">
        <f t="shared" si="66"/>
        <v>C006846-ct</v>
      </c>
      <c r="Q205" s="7" t="str">
        <f t="shared" si="67"/>
        <v>T00278
9</v>
      </c>
      <c r="R205" s="6" t="b">
        <f t="shared" si="68"/>
        <v>0</v>
      </c>
      <c r="S205" s="6" t="str">
        <f t="shared" si="69"/>
        <v>23</v>
      </c>
      <c r="T205" s="6" t="str">
        <f t="shared" si="70"/>
        <v>CT</v>
      </c>
      <c r="U205" s="6" t="str">
        <f t="shared" si="71"/>
        <v>ct</v>
      </c>
      <c r="V205" s="6">
        <f t="shared" si="72"/>
        <v>2</v>
      </c>
      <c r="W205" s="6" t="str">
        <f t="shared" si="73"/>
        <v>T00278 9</v>
      </c>
      <c r="X205" s="6" t="str">
        <f t="shared" si="74"/>
        <v>S55479</v>
      </c>
      <c r="Y205" s="6" t="str">
        <f t="shared" si="75"/>
        <v>T00</v>
      </c>
      <c r="Z205" s="6" t="str">
        <f t="shared" si="76"/>
        <v>278</v>
      </c>
      <c r="AA205" s="6">
        <f t="shared" si="81"/>
        <v>2</v>
      </c>
      <c r="AB205" s="6">
        <f t="shared" si="77"/>
        <v>2</v>
      </c>
      <c r="AC205" s="6"/>
      <c r="AD205" s="23"/>
    </row>
    <row r="206" spans="1:30" ht="30" x14ac:dyDescent="0.25">
      <c r="A206" s="2" t="s">
        <v>283</v>
      </c>
      <c r="B206" s="2" t="s">
        <v>842</v>
      </c>
      <c r="C206" s="2" t="s">
        <v>843</v>
      </c>
      <c r="D206" s="2" t="s">
        <v>844</v>
      </c>
      <c r="E206" s="2" t="s">
        <v>244</v>
      </c>
      <c r="F206" s="2">
        <v>6</v>
      </c>
      <c r="G206" s="2" t="s">
        <v>13</v>
      </c>
      <c r="H206" s="2">
        <v>11</v>
      </c>
      <c r="I206" s="6">
        <f t="shared" si="78"/>
        <v>66</v>
      </c>
      <c r="J206" s="6">
        <f t="shared" si="82"/>
        <v>317</v>
      </c>
      <c r="K206" s="6">
        <f t="shared" si="83"/>
        <v>315</v>
      </c>
      <c r="L206" s="6">
        <f t="shared" si="79"/>
        <v>2185</v>
      </c>
      <c r="M206" s="6">
        <f t="shared" si="84"/>
        <v>110</v>
      </c>
      <c r="N206" s="6" t="b">
        <f t="shared" si="65"/>
        <v>0</v>
      </c>
      <c r="O206" s="6" t="b">
        <f t="shared" si="80"/>
        <v>1</v>
      </c>
      <c r="P206" s="6" t="str">
        <f t="shared" si="66"/>
        <v>C007703-ct</v>
      </c>
      <c r="Q206" s="7" t="str">
        <f t="shared" si="67"/>
        <v>T028363
6</v>
      </c>
      <c r="R206" s="6" t="b">
        <f t="shared" si="68"/>
        <v>0</v>
      </c>
      <c r="S206" s="6" t="str">
        <f t="shared" si="69"/>
        <v>25</v>
      </c>
      <c r="T206" s="6" t="str">
        <f t="shared" si="70"/>
        <v>CT</v>
      </c>
      <c r="U206" s="6" t="str">
        <f t="shared" si="71"/>
        <v>ct</v>
      </c>
      <c r="V206" s="6">
        <f t="shared" si="72"/>
        <v>2</v>
      </c>
      <c r="W206" s="6" t="str">
        <f t="shared" si="73"/>
        <v>T028363 6</v>
      </c>
      <c r="X206" s="6" t="str">
        <f t="shared" si="74"/>
        <v>S55169</v>
      </c>
      <c r="Y206" s="6" t="str">
        <f t="shared" si="75"/>
        <v>T02</v>
      </c>
      <c r="Z206" s="6" t="str">
        <f t="shared" si="76"/>
        <v>363</v>
      </c>
      <c r="AA206" s="6">
        <f t="shared" si="81"/>
        <v>2</v>
      </c>
      <c r="AB206" s="6">
        <f t="shared" si="77"/>
        <v>2</v>
      </c>
      <c r="AC206" s="6"/>
      <c r="AD206" s="23"/>
    </row>
    <row r="207" spans="1:30" ht="30" x14ac:dyDescent="0.25">
      <c r="A207" s="2" t="s">
        <v>116</v>
      </c>
      <c r="B207" s="2" t="s">
        <v>229</v>
      </c>
      <c r="C207" s="2" t="s">
        <v>845</v>
      </c>
      <c r="D207" s="2" t="s">
        <v>846</v>
      </c>
      <c r="E207" s="2" t="s">
        <v>847</v>
      </c>
      <c r="F207" s="2">
        <v>8</v>
      </c>
      <c r="G207" s="2" t="s">
        <v>60</v>
      </c>
      <c r="H207" s="2">
        <v>23</v>
      </c>
      <c r="I207" s="6">
        <f t="shared" si="78"/>
        <v>184</v>
      </c>
      <c r="J207" s="6">
        <f t="shared" si="82"/>
        <v>57</v>
      </c>
      <c r="K207" s="6">
        <f t="shared" si="83"/>
        <v>57</v>
      </c>
      <c r="L207" s="6">
        <f t="shared" si="79"/>
        <v>619.5</v>
      </c>
      <c r="M207" s="6">
        <f t="shared" si="84"/>
        <v>36</v>
      </c>
      <c r="N207" s="6" t="b">
        <f t="shared" si="65"/>
        <v>1</v>
      </c>
      <c r="O207" s="6" t="b">
        <f t="shared" si="80"/>
        <v>1</v>
      </c>
      <c r="P207" s="6" t="str">
        <f t="shared" si="66"/>
        <v>C007584-bottles</v>
      </c>
      <c r="Q207" s="7" t="str">
        <f t="shared" si="67"/>
        <v>T043743
8</v>
      </c>
      <c r="R207" s="6" t="b">
        <f t="shared" si="68"/>
        <v>0</v>
      </c>
      <c r="S207" s="6" t="str">
        <f t="shared" si="69"/>
        <v>04</v>
      </c>
      <c r="T207" s="6" t="str">
        <f t="shared" si="70"/>
        <v>BOTTLES</v>
      </c>
      <c r="U207" s="6" t="str">
        <f t="shared" si="71"/>
        <v>bottles</v>
      </c>
      <c r="V207" s="6">
        <f t="shared" si="72"/>
        <v>2</v>
      </c>
      <c r="W207" s="6" t="str">
        <f t="shared" si="73"/>
        <v>T043743 8</v>
      </c>
      <c r="X207" s="6" t="str">
        <f t="shared" si="74"/>
        <v>S55283</v>
      </c>
      <c r="Y207" s="6" t="str">
        <f t="shared" si="75"/>
        <v>T04</v>
      </c>
      <c r="Z207" s="6" t="str">
        <f t="shared" si="76"/>
        <v>743</v>
      </c>
      <c r="AA207" s="6">
        <f t="shared" si="81"/>
        <v>2</v>
      </c>
      <c r="AB207" s="6">
        <f t="shared" si="77"/>
        <v>7</v>
      </c>
      <c r="AC207" s="6"/>
      <c r="AD207" s="23"/>
    </row>
    <row r="208" spans="1:30" ht="30" x14ac:dyDescent="0.25">
      <c r="A208" s="2" t="s">
        <v>459</v>
      </c>
      <c r="B208" s="2" t="s">
        <v>848</v>
      </c>
      <c r="C208" s="2" t="s">
        <v>849</v>
      </c>
      <c r="D208" s="2" t="s">
        <v>58</v>
      </c>
      <c r="E208" s="2" t="s">
        <v>764</v>
      </c>
      <c r="F208" s="2">
        <v>6</v>
      </c>
      <c r="G208" s="2" t="s">
        <v>60</v>
      </c>
      <c r="H208" s="2">
        <v>22</v>
      </c>
      <c r="I208" s="6">
        <f t="shared" si="78"/>
        <v>132</v>
      </c>
      <c r="J208" s="6">
        <f t="shared" si="82"/>
        <v>139.5</v>
      </c>
      <c r="K208" s="6">
        <f t="shared" si="83"/>
        <v>137</v>
      </c>
      <c r="L208" s="6">
        <f t="shared" si="79"/>
        <v>596.5</v>
      </c>
      <c r="M208" s="6">
        <f t="shared" si="84"/>
        <v>35</v>
      </c>
      <c r="N208" s="6" t="b">
        <f t="shared" si="65"/>
        <v>1</v>
      </c>
      <c r="O208" s="6" t="b">
        <f t="shared" si="80"/>
        <v>1</v>
      </c>
      <c r="P208" s="6" t="str">
        <f t="shared" si="66"/>
        <v>C001545-bottles</v>
      </c>
      <c r="Q208" s="7" t="str">
        <f t="shared" si="67"/>
        <v>T038381
6</v>
      </c>
      <c r="R208" s="6" t="b">
        <f t="shared" si="68"/>
        <v>0</v>
      </c>
      <c r="S208" s="6" t="str">
        <f t="shared" si="69"/>
        <v>05</v>
      </c>
      <c r="T208" s="6" t="str">
        <f t="shared" si="70"/>
        <v>BOTTLES</v>
      </c>
      <c r="U208" s="6" t="str">
        <f t="shared" si="71"/>
        <v>bottles</v>
      </c>
      <c r="V208" s="6">
        <f t="shared" si="72"/>
        <v>2</v>
      </c>
      <c r="W208" s="6" t="str">
        <f t="shared" si="73"/>
        <v>T038381 6</v>
      </c>
      <c r="X208" s="6" t="str">
        <f t="shared" si="74"/>
        <v>S5555</v>
      </c>
      <c r="Y208" s="6" t="str">
        <f t="shared" si="75"/>
        <v>T03</v>
      </c>
      <c r="Z208" s="6" t="str">
        <f t="shared" si="76"/>
        <v>381</v>
      </c>
      <c r="AA208" s="6">
        <f t="shared" si="81"/>
        <v>2</v>
      </c>
      <c r="AB208" s="6">
        <f t="shared" si="77"/>
        <v>7</v>
      </c>
      <c r="AC208" s="6"/>
      <c r="AD208" s="23"/>
    </row>
    <row r="209" spans="1:30" ht="30" x14ac:dyDescent="0.25">
      <c r="A209" s="2" t="s">
        <v>339</v>
      </c>
      <c r="B209" s="2" t="s">
        <v>850</v>
      </c>
      <c r="C209" s="2" t="s">
        <v>851</v>
      </c>
      <c r="D209" s="2" t="s">
        <v>757</v>
      </c>
      <c r="E209" s="2" t="s">
        <v>852</v>
      </c>
      <c r="F209" s="2">
        <v>5</v>
      </c>
      <c r="G209" s="2" t="s">
        <v>13</v>
      </c>
      <c r="H209" s="2">
        <v>19.5</v>
      </c>
      <c r="I209" s="6">
        <f t="shared" si="78"/>
        <v>97.5</v>
      </c>
      <c r="J209" s="6">
        <f t="shared" si="82"/>
        <v>225</v>
      </c>
      <c r="K209" s="6">
        <f t="shared" si="83"/>
        <v>223</v>
      </c>
      <c r="L209" s="6">
        <f t="shared" si="79"/>
        <v>2174</v>
      </c>
      <c r="M209" s="6">
        <f t="shared" si="84"/>
        <v>109</v>
      </c>
      <c r="N209" s="6" t="b">
        <f t="shared" si="65"/>
        <v>0</v>
      </c>
      <c r="O209" s="6" t="b">
        <f t="shared" si="80"/>
        <v>1</v>
      </c>
      <c r="P209" s="6" t="str">
        <f t="shared" si="66"/>
        <v>C006072-ct</v>
      </c>
      <c r="Q209" s="7" t="str">
        <f t="shared" si="67"/>
        <v>T085298
5</v>
      </c>
      <c r="R209" s="6" t="b">
        <f t="shared" si="68"/>
        <v>0</v>
      </c>
      <c r="S209" s="6" t="str">
        <f t="shared" si="69"/>
        <v>13</v>
      </c>
      <c r="T209" s="6" t="str">
        <f t="shared" si="70"/>
        <v>CT</v>
      </c>
      <c r="U209" s="6" t="str">
        <f t="shared" si="71"/>
        <v>ct</v>
      </c>
      <c r="V209" s="6">
        <f t="shared" si="72"/>
        <v>2</v>
      </c>
      <c r="W209" s="6" t="str">
        <f t="shared" si="73"/>
        <v>T085298 5</v>
      </c>
      <c r="X209" s="6" t="str">
        <f t="shared" si="74"/>
        <v>S55276</v>
      </c>
      <c r="Y209" s="6" t="str">
        <f t="shared" si="75"/>
        <v>T08</v>
      </c>
      <c r="Z209" s="6" t="str">
        <f t="shared" si="76"/>
        <v>298</v>
      </c>
      <c r="AA209" s="6">
        <f t="shared" si="81"/>
        <v>2</v>
      </c>
      <c r="AB209" s="6">
        <f t="shared" si="77"/>
        <v>2</v>
      </c>
      <c r="AC209" s="6"/>
      <c r="AD209" s="23"/>
    </row>
    <row r="210" spans="1:30" ht="30" x14ac:dyDescent="0.25">
      <c r="A210" s="2" t="s">
        <v>168</v>
      </c>
      <c r="B210" s="2" t="s">
        <v>853</v>
      </c>
      <c r="C210" s="2" t="s">
        <v>854</v>
      </c>
      <c r="D210" s="2" t="s">
        <v>855</v>
      </c>
      <c r="E210" s="2" t="s">
        <v>856</v>
      </c>
      <c r="F210" s="2">
        <v>8</v>
      </c>
      <c r="G210" s="2" t="s">
        <v>167</v>
      </c>
      <c r="H210" s="2">
        <v>22.5</v>
      </c>
      <c r="I210" s="6">
        <f t="shared" si="78"/>
        <v>180</v>
      </c>
      <c r="J210" s="6">
        <f t="shared" si="82"/>
        <v>61.5</v>
      </c>
      <c r="K210" s="6">
        <f t="shared" si="83"/>
        <v>60</v>
      </c>
      <c r="L210" s="6">
        <f t="shared" si="79"/>
        <v>290</v>
      </c>
      <c r="M210" s="6">
        <f t="shared" si="84"/>
        <v>18</v>
      </c>
      <c r="N210" s="6" t="b">
        <f t="shared" si="65"/>
        <v>1</v>
      </c>
      <c r="O210" s="6" t="b">
        <f t="shared" si="80"/>
        <v>1</v>
      </c>
      <c r="P210" s="6" t="str">
        <f t="shared" si="66"/>
        <v>C007037-oz</v>
      </c>
      <c r="Q210" s="7" t="str">
        <f t="shared" si="67"/>
        <v>T026396
8</v>
      </c>
      <c r="R210" s="6" t="b">
        <f t="shared" si="68"/>
        <v>0</v>
      </c>
      <c r="S210" s="6" t="str">
        <f t="shared" si="69"/>
        <v>11</v>
      </c>
      <c r="T210" s="6" t="str">
        <f t="shared" si="70"/>
        <v>OZ</v>
      </c>
      <c r="U210" s="6" t="str">
        <f t="shared" si="71"/>
        <v>oz</v>
      </c>
      <c r="V210" s="6">
        <f t="shared" si="72"/>
        <v>2</v>
      </c>
      <c r="W210" s="6" t="str">
        <f t="shared" si="73"/>
        <v>T026396 8</v>
      </c>
      <c r="X210" s="6" t="str">
        <f t="shared" si="74"/>
        <v>S55221</v>
      </c>
      <c r="Y210" s="6" t="str">
        <f t="shared" si="75"/>
        <v>T02</v>
      </c>
      <c r="Z210" s="6" t="str">
        <f t="shared" si="76"/>
        <v>396</v>
      </c>
      <c r="AA210" s="6">
        <f t="shared" si="81"/>
        <v>2</v>
      </c>
      <c r="AB210" s="6">
        <f t="shared" si="77"/>
        <v>2</v>
      </c>
      <c r="AC210" s="6"/>
      <c r="AD210" s="23"/>
    </row>
    <row r="211" spans="1:30" ht="30" x14ac:dyDescent="0.25">
      <c r="A211" s="2" t="s">
        <v>116</v>
      </c>
      <c r="B211" s="2" t="s">
        <v>857</v>
      </c>
      <c r="C211" s="2" t="s">
        <v>858</v>
      </c>
      <c r="D211" s="2" t="s">
        <v>859</v>
      </c>
      <c r="E211" s="2" t="s">
        <v>70</v>
      </c>
      <c r="F211" s="2">
        <v>10</v>
      </c>
      <c r="G211" s="2" t="s">
        <v>35</v>
      </c>
      <c r="H211" s="2">
        <v>16</v>
      </c>
      <c r="I211" s="6">
        <f t="shared" si="78"/>
        <v>160</v>
      </c>
      <c r="J211" s="6">
        <f t="shared" si="82"/>
        <v>90.5</v>
      </c>
      <c r="K211" s="6">
        <f t="shared" si="83"/>
        <v>84</v>
      </c>
      <c r="L211" s="6">
        <f t="shared" si="79"/>
        <v>1256.5</v>
      </c>
      <c r="M211" s="6">
        <f t="shared" si="84"/>
        <v>72</v>
      </c>
      <c r="N211" s="6" t="b">
        <f t="shared" si="65"/>
        <v>0</v>
      </c>
      <c r="O211" s="6" t="b">
        <f t="shared" si="80"/>
        <v>1</v>
      </c>
      <c r="P211" s="6" t="str">
        <f t="shared" si="66"/>
        <v>C005164-cans</v>
      </c>
      <c r="Q211" s="7" t="str">
        <f t="shared" si="67"/>
        <v>T082585
10</v>
      </c>
      <c r="R211" s="6" t="b">
        <f t="shared" si="68"/>
        <v>0</v>
      </c>
      <c r="S211" s="6" t="str">
        <f t="shared" si="69"/>
        <v>03</v>
      </c>
      <c r="T211" s="6" t="str">
        <f t="shared" si="70"/>
        <v>CANS</v>
      </c>
      <c r="U211" s="6" t="str">
        <f t="shared" si="71"/>
        <v>cans</v>
      </c>
      <c r="V211" s="6">
        <f t="shared" si="72"/>
        <v>2</v>
      </c>
      <c r="W211" s="6" t="str">
        <f t="shared" si="73"/>
        <v>T082585 10</v>
      </c>
      <c r="X211" s="6" t="str">
        <f t="shared" si="74"/>
        <v>S5515</v>
      </c>
      <c r="Y211" s="6" t="str">
        <f t="shared" si="75"/>
        <v>T08</v>
      </c>
      <c r="Z211" s="6" t="str">
        <f t="shared" si="76"/>
        <v>585</v>
      </c>
      <c r="AA211" s="6">
        <f t="shared" si="81"/>
        <v>2</v>
      </c>
      <c r="AB211" s="6">
        <f t="shared" si="77"/>
        <v>4</v>
      </c>
      <c r="AC211" s="6"/>
      <c r="AD211" s="23"/>
    </row>
    <row r="212" spans="1:30" ht="30" x14ac:dyDescent="0.25">
      <c r="A212" s="2" t="s">
        <v>116</v>
      </c>
      <c r="B212" s="2" t="s">
        <v>860</v>
      </c>
      <c r="C212" s="2" t="s">
        <v>861</v>
      </c>
      <c r="D212" s="2" t="s">
        <v>374</v>
      </c>
      <c r="E212" s="2" t="s">
        <v>355</v>
      </c>
      <c r="F212" s="2">
        <v>9</v>
      </c>
      <c r="G212" s="2" t="s">
        <v>60</v>
      </c>
      <c r="H212" s="2">
        <v>20</v>
      </c>
      <c r="I212" s="6">
        <f t="shared" si="78"/>
        <v>180</v>
      </c>
      <c r="J212" s="6">
        <f t="shared" si="82"/>
        <v>61.5</v>
      </c>
      <c r="K212" s="6">
        <f t="shared" si="83"/>
        <v>60</v>
      </c>
      <c r="L212" s="6">
        <f t="shared" si="79"/>
        <v>574.5</v>
      </c>
      <c r="M212" s="6">
        <f t="shared" si="84"/>
        <v>34</v>
      </c>
      <c r="N212" s="6" t="b">
        <f t="shared" si="65"/>
        <v>0</v>
      </c>
      <c r="O212" s="6" t="b">
        <f t="shared" si="80"/>
        <v>1</v>
      </c>
      <c r="P212" s="6" t="str">
        <f t="shared" si="66"/>
        <v>C001344-bottles</v>
      </c>
      <c r="Q212" s="7" t="str">
        <f t="shared" si="67"/>
        <v>T051293
9</v>
      </c>
      <c r="R212" s="6" t="b">
        <f t="shared" si="68"/>
        <v>0</v>
      </c>
      <c r="S212" s="6" t="str">
        <f t="shared" si="69"/>
        <v>07</v>
      </c>
      <c r="T212" s="6" t="str">
        <f t="shared" si="70"/>
        <v>BOTTLES</v>
      </c>
      <c r="U212" s="6" t="str">
        <f t="shared" si="71"/>
        <v>bottles</v>
      </c>
      <c r="V212" s="6">
        <f t="shared" si="72"/>
        <v>2</v>
      </c>
      <c r="W212" s="6" t="str">
        <f t="shared" si="73"/>
        <v>T051293 9</v>
      </c>
      <c r="X212" s="6" t="str">
        <f t="shared" si="74"/>
        <v>S55635</v>
      </c>
      <c r="Y212" s="6" t="str">
        <f t="shared" si="75"/>
        <v>T05</v>
      </c>
      <c r="Z212" s="6" t="str">
        <f t="shared" si="76"/>
        <v>293</v>
      </c>
      <c r="AA212" s="6">
        <f t="shared" si="81"/>
        <v>2</v>
      </c>
      <c r="AB212" s="6">
        <f t="shared" si="77"/>
        <v>7</v>
      </c>
      <c r="AC212" s="6"/>
      <c r="AD212" s="23"/>
    </row>
    <row r="213" spans="1:30" ht="30" x14ac:dyDescent="0.25">
      <c r="A213" s="2" t="s">
        <v>274</v>
      </c>
      <c r="B213" s="2" t="s">
        <v>862</v>
      </c>
      <c r="C213" s="2" t="s">
        <v>863</v>
      </c>
      <c r="D213" s="2" t="s">
        <v>797</v>
      </c>
      <c r="E213" s="2" t="s">
        <v>864</v>
      </c>
      <c r="F213" s="2">
        <v>3</v>
      </c>
      <c r="G213" s="2" t="s">
        <v>13</v>
      </c>
      <c r="H213" s="2">
        <v>14</v>
      </c>
      <c r="I213" s="6">
        <f t="shared" si="78"/>
        <v>42</v>
      </c>
      <c r="J213" s="6">
        <f t="shared" si="82"/>
        <v>404</v>
      </c>
      <c r="K213" s="6">
        <f t="shared" si="83"/>
        <v>400</v>
      </c>
      <c r="L213" s="6">
        <f t="shared" si="79"/>
        <v>2154.5</v>
      </c>
      <c r="M213" s="6">
        <f t="shared" si="84"/>
        <v>108</v>
      </c>
      <c r="N213" s="6" t="b">
        <f t="shared" si="65"/>
        <v>0</v>
      </c>
      <c r="O213" s="6" t="b">
        <f t="shared" si="80"/>
        <v>1</v>
      </c>
      <c r="P213" s="6" t="str">
        <f t="shared" si="66"/>
        <v>C004922-ct</v>
      </c>
      <c r="Q213" s="7" t="str">
        <f t="shared" si="67"/>
        <v>T064798
3</v>
      </c>
      <c r="R213" s="6" t="b">
        <f t="shared" si="68"/>
        <v>0</v>
      </c>
      <c r="S213" s="6" t="str">
        <f t="shared" si="69"/>
        <v>16</v>
      </c>
      <c r="T213" s="6" t="str">
        <f t="shared" si="70"/>
        <v>CT</v>
      </c>
      <c r="U213" s="6" t="str">
        <f t="shared" si="71"/>
        <v>ct</v>
      </c>
      <c r="V213" s="6">
        <f t="shared" si="72"/>
        <v>2</v>
      </c>
      <c r="W213" s="6" t="str">
        <f t="shared" si="73"/>
        <v>T064798 3</v>
      </c>
      <c r="X213" s="6" t="str">
        <f t="shared" si="74"/>
        <v>S55111</v>
      </c>
      <c r="Y213" s="6" t="str">
        <f t="shared" si="75"/>
        <v>T06</v>
      </c>
      <c r="Z213" s="6" t="str">
        <f t="shared" si="76"/>
        <v>798</v>
      </c>
      <c r="AA213" s="6">
        <f t="shared" si="81"/>
        <v>2</v>
      </c>
      <c r="AB213" s="6">
        <f t="shared" si="77"/>
        <v>2</v>
      </c>
      <c r="AC213" s="6"/>
      <c r="AD213" s="23"/>
    </row>
    <row r="214" spans="1:30" ht="30" x14ac:dyDescent="0.25">
      <c r="A214" s="2" t="s">
        <v>339</v>
      </c>
      <c r="B214" s="2" t="s">
        <v>865</v>
      </c>
      <c r="C214" s="2" t="s">
        <v>866</v>
      </c>
      <c r="D214" s="2" t="s">
        <v>449</v>
      </c>
      <c r="E214" s="2" t="s">
        <v>429</v>
      </c>
      <c r="F214" s="2">
        <v>2</v>
      </c>
      <c r="G214" s="2" t="s">
        <v>269</v>
      </c>
      <c r="H214" s="2">
        <v>13</v>
      </c>
      <c r="I214" s="6">
        <f t="shared" si="78"/>
        <v>26</v>
      </c>
      <c r="J214" s="6">
        <f t="shared" si="82"/>
        <v>448.5</v>
      </c>
      <c r="K214" s="6">
        <f t="shared" si="83"/>
        <v>447</v>
      </c>
      <c r="L214" s="6">
        <f t="shared" si="79"/>
        <v>176</v>
      </c>
      <c r="M214" s="6">
        <f t="shared" si="84"/>
        <v>13</v>
      </c>
      <c r="N214" s="6" t="b">
        <f t="shared" si="65"/>
        <v>0</v>
      </c>
      <c r="O214" s="6" t="b">
        <f t="shared" si="80"/>
        <v>1</v>
      </c>
      <c r="P214" s="6" t="str">
        <f t="shared" si="66"/>
        <v>C001275-ct.</v>
      </c>
      <c r="Q214" s="7" t="str">
        <f t="shared" si="67"/>
        <v>T032532
2</v>
      </c>
      <c r="R214" s="6" t="b">
        <f t="shared" si="68"/>
        <v>0</v>
      </c>
      <c r="S214" s="6" t="str">
        <f t="shared" si="69"/>
        <v>18</v>
      </c>
      <c r="T214" s="6" t="str">
        <f t="shared" si="70"/>
        <v>CT.</v>
      </c>
      <c r="U214" s="6" t="str">
        <f t="shared" si="71"/>
        <v>ct.</v>
      </c>
      <c r="V214" s="6">
        <f t="shared" si="72"/>
        <v>2</v>
      </c>
      <c r="W214" s="6" t="str">
        <f t="shared" si="73"/>
        <v>T032532 2</v>
      </c>
      <c r="X214" s="6" t="str">
        <f t="shared" si="74"/>
        <v>S55651</v>
      </c>
      <c r="Y214" s="6" t="str">
        <f t="shared" si="75"/>
        <v>T03</v>
      </c>
      <c r="Z214" s="6" t="str">
        <f t="shared" si="76"/>
        <v>532</v>
      </c>
      <c r="AA214" s="6">
        <f t="shared" si="81"/>
        <v>2</v>
      </c>
      <c r="AB214" s="6">
        <f t="shared" si="77"/>
        <v>3</v>
      </c>
      <c r="AC214" s="6"/>
      <c r="AD214" s="23"/>
    </row>
    <row r="215" spans="1:30" ht="30" x14ac:dyDescent="0.25">
      <c r="A215" s="2" t="s">
        <v>107</v>
      </c>
      <c r="B215" s="2" t="s">
        <v>867</v>
      </c>
      <c r="C215" s="2" t="s">
        <v>868</v>
      </c>
      <c r="D215" s="2" t="s">
        <v>385</v>
      </c>
      <c r="E215" s="2" t="s">
        <v>538</v>
      </c>
      <c r="F215" s="2">
        <v>4</v>
      </c>
      <c r="G215" s="2" t="s">
        <v>269</v>
      </c>
      <c r="H215" s="2">
        <v>14</v>
      </c>
      <c r="I215" s="6">
        <f t="shared" si="78"/>
        <v>56</v>
      </c>
      <c r="J215" s="6">
        <f t="shared" si="82"/>
        <v>360.5</v>
      </c>
      <c r="K215" s="6">
        <f t="shared" si="83"/>
        <v>357</v>
      </c>
      <c r="L215" s="6">
        <f t="shared" si="79"/>
        <v>163</v>
      </c>
      <c r="M215" s="6">
        <f t="shared" si="84"/>
        <v>12</v>
      </c>
      <c r="N215" s="6" t="b">
        <f t="shared" si="65"/>
        <v>0</v>
      </c>
      <c r="O215" s="6" t="b">
        <f t="shared" si="80"/>
        <v>1</v>
      </c>
      <c r="P215" s="6" t="str">
        <f t="shared" si="66"/>
        <v>C003776-ct.</v>
      </c>
      <c r="Q215" s="7" t="str">
        <f t="shared" si="67"/>
        <v>T082823
4</v>
      </c>
      <c r="R215" s="6" t="b">
        <f t="shared" si="68"/>
        <v>0</v>
      </c>
      <c r="S215" s="6" t="str">
        <f t="shared" si="69"/>
        <v>21</v>
      </c>
      <c r="T215" s="6" t="str">
        <f t="shared" si="70"/>
        <v>CT.</v>
      </c>
      <c r="U215" s="6" t="str">
        <f t="shared" si="71"/>
        <v>ct.</v>
      </c>
      <c r="V215" s="6">
        <f t="shared" si="72"/>
        <v>2</v>
      </c>
      <c r="W215" s="6" t="str">
        <f t="shared" si="73"/>
        <v>T082823 4</v>
      </c>
      <c r="X215" s="6" t="str">
        <f t="shared" si="74"/>
        <v>S55289</v>
      </c>
      <c r="Y215" s="6" t="str">
        <f t="shared" si="75"/>
        <v>T08</v>
      </c>
      <c r="Z215" s="6" t="str">
        <f t="shared" si="76"/>
        <v>823</v>
      </c>
      <c r="AA215" s="6">
        <f t="shared" si="81"/>
        <v>2</v>
      </c>
      <c r="AB215" s="6">
        <f t="shared" si="77"/>
        <v>3</v>
      </c>
      <c r="AC215" s="6"/>
      <c r="AD215" s="23"/>
    </row>
    <row r="216" spans="1:30" ht="30" x14ac:dyDescent="0.25">
      <c r="A216" s="2" t="s">
        <v>162</v>
      </c>
      <c r="B216" s="2" t="s">
        <v>869</v>
      </c>
      <c r="C216" s="2" t="s">
        <v>870</v>
      </c>
      <c r="D216" s="2" t="s">
        <v>600</v>
      </c>
      <c r="E216" s="2" t="s">
        <v>871</v>
      </c>
      <c r="F216" s="2">
        <v>6</v>
      </c>
      <c r="G216" s="2" t="s">
        <v>35</v>
      </c>
      <c r="H216" s="2">
        <v>40</v>
      </c>
      <c r="I216" s="6">
        <f t="shared" si="78"/>
        <v>240</v>
      </c>
      <c r="J216" s="6">
        <f t="shared" si="82"/>
        <v>29</v>
      </c>
      <c r="K216" s="6">
        <f t="shared" si="83"/>
        <v>29</v>
      </c>
      <c r="L216" s="6">
        <f t="shared" si="79"/>
        <v>1240.5</v>
      </c>
      <c r="M216" s="6">
        <f t="shared" si="84"/>
        <v>71</v>
      </c>
      <c r="N216" s="6" t="b">
        <f t="shared" si="65"/>
        <v>1</v>
      </c>
      <c r="O216" s="6" t="b">
        <f t="shared" si="80"/>
        <v>1</v>
      </c>
      <c r="P216" s="6" t="str">
        <f t="shared" si="66"/>
        <v>C000793-cans</v>
      </c>
      <c r="Q216" s="7" t="str">
        <f t="shared" si="67"/>
        <v>T061423
6</v>
      </c>
      <c r="R216" s="6" t="b">
        <f t="shared" si="68"/>
        <v>0</v>
      </c>
      <c r="S216" s="6" t="str">
        <f t="shared" si="69"/>
        <v>06</v>
      </c>
      <c r="T216" s="6" t="str">
        <f t="shared" si="70"/>
        <v>CANS</v>
      </c>
      <c r="U216" s="6" t="str">
        <f t="shared" si="71"/>
        <v>cans</v>
      </c>
      <c r="V216" s="6">
        <f t="shared" si="72"/>
        <v>2</v>
      </c>
      <c r="W216" s="6" t="str">
        <f t="shared" si="73"/>
        <v>T061423 6</v>
      </c>
      <c r="X216" s="6" t="str">
        <f t="shared" si="74"/>
        <v>S55215</v>
      </c>
      <c r="Y216" s="6" t="str">
        <f t="shared" si="75"/>
        <v>T06</v>
      </c>
      <c r="Z216" s="6" t="str">
        <f t="shared" si="76"/>
        <v>423</v>
      </c>
      <c r="AA216" s="6">
        <f t="shared" si="81"/>
        <v>2</v>
      </c>
      <c r="AB216" s="6">
        <f t="shared" si="77"/>
        <v>4</v>
      </c>
      <c r="AC216" s="6"/>
      <c r="AD216" s="23"/>
    </row>
    <row r="217" spans="1:30" ht="30" x14ac:dyDescent="0.25">
      <c r="A217" s="2" t="s">
        <v>459</v>
      </c>
      <c r="B217" s="2" t="s">
        <v>872</v>
      </c>
      <c r="C217" s="2" t="s">
        <v>873</v>
      </c>
      <c r="D217" s="2" t="s">
        <v>526</v>
      </c>
      <c r="E217" s="2" t="s">
        <v>177</v>
      </c>
      <c r="F217" s="2">
        <v>1</v>
      </c>
      <c r="G217" s="2" t="s">
        <v>13</v>
      </c>
      <c r="H217" s="2">
        <v>13</v>
      </c>
      <c r="I217" s="6">
        <f t="shared" si="78"/>
        <v>13</v>
      </c>
      <c r="J217" s="6">
        <f t="shared" si="82"/>
        <v>486</v>
      </c>
      <c r="K217" s="6">
        <f t="shared" si="83"/>
        <v>485</v>
      </c>
      <c r="L217" s="6">
        <f t="shared" si="79"/>
        <v>2140.5</v>
      </c>
      <c r="M217" s="6">
        <f t="shared" si="84"/>
        <v>107</v>
      </c>
      <c r="N217" s="6" t="b">
        <f t="shared" si="65"/>
        <v>0</v>
      </c>
      <c r="O217" s="6" t="b">
        <f t="shared" si="80"/>
        <v>1</v>
      </c>
      <c r="P217" s="6" t="str">
        <f t="shared" si="66"/>
        <v>C007650-ct</v>
      </c>
      <c r="Q217" s="7" t="str">
        <f t="shared" si="67"/>
        <v>T036396
1</v>
      </c>
      <c r="R217" s="6" t="b">
        <f t="shared" si="68"/>
        <v>0</v>
      </c>
      <c r="S217" s="6" t="str">
        <f t="shared" si="69"/>
        <v>18</v>
      </c>
      <c r="T217" s="6" t="str">
        <f t="shared" si="70"/>
        <v>CT</v>
      </c>
      <c r="U217" s="6" t="str">
        <f t="shared" si="71"/>
        <v>ct</v>
      </c>
      <c r="V217" s="6">
        <f t="shared" si="72"/>
        <v>2</v>
      </c>
      <c r="W217" s="6" t="str">
        <f t="shared" si="73"/>
        <v>T036396 1</v>
      </c>
      <c r="X217" s="6" t="str">
        <f t="shared" si="74"/>
        <v>S5595</v>
      </c>
      <c r="Y217" s="6" t="str">
        <f t="shared" si="75"/>
        <v>T03</v>
      </c>
      <c r="Z217" s="6" t="str">
        <f t="shared" si="76"/>
        <v>396</v>
      </c>
      <c r="AA217" s="6">
        <f t="shared" si="81"/>
        <v>2</v>
      </c>
      <c r="AB217" s="6">
        <f t="shared" si="77"/>
        <v>2</v>
      </c>
      <c r="AC217" s="6"/>
      <c r="AD217" s="23"/>
    </row>
    <row r="218" spans="1:30" ht="30" x14ac:dyDescent="0.25">
      <c r="A218" s="2" t="s">
        <v>20</v>
      </c>
      <c r="B218" s="2" t="s">
        <v>874</v>
      </c>
      <c r="C218" s="2" t="s">
        <v>875</v>
      </c>
      <c r="D218" s="2" t="s">
        <v>797</v>
      </c>
      <c r="E218" s="2" t="s">
        <v>876</v>
      </c>
      <c r="F218" s="2">
        <v>4</v>
      </c>
      <c r="G218" s="2" t="s">
        <v>13</v>
      </c>
      <c r="H218" s="2">
        <v>14</v>
      </c>
      <c r="I218" s="6">
        <f t="shared" si="78"/>
        <v>56</v>
      </c>
      <c r="J218" s="6">
        <f t="shared" si="82"/>
        <v>360.5</v>
      </c>
      <c r="K218" s="6">
        <f t="shared" si="83"/>
        <v>357</v>
      </c>
      <c r="L218" s="6">
        <f t="shared" si="79"/>
        <v>2127.5</v>
      </c>
      <c r="M218" s="6">
        <f t="shared" si="84"/>
        <v>106</v>
      </c>
      <c r="N218" s="6" t="b">
        <f t="shared" si="65"/>
        <v>0</v>
      </c>
      <c r="O218" s="6" t="b">
        <f t="shared" si="80"/>
        <v>1</v>
      </c>
      <c r="P218" s="6" t="str">
        <f t="shared" si="66"/>
        <v>C001380-ct</v>
      </c>
      <c r="Q218" s="7" t="str">
        <f t="shared" si="67"/>
        <v>T022770
4</v>
      </c>
      <c r="R218" s="6" t="b">
        <f t="shared" si="68"/>
        <v>0</v>
      </c>
      <c r="S218" s="6" t="str">
        <f t="shared" si="69"/>
        <v>16</v>
      </c>
      <c r="T218" s="6" t="str">
        <f t="shared" si="70"/>
        <v>CT</v>
      </c>
      <c r="U218" s="6" t="str">
        <f t="shared" si="71"/>
        <v>ct</v>
      </c>
      <c r="V218" s="6">
        <f t="shared" si="72"/>
        <v>2</v>
      </c>
      <c r="W218" s="6" t="str">
        <f t="shared" si="73"/>
        <v>T022770 4</v>
      </c>
      <c r="X218" s="6" t="str">
        <f t="shared" si="74"/>
        <v>S55336</v>
      </c>
      <c r="Y218" s="6" t="str">
        <f t="shared" si="75"/>
        <v>T02</v>
      </c>
      <c r="Z218" s="6" t="str">
        <f t="shared" si="76"/>
        <v>770</v>
      </c>
      <c r="AA218" s="6">
        <f t="shared" si="81"/>
        <v>2</v>
      </c>
      <c r="AB218" s="6">
        <f t="shared" si="77"/>
        <v>2</v>
      </c>
      <c r="AC218" s="6"/>
      <c r="AD218" s="23"/>
    </row>
    <row r="219" spans="1:30" ht="30" x14ac:dyDescent="0.25">
      <c r="A219" s="2" t="s">
        <v>200</v>
      </c>
      <c r="B219" s="2" t="s">
        <v>877</v>
      </c>
      <c r="C219" s="2" t="s">
        <v>878</v>
      </c>
      <c r="D219" s="2" t="s">
        <v>607</v>
      </c>
      <c r="E219" s="2" t="s">
        <v>879</v>
      </c>
      <c r="F219" s="2">
        <v>10</v>
      </c>
      <c r="G219" s="2" t="s">
        <v>13</v>
      </c>
      <c r="H219" s="2">
        <v>25</v>
      </c>
      <c r="I219" s="6">
        <f t="shared" si="78"/>
        <v>250</v>
      </c>
      <c r="J219" s="6">
        <f t="shared" si="82"/>
        <v>27</v>
      </c>
      <c r="K219" s="6">
        <f t="shared" si="83"/>
        <v>27</v>
      </c>
      <c r="L219" s="6">
        <f t="shared" si="79"/>
        <v>2113.5</v>
      </c>
      <c r="M219" s="6">
        <f t="shared" si="84"/>
        <v>105</v>
      </c>
      <c r="N219" s="6" t="b">
        <f t="shared" si="65"/>
        <v>1</v>
      </c>
      <c r="O219" s="6" t="b">
        <f t="shared" si="80"/>
        <v>1</v>
      </c>
      <c r="P219" s="6" t="str">
        <f t="shared" si="66"/>
        <v>C007918-ct</v>
      </c>
      <c r="Q219" s="7" t="str">
        <f t="shared" si="67"/>
        <v>T089048
10</v>
      </c>
      <c r="R219" s="6" t="b">
        <f t="shared" si="68"/>
        <v>0</v>
      </c>
      <c r="S219" s="6" t="str">
        <f t="shared" si="69"/>
        <v>12</v>
      </c>
      <c r="T219" s="6" t="str">
        <f t="shared" si="70"/>
        <v>CT</v>
      </c>
      <c r="U219" s="6" t="str">
        <f t="shared" si="71"/>
        <v>ct</v>
      </c>
      <c r="V219" s="6">
        <f t="shared" si="72"/>
        <v>2</v>
      </c>
      <c r="W219" s="6" t="str">
        <f t="shared" si="73"/>
        <v>T089048 10</v>
      </c>
      <c r="X219" s="6" t="str">
        <f t="shared" si="74"/>
        <v>S55646</v>
      </c>
      <c r="Y219" s="6" t="str">
        <f t="shared" si="75"/>
        <v>T08</v>
      </c>
      <c r="Z219" s="6" t="str">
        <f t="shared" si="76"/>
        <v>048</v>
      </c>
      <c r="AA219" s="6">
        <f t="shared" si="81"/>
        <v>2</v>
      </c>
      <c r="AB219" s="6">
        <f t="shared" si="77"/>
        <v>2</v>
      </c>
      <c r="AC219" s="6"/>
      <c r="AD219" s="23"/>
    </row>
    <row r="220" spans="1:30" ht="30" x14ac:dyDescent="0.25">
      <c r="A220" s="2" t="s">
        <v>288</v>
      </c>
      <c r="B220" s="2" t="s">
        <v>880</v>
      </c>
      <c r="C220" s="2" t="s">
        <v>881</v>
      </c>
      <c r="D220" s="2" t="s">
        <v>259</v>
      </c>
      <c r="E220" s="2" t="s">
        <v>882</v>
      </c>
      <c r="F220" s="2">
        <v>7</v>
      </c>
      <c r="G220" s="2" t="s">
        <v>106</v>
      </c>
      <c r="H220" s="2">
        <v>17</v>
      </c>
      <c r="I220" s="6">
        <f t="shared" si="78"/>
        <v>119</v>
      </c>
      <c r="J220" s="6">
        <f t="shared" si="82"/>
        <v>179.5</v>
      </c>
      <c r="K220" s="6">
        <f t="shared" si="83"/>
        <v>178</v>
      </c>
      <c r="L220" s="6">
        <f t="shared" si="79"/>
        <v>317</v>
      </c>
      <c r="M220" s="6">
        <f t="shared" si="84"/>
        <v>19</v>
      </c>
      <c r="N220" s="6" t="b">
        <f t="shared" si="65"/>
        <v>0</v>
      </c>
      <c r="O220" s="6" t="b">
        <f t="shared" si="80"/>
        <v>1</v>
      </c>
      <c r="P220" s="6" t="str">
        <f t="shared" si="66"/>
        <v>C007540-bags</v>
      </c>
      <c r="Q220" s="7" t="str">
        <f t="shared" si="67"/>
        <v>T067515
7</v>
      </c>
      <c r="R220" s="6" t="b">
        <f t="shared" si="68"/>
        <v>0</v>
      </c>
      <c r="S220" s="6" t="str">
        <f t="shared" si="69"/>
        <v>15</v>
      </c>
      <c r="T220" s="6" t="str">
        <f t="shared" si="70"/>
        <v>BAGS</v>
      </c>
      <c r="U220" s="6" t="str">
        <f t="shared" si="71"/>
        <v>bags</v>
      </c>
      <c r="V220" s="6">
        <f t="shared" si="72"/>
        <v>2</v>
      </c>
      <c r="W220" s="6" t="str">
        <f t="shared" si="73"/>
        <v>T067515 7</v>
      </c>
      <c r="X220" s="6" t="str">
        <f t="shared" si="74"/>
        <v>S55259</v>
      </c>
      <c r="Y220" s="6" t="str">
        <f t="shared" si="75"/>
        <v>T06</v>
      </c>
      <c r="Z220" s="6" t="str">
        <f t="shared" si="76"/>
        <v>515</v>
      </c>
      <c r="AA220" s="6">
        <f t="shared" si="81"/>
        <v>2</v>
      </c>
      <c r="AB220" s="6">
        <f t="shared" si="77"/>
        <v>4</v>
      </c>
      <c r="AC220" s="6"/>
      <c r="AD220" s="23"/>
    </row>
    <row r="221" spans="1:30" ht="30" x14ac:dyDescent="0.25">
      <c r="A221" s="2" t="s">
        <v>71</v>
      </c>
      <c r="B221" s="2" t="s">
        <v>883</v>
      </c>
      <c r="C221" s="2" t="s">
        <v>884</v>
      </c>
      <c r="D221" s="2" t="s">
        <v>885</v>
      </c>
      <c r="E221" s="2" t="s">
        <v>886</v>
      </c>
      <c r="F221" s="2">
        <v>11</v>
      </c>
      <c r="G221" s="2" t="s">
        <v>407</v>
      </c>
      <c r="H221" s="2">
        <v>16</v>
      </c>
      <c r="I221" s="6">
        <f t="shared" si="78"/>
        <v>176</v>
      </c>
      <c r="J221" s="6">
        <f t="shared" si="82"/>
        <v>67</v>
      </c>
      <c r="K221" s="6">
        <f t="shared" si="83"/>
        <v>65</v>
      </c>
      <c r="L221" s="6">
        <f t="shared" si="79"/>
        <v>151.5</v>
      </c>
      <c r="M221" s="6">
        <f t="shared" si="84"/>
        <v>10</v>
      </c>
      <c r="N221" s="6" t="b">
        <f t="shared" si="65"/>
        <v>0</v>
      </c>
      <c r="O221" s="6" t="b">
        <f t="shared" si="80"/>
        <v>1</v>
      </c>
      <c r="P221" s="6" t="str">
        <f t="shared" si="66"/>
        <v>C002403-pk</v>
      </c>
      <c r="Q221" s="7" t="str">
        <f t="shared" si="67"/>
        <v>T035707
11</v>
      </c>
      <c r="R221" s="6" t="b">
        <f t="shared" si="68"/>
        <v>0</v>
      </c>
      <c r="S221" s="6" t="str">
        <f t="shared" si="69"/>
        <v>12</v>
      </c>
      <c r="T221" s="6" t="str">
        <f t="shared" si="70"/>
        <v>PK</v>
      </c>
      <c r="U221" s="6" t="str">
        <f t="shared" si="71"/>
        <v>pk</v>
      </c>
      <c r="V221" s="6">
        <f t="shared" si="72"/>
        <v>2</v>
      </c>
      <c r="W221" s="6" t="str">
        <f t="shared" si="73"/>
        <v>T035707 11</v>
      </c>
      <c r="X221" s="6" t="str">
        <f t="shared" si="74"/>
        <v>S5559</v>
      </c>
      <c r="Y221" s="6" t="str">
        <f t="shared" si="75"/>
        <v>T03</v>
      </c>
      <c r="Z221" s="6" t="str">
        <f t="shared" si="76"/>
        <v>707</v>
      </c>
      <c r="AA221" s="6">
        <f t="shared" si="81"/>
        <v>2</v>
      </c>
      <c r="AB221" s="6">
        <f t="shared" si="77"/>
        <v>2</v>
      </c>
      <c r="AC221" s="6"/>
      <c r="AD221" s="23"/>
    </row>
    <row r="222" spans="1:30" ht="30" x14ac:dyDescent="0.25">
      <c r="A222" s="2" t="s">
        <v>288</v>
      </c>
      <c r="B222" s="2" t="s">
        <v>887</v>
      </c>
      <c r="C222" s="2" t="s">
        <v>888</v>
      </c>
      <c r="D222" s="2" t="s">
        <v>574</v>
      </c>
      <c r="E222" s="2" t="s">
        <v>889</v>
      </c>
      <c r="F222" s="2">
        <v>4</v>
      </c>
      <c r="G222" s="2" t="s">
        <v>402</v>
      </c>
      <c r="H222" s="2">
        <v>20</v>
      </c>
      <c r="I222" s="6">
        <f t="shared" si="78"/>
        <v>80</v>
      </c>
      <c r="J222" s="6">
        <f t="shared" si="82"/>
        <v>275</v>
      </c>
      <c r="K222" s="6">
        <f t="shared" si="83"/>
        <v>272</v>
      </c>
      <c r="L222" s="6">
        <f t="shared" si="79"/>
        <v>121.5</v>
      </c>
      <c r="M222" s="6">
        <f t="shared" si="84"/>
        <v>6</v>
      </c>
      <c r="N222" s="6" t="b">
        <f t="shared" si="65"/>
        <v>0</v>
      </c>
      <c r="O222" s="6" t="b">
        <f t="shared" si="80"/>
        <v>1</v>
      </c>
      <c r="P222" s="6" t="str">
        <f t="shared" si="66"/>
        <v>C008334-pack</v>
      </c>
      <c r="Q222" s="7" t="str">
        <f t="shared" si="67"/>
        <v>T03819
4</v>
      </c>
      <c r="R222" s="6" t="b">
        <f t="shared" si="68"/>
        <v>0</v>
      </c>
      <c r="S222" s="6" t="str">
        <f t="shared" si="69"/>
        <v>25</v>
      </c>
      <c r="T222" s="6" t="str">
        <f t="shared" si="70"/>
        <v>PACK</v>
      </c>
      <c r="U222" s="6" t="str">
        <f t="shared" si="71"/>
        <v>pack</v>
      </c>
      <c r="V222" s="6">
        <f t="shared" si="72"/>
        <v>2</v>
      </c>
      <c r="W222" s="6" t="str">
        <f t="shared" si="73"/>
        <v>T03819 4</v>
      </c>
      <c r="X222" s="6" t="str">
        <f t="shared" si="74"/>
        <v>S55721</v>
      </c>
      <c r="Y222" s="6" t="str">
        <f t="shared" si="75"/>
        <v>T03</v>
      </c>
      <c r="Z222" s="6" t="str">
        <f t="shared" si="76"/>
        <v>819</v>
      </c>
      <c r="AA222" s="6">
        <f t="shared" si="81"/>
        <v>2</v>
      </c>
      <c r="AB222" s="6">
        <f t="shared" si="77"/>
        <v>4</v>
      </c>
      <c r="AC222" s="6"/>
      <c r="AD222" s="23"/>
    </row>
    <row r="223" spans="1:30" ht="30" x14ac:dyDescent="0.25">
      <c r="A223" s="2" t="s">
        <v>25</v>
      </c>
      <c r="B223" s="2" t="s">
        <v>265</v>
      </c>
      <c r="C223" s="2" t="s">
        <v>266</v>
      </c>
      <c r="D223" s="2" t="s">
        <v>267</v>
      </c>
      <c r="E223" s="2" t="s">
        <v>268</v>
      </c>
      <c r="F223" s="2">
        <v>10</v>
      </c>
      <c r="G223" s="2" t="s">
        <v>269</v>
      </c>
      <c r="H223" s="2">
        <v>13</v>
      </c>
      <c r="I223" s="6">
        <f t="shared" si="78"/>
        <v>130</v>
      </c>
      <c r="J223" s="6">
        <f t="shared" si="82"/>
        <v>145</v>
      </c>
      <c r="K223" s="6">
        <f t="shared" si="83"/>
        <v>143</v>
      </c>
      <c r="L223" s="6">
        <f t="shared" si="79"/>
        <v>149</v>
      </c>
      <c r="M223" s="6">
        <f t="shared" si="84"/>
        <v>11</v>
      </c>
      <c r="N223" s="6" t="b">
        <f t="shared" si="65"/>
        <v>0</v>
      </c>
      <c r="O223" s="6" t="b">
        <f t="shared" si="80"/>
        <v>1</v>
      </c>
      <c r="P223" s="6" t="str">
        <f t="shared" si="66"/>
        <v>C002273-ct.</v>
      </c>
      <c r="Q223" s="7" t="str">
        <f t="shared" si="67"/>
        <v>T084158
10</v>
      </c>
      <c r="R223" s="6" t="b">
        <f t="shared" si="68"/>
        <v>0</v>
      </c>
      <c r="S223" s="6" t="str">
        <f t="shared" si="69"/>
        <v>18</v>
      </c>
      <c r="T223" s="6" t="str">
        <f t="shared" si="70"/>
        <v>CT.</v>
      </c>
      <c r="U223" s="6" t="str">
        <f t="shared" si="71"/>
        <v>ct.</v>
      </c>
      <c r="V223" s="6">
        <f t="shared" si="72"/>
        <v>2</v>
      </c>
      <c r="W223" s="6" t="str">
        <f t="shared" si="73"/>
        <v>T084158 10</v>
      </c>
      <c r="X223" s="6" t="str">
        <f t="shared" si="74"/>
        <v>S55455</v>
      </c>
      <c r="Y223" s="6" t="str">
        <f t="shared" si="75"/>
        <v>T08</v>
      </c>
      <c r="Z223" s="6" t="str">
        <f t="shared" si="76"/>
        <v>158</v>
      </c>
      <c r="AA223" s="6">
        <f t="shared" si="81"/>
        <v>2</v>
      </c>
      <c r="AB223" s="6">
        <f t="shared" si="77"/>
        <v>3</v>
      </c>
      <c r="AC223" s="6"/>
      <c r="AD223" s="23"/>
    </row>
    <row r="224" spans="1:30" ht="30" x14ac:dyDescent="0.25">
      <c r="A224" s="2" t="s">
        <v>224</v>
      </c>
      <c r="B224" s="2" t="s">
        <v>270</v>
      </c>
      <c r="C224" s="2" t="s">
        <v>271</v>
      </c>
      <c r="D224" s="2" t="s">
        <v>272</v>
      </c>
      <c r="E224" s="2" t="s">
        <v>273</v>
      </c>
      <c r="F224" s="2">
        <v>5</v>
      </c>
      <c r="G224" s="2" t="s">
        <v>35</v>
      </c>
      <c r="H224" s="2">
        <v>6.75</v>
      </c>
      <c r="I224" s="6">
        <f t="shared" si="78"/>
        <v>33.75</v>
      </c>
      <c r="J224" s="6">
        <f t="shared" si="82"/>
        <v>426</v>
      </c>
      <c r="K224" s="6">
        <f t="shared" si="83"/>
        <v>424</v>
      </c>
      <c r="L224" s="6">
        <f t="shared" si="79"/>
        <v>1200.5</v>
      </c>
      <c r="M224" s="6">
        <f t="shared" si="84"/>
        <v>70</v>
      </c>
      <c r="N224" s="6" t="b">
        <f t="shared" si="65"/>
        <v>0</v>
      </c>
      <c r="O224" s="6" t="b">
        <f t="shared" si="80"/>
        <v>1</v>
      </c>
      <c r="P224" s="6" t="str">
        <f t="shared" si="66"/>
        <v>C003291-cans</v>
      </c>
      <c r="Q224" s="7" t="str">
        <f t="shared" si="67"/>
        <v>T079034
5</v>
      </c>
      <c r="R224" s="6" t="b">
        <f t="shared" si="68"/>
        <v>0</v>
      </c>
      <c r="S224" s="6" t="str">
        <f t="shared" si="69"/>
        <v>07</v>
      </c>
      <c r="T224" s="6" t="str">
        <f t="shared" si="70"/>
        <v>CANS</v>
      </c>
      <c r="U224" s="6" t="str">
        <f t="shared" si="71"/>
        <v>cans</v>
      </c>
      <c r="V224" s="6">
        <f t="shared" si="72"/>
        <v>2</v>
      </c>
      <c r="W224" s="6" t="str">
        <f t="shared" si="73"/>
        <v>T079034 5</v>
      </c>
      <c r="X224" s="6" t="str">
        <f t="shared" si="74"/>
        <v>S5574</v>
      </c>
      <c r="Y224" s="6" t="str">
        <f t="shared" si="75"/>
        <v>T07</v>
      </c>
      <c r="Z224" s="6" t="str">
        <f t="shared" si="76"/>
        <v>034</v>
      </c>
      <c r="AA224" s="6">
        <f t="shared" si="81"/>
        <v>2</v>
      </c>
      <c r="AB224" s="6">
        <f t="shared" si="77"/>
        <v>4</v>
      </c>
      <c r="AC224" s="6"/>
      <c r="AD224" s="23"/>
    </row>
    <row r="225" spans="1:30" ht="30" x14ac:dyDescent="0.25">
      <c r="A225" s="2" t="s">
        <v>274</v>
      </c>
      <c r="B225" s="2" t="s">
        <v>275</v>
      </c>
      <c r="C225" s="2" t="s">
        <v>276</v>
      </c>
      <c r="D225" s="2" t="s">
        <v>277</v>
      </c>
      <c r="E225" s="2" t="s">
        <v>278</v>
      </c>
      <c r="F225" s="2">
        <v>5</v>
      </c>
      <c r="G225" s="2" t="s">
        <v>13</v>
      </c>
      <c r="H225" s="2">
        <v>15</v>
      </c>
      <c r="I225" s="6">
        <f t="shared" si="78"/>
        <v>75</v>
      </c>
      <c r="J225" s="6">
        <f t="shared" si="82"/>
        <v>285</v>
      </c>
      <c r="K225" s="6">
        <f t="shared" si="83"/>
        <v>283</v>
      </c>
      <c r="L225" s="6">
        <f t="shared" si="79"/>
        <v>2088.5</v>
      </c>
      <c r="M225" s="6">
        <f t="shared" si="84"/>
        <v>104</v>
      </c>
      <c r="N225" s="6" t="b">
        <f t="shared" si="65"/>
        <v>0</v>
      </c>
      <c r="O225" s="6" t="b">
        <f t="shared" si="80"/>
        <v>1</v>
      </c>
      <c r="P225" s="6" t="str">
        <f t="shared" si="66"/>
        <v>C008759-ct</v>
      </c>
      <c r="Q225" s="7" t="str">
        <f t="shared" si="67"/>
        <v>T022074
5</v>
      </c>
      <c r="R225" s="6" t="b">
        <f t="shared" si="68"/>
        <v>0</v>
      </c>
      <c r="S225" s="6" t="str">
        <f t="shared" si="69"/>
        <v>12</v>
      </c>
      <c r="T225" s="6" t="str">
        <f t="shared" si="70"/>
        <v>CT</v>
      </c>
      <c r="U225" s="6" t="str">
        <f t="shared" si="71"/>
        <v>ct</v>
      </c>
      <c r="V225" s="6">
        <f t="shared" si="72"/>
        <v>2</v>
      </c>
      <c r="W225" s="6" t="str">
        <f t="shared" si="73"/>
        <v>T022074 5</v>
      </c>
      <c r="X225" s="6" t="str">
        <f t="shared" si="74"/>
        <v>S55559</v>
      </c>
      <c r="Y225" s="6" t="str">
        <f t="shared" si="75"/>
        <v>T02</v>
      </c>
      <c r="Z225" s="6" t="str">
        <f t="shared" si="76"/>
        <v>074</v>
      </c>
      <c r="AA225" s="6">
        <f t="shared" si="81"/>
        <v>2</v>
      </c>
      <c r="AB225" s="6">
        <f t="shared" si="77"/>
        <v>2</v>
      </c>
      <c r="AC225" s="6"/>
      <c r="AD225" s="23"/>
    </row>
    <row r="226" spans="1:30" ht="30" x14ac:dyDescent="0.25">
      <c r="A226" s="2" t="s">
        <v>240</v>
      </c>
      <c r="B226" s="2" t="s">
        <v>279</v>
      </c>
      <c r="C226" s="2" t="s">
        <v>280</v>
      </c>
      <c r="D226" s="2" t="s">
        <v>281</v>
      </c>
      <c r="E226" s="2" t="s">
        <v>282</v>
      </c>
      <c r="F226" s="2">
        <v>11</v>
      </c>
      <c r="G226" s="2" t="s">
        <v>13</v>
      </c>
      <c r="H226" s="2">
        <v>35</v>
      </c>
      <c r="I226" s="6">
        <f t="shared" si="78"/>
        <v>385</v>
      </c>
      <c r="J226" s="6">
        <f t="shared" si="82"/>
        <v>9.5</v>
      </c>
      <c r="K226" s="6">
        <f t="shared" si="83"/>
        <v>9</v>
      </c>
      <c r="L226" s="6">
        <f t="shared" si="79"/>
        <v>2073.5</v>
      </c>
      <c r="M226" s="6">
        <f t="shared" si="84"/>
        <v>103</v>
      </c>
      <c r="N226" s="6" t="b">
        <f t="shared" si="65"/>
        <v>1</v>
      </c>
      <c r="O226" s="6" t="b">
        <f t="shared" si="80"/>
        <v>1</v>
      </c>
      <c r="P226" s="6" t="str">
        <f t="shared" si="66"/>
        <v>C007688-ct</v>
      </c>
      <c r="Q226" s="7" t="str">
        <f t="shared" si="67"/>
        <v>T028134
11</v>
      </c>
      <c r="R226" s="6" t="b">
        <f t="shared" si="68"/>
        <v>0</v>
      </c>
      <c r="S226" s="6" t="str">
        <f t="shared" si="69"/>
        <v>18</v>
      </c>
      <c r="T226" s="6" t="str">
        <f t="shared" si="70"/>
        <v>CT</v>
      </c>
      <c r="U226" s="6" t="str">
        <f t="shared" si="71"/>
        <v>ct</v>
      </c>
      <c r="V226" s="6">
        <f t="shared" si="72"/>
        <v>2</v>
      </c>
      <c r="W226" s="6" t="str">
        <f t="shared" si="73"/>
        <v>T028134 11</v>
      </c>
      <c r="X226" s="6" t="str">
        <f t="shared" si="74"/>
        <v>S55194</v>
      </c>
      <c r="Y226" s="6" t="str">
        <f t="shared" si="75"/>
        <v>T02</v>
      </c>
      <c r="Z226" s="6" t="str">
        <f t="shared" si="76"/>
        <v>134</v>
      </c>
      <c r="AA226" s="6">
        <f t="shared" si="81"/>
        <v>2</v>
      </c>
      <c r="AB226" s="6">
        <f t="shared" si="77"/>
        <v>2</v>
      </c>
      <c r="AC226" s="6"/>
      <c r="AD226" s="23"/>
    </row>
    <row r="227" spans="1:30" ht="30" x14ac:dyDescent="0.25">
      <c r="A227" s="2" t="s">
        <v>283</v>
      </c>
      <c r="B227" s="2" t="s">
        <v>284</v>
      </c>
      <c r="C227" s="2" t="s">
        <v>285</v>
      </c>
      <c r="D227" s="2" t="s">
        <v>286</v>
      </c>
      <c r="E227" s="2" t="s">
        <v>287</v>
      </c>
      <c r="F227" s="2">
        <v>2</v>
      </c>
      <c r="G227" s="2" t="s">
        <v>106</v>
      </c>
      <c r="H227" s="2">
        <v>16</v>
      </c>
      <c r="I227" s="6">
        <f t="shared" si="78"/>
        <v>32</v>
      </c>
      <c r="J227" s="6">
        <f t="shared" si="82"/>
        <v>435</v>
      </c>
      <c r="K227" s="6">
        <f t="shared" si="83"/>
        <v>433</v>
      </c>
      <c r="L227" s="6">
        <f t="shared" si="79"/>
        <v>300</v>
      </c>
      <c r="M227" s="6">
        <f t="shared" si="84"/>
        <v>18</v>
      </c>
      <c r="N227" s="6" t="b">
        <f t="shared" si="65"/>
        <v>0</v>
      </c>
      <c r="O227" s="6" t="b">
        <f t="shared" si="80"/>
        <v>1</v>
      </c>
      <c r="P227" s="6" t="str">
        <f t="shared" si="66"/>
        <v>C001301-bags</v>
      </c>
      <c r="Q227" s="7" t="str">
        <f t="shared" si="67"/>
        <v>T033815
2</v>
      </c>
      <c r="R227" s="6" t="b">
        <f t="shared" si="68"/>
        <v>0</v>
      </c>
      <c r="S227" s="6" t="str">
        <f t="shared" si="69"/>
        <v>16</v>
      </c>
      <c r="T227" s="6" t="str">
        <f t="shared" si="70"/>
        <v>BAGS</v>
      </c>
      <c r="U227" s="6" t="str">
        <f t="shared" si="71"/>
        <v>bags</v>
      </c>
      <c r="V227" s="6">
        <f t="shared" si="72"/>
        <v>2</v>
      </c>
      <c r="W227" s="6" t="str">
        <f t="shared" si="73"/>
        <v>T033815 2</v>
      </c>
      <c r="X227" s="6" t="str">
        <f t="shared" si="74"/>
        <v>S55251</v>
      </c>
      <c r="Y227" s="6" t="str">
        <f t="shared" si="75"/>
        <v>T03</v>
      </c>
      <c r="Z227" s="6" t="str">
        <f t="shared" si="76"/>
        <v>815</v>
      </c>
      <c r="AA227" s="6">
        <f t="shared" si="81"/>
        <v>2</v>
      </c>
      <c r="AB227" s="6">
        <f t="shared" si="77"/>
        <v>4</v>
      </c>
      <c r="AC227" s="6"/>
      <c r="AD227" s="23"/>
    </row>
    <row r="228" spans="1:30" ht="30" x14ac:dyDescent="0.25">
      <c r="A228" s="2" t="s">
        <v>288</v>
      </c>
      <c r="B228" s="2" t="s">
        <v>289</v>
      </c>
      <c r="C228" s="2" t="s">
        <v>290</v>
      </c>
      <c r="D228" s="2" t="s">
        <v>144</v>
      </c>
      <c r="E228" s="2" t="s">
        <v>291</v>
      </c>
      <c r="F228" s="2">
        <v>8</v>
      </c>
      <c r="G228" s="2" t="s">
        <v>13</v>
      </c>
      <c r="H228" s="2">
        <v>42</v>
      </c>
      <c r="I228" s="6">
        <f t="shared" si="78"/>
        <v>336</v>
      </c>
      <c r="J228" s="6">
        <f t="shared" si="82"/>
        <v>14</v>
      </c>
      <c r="K228" s="6">
        <f t="shared" si="83"/>
        <v>14</v>
      </c>
      <c r="L228" s="6">
        <f t="shared" si="79"/>
        <v>2038.5</v>
      </c>
      <c r="M228" s="6">
        <f t="shared" si="84"/>
        <v>102</v>
      </c>
      <c r="N228" s="6" t="b">
        <f t="shared" si="65"/>
        <v>1</v>
      </c>
      <c r="O228" s="6" t="b">
        <f t="shared" si="80"/>
        <v>1</v>
      </c>
      <c r="P228" s="6" t="str">
        <f t="shared" si="66"/>
        <v>C004865-ct</v>
      </c>
      <c r="Q228" s="7" t="str">
        <f t="shared" si="67"/>
        <v>T044907
8</v>
      </c>
      <c r="R228" s="6" t="b">
        <f t="shared" si="68"/>
        <v>0</v>
      </c>
      <c r="S228" s="6" t="str">
        <f t="shared" si="69"/>
        <v>11</v>
      </c>
      <c r="T228" s="6" t="str">
        <f t="shared" si="70"/>
        <v>CT</v>
      </c>
      <c r="U228" s="6" t="str">
        <f t="shared" si="71"/>
        <v>ct</v>
      </c>
      <c r="V228" s="6">
        <f t="shared" si="72"/>
        <v>2</v>
      </c>
      <c r="W228" s="6" t="str">
        <f t="shared" si="73"/>
        <v>T044907 8</v>
      </c>
      <c r="X228" s="6" t="str">
        <f t="shared" si="74"/>
        <v>S55353</v>
      </c>
      <c r="Y228" s="6" t="str">
        <f t="shared" si="75"/>
        <v>T04</v>
      </c>
      <c r="Z228" s="6" t="str">
        <f t="shared" si="76"/>
        <v>907</v>
      </c>
      <c r="AA228" s="6">
        <f t="shared" si="81"/>
        <v>2</v>
      </c>
      <c r="AB228" s="6">
        <f t="shared" si="77"/>
        <v>2</v>
      </c>
      <c r="AC228" s="6"/>
      <c r="AD228" s="23"/>
    </row>
    <row r="229" spans="1:30" ht="30" x14ac:dyDescent="0.25">
      <c r="A229" s="2" t="s">
        <v>96</v>
      </c>
      <c r="B229" s="2" t="s">
        <v>292</v>
      </c>
      <c r="C229" s="2" t="s">
        <v>293</v>
      </c>
      <c r="D229" s="2" t="s">
        <v>294</v>
      </c>
      <c r="E229" s="2" t="s">
        <v>295</v>
      </c>
      <c r="F229" s="2">
        <v>2</v>
      </c>
      <c r="G229" s="2" t="s">
        <v>13</v>
      </c>
      <c r="H229" s="2">
        <v>12</v>
      </c>
      <c r="I229" s="6">
        <f t="shared" si="78"/>
        <v>24</v>
      </c>
      <c r="J229" s="6">
        <f t="shared" si="82"/>
        <v>453</v>
      </c>
      <c r="K229" s="6">
        <f t="shared" si="83"/>
        <v>451</v>
      </c>
      <c r="L229" s="6">
        <f t="shared" si="79"/>
        <v>1996.5</v>
      </c>
      <c r="M229" s="6">
        <f t="shared" si="84"/>
        <v>101</v>
      </c>
      <c r="N229" s="6" t="b">
        <f t="shared" si="65"/>
        <v>0</v>
      </c>
      <c r="O229" s="6" t="b">
        <f t="shared" si="80"/>
        <v>1</v>
      </c>
      <c r="P229" s="6" t="str">
        <f t="shared" si="66"/>
        <v>C000956-ct</v>
      </c>
      <c r="Q229" s="7" t="str">
        <f t="shared" si="67"/>
        <v>T072906
2</v>
      </c>
      <c r="R229" s="6" t="b">
        <f t="shared" si="68"/>
        <v>0</v>
      </c>
      <c r="S229" s="6" t="str">
        <f t="shared" si="69"/>
        <v>21</v>
      </c>
      <c r="T229" s="6" t="str">
        <f t="shared" si="70"/>
        <v>CT</v>
      </c>
      <c r="U229" s="6" t="str">
        <f t="shared" si="71"/>
        <v>ct</v>
      </c>
      <c r="V229" s="6">
        <f t="shared" si="72"/>
        <v>2</v>
      </c>
      <c r="W229" s="6" t="str">
        <f t="shared" si="73"/>
        <v>T072906 2</v>
      </c>
      <c r="X229" s="6" t="str">
        <f t="shared" si="74"/>
        <v>S55139</v>
      </c>
      <c r="Y229" s="6" t="str">
        <f t="shared" si="75"/>
        <v>T07</v>
      </c>
      <c r="Z229" s="6" t="str">
        <f t="shared" si="76"/>
        <v>906</v>
      </c>
      <c r="AA229" s="6">
        <f t="shared" si="81"/>
        <v>2</v>
      </c>
      <c r="AB229" s="6">
        <f t="shared" si="77"/>
        <v>2</v>
      </c>
      <c r="AC229" s="6"/>
      <c r="AD229" s="23"/>
    </row>
    <row r="230" spans="1:30" ht="30" x14ac:dyDescent="0.25">
      <c r="A230" s="2" t="s">
        <v>209</v>
      </c>
      <c r="B230" s="2" t="s">
        <v>296</v>
      </c>
      <c r="C230" s="2" t="s">
        <v>297</v>
      </c>
      <c r="D230" s="2" t="s">
        <v>23</v>
      </c>
      <c r="E230" s="2" t="s">
        <v>298</v>
      </c>
      <c r="F230" s="2">
        <v>7</v>
      </c>
      <c r="G230" s="2" t="s">
        <v>13</v>
      </c>
      <c r="H230" s="2">
        <v>12.5</v>
      </c>
      <c r="I230" s="6">
        <f t="shared" si="78"/>
        <v>87.5</v>
      </c>
      <c r="J230" s="6">
        <f t="shared" si="82"/>
        <v>255.5</v>
      </c>
      <c r="K230" s="6">
        <f t="shared" si="83"/>
        <v>255</v>
      </c>
      <c r="L230" s="6">
        <f t="shared" si="79"/>
        <v>1984.5</v>
      </c>
      <c r="M230" s="6">
        <f t="shared" si="84"/>
        <v>100</v>
      </c>
      <c r="N230" s="6" t="b">
        <f t="shared" si="65"/>
        <v>0</v>
      </c>
      <c r="O230" s="6" t="b">
        <f t="shared" si="80"/>
        <v>1</v>
      </c>
      <c r="P230" s="6" t="str">
        <f t="shared" si="66"/>
        <v>C003334-ct</v>
      </c>
      <c r="Q230" s="7" t="str">
        <f t="shared" si="67"/>
        <v>T02647
7</v>
      </c>
      <c r="R230" s="6" t="b">
        <f t="shared" si="68"/>
        <v>0</v>
      </c>
      <c r="S230" s="6" t="str">
        <f t="shared" si="69"/>
        <v>19</v>
      </c>
      <c r="T230" s="6" t="str">
        <f t="shared" si="70"/>
        <v>CT</v>
      </c>
      <c r="U230" s="6" t="str">
        <f t="shared" si="71"/>
        <v>ct</v>
      </c>
      <c r="V230" s="6">
        <f t="shared" si="72"/>
        <v>2</v>
      </c>
      <c r="W230" s="6" t="str">
        <f t="shared" si="73"/>
        <v>T02647 7</v>
      </c>
      <c r="X230" s="6" t="str">
        <f t="shared" si="74"/>
        <v>S55338</v>
      </c>
      <c r="Y230" s="6" t="str">
        <f t="shared" si="75"/>
        <v>T02</v>
      </c>
      <c r="Z230" s="6" t="str">
        <f t="shared" si="76"/>
        <v>647</v>
      </c>
      <c r="AA230" s="6">
        <f t="shared" si="81"/>
        <v>2</v>
      </c>
      <c r="AB230" s="6">
        <f t="shared" si="77"/>
        <v>2</v>
      </c>
      <c r="AC230" s="6"/>
      <c r="AD230" s="23"/>
    </row>
    <row r="231" spans="1:30" ht="30" x14ac:dyDescent="0.25">
      <c r="A231" s="2" t="s">
        <v>8</v>
      </c>
      <c r="B231" s="2" t="s">
        <v>299</v>
      </c>
      <c r="C231" s="2" t="s">
        <v>300</v>
      </c>
      <c r="D231" s="2" t="s">
        <v>301</v>
      </c>
      <c r="E231" s="2" t="s">
        <v>302</v>
      </c>
      <c r="F231" s="2">
        <v>7</v>
      </c>
      <c r="G231" s="2" t="s">
        <v>35</v>
      </c>
      <c r="H231" s="2">
        <v>55</v>
      </c>
      <c r="I231" s="6">
        <f t="shared" si="78"/>
        <v>385</v>
      </c>
      <c r="J231" s="6">
        <f t="shared" si="82"/>
        <v>9.5</v>
      </c>
      <c r="K231" s="6">
        <f t="shared" si="83"/>
        <v>9</v>
      </c>
      <c r="L231" s="6">
        <f t="shared" si="79"/>
        <v>1193.75</v>
      </c>
      <c r="M231" s="6">
        <f t="shared" si="84"/>
        <v>69</v>
      </c>
      <c r="N231" s="6" t="b">
        <f t="shared" si="65"/>
        <v>1</v>
      </c>
      <c r="O231" s="6" t="b">
        <f t="shared" si="80"/>
        <v>1</v>
      </c>
      <c r="P231" s="6" t="str">
        <f t="shared" si="66"/>
        <v>C007896-cans</v>
      </c>
      <c r="Q231" s="7" t="str">
        <f t="shared" si="67"/>
        <v>T077414
7</v>
      </c>
      <c r="R231" s="6" t="b">
        <f t="shared" si="68"/>
        <v>0</v>
      </c>
      <c r="S231" s="6" t="str">
        <f t="shared" si="69"/>
        <v>06</v>
      </c>
      <c r="T231" s="6" t="str">
        <f t="shared" si="70"/>
        <v>CANS</v>
      </c>
      <c r="U231" s="6" t="str">
        <f t="shared" si="71"/>
        <v>cans</v>
      </c>
      <c r="V231" s="6">
        <f t="shared" si="72"/>
        <v>2</v>
      </c>
      <c r="W231" s="6" t="str">
        <f t="shared" si="73"/>
        <v>T077414 7</v>
      </c>
      <c r="X231" s="6" t="str">
        <f t="shared" si="74"/>
        <v>S55617</v>
      </c>
      <c r="Y231" s="6" t="str">
        <f t="shared" si="75"/>
        <v>T07</v>
      </c>
      <c r="Z231" s="6" t="str">
        <f t="shared" si="76"/>
        <v>414</v>
      </c>
      <c r="AA231" s="6">
        <f t="shared" si="81"/>
        <v>2</v>
      </c>
      <c r="AB231" s="6">
        <f t="shared" si="77"/>
        <v>4</v>
      </c>
      <c r="AC231" s="6"/>
      <c r="AD231" s="23"/>
    </row>
    <row r="232" spans="1:30" ht="30" x14ac:dyDescent="0.25">
      <c r="A232" s="2" t="s">
        <v>107</v>
      </c>
      <c r="B232" s="2" t="s">
        <v>303</v>
      </c>
      <c r="C232" s="2" t="s">
        <v>304</v>
      </c>
      <c r="D232" s="2" t="s">
        <v>305</v>
      </c>
      <c r="E232" s="2" t="s">
        <v>306</v>
      </c>
      <c r="F232" s="2">
        <v>4</v>
      </c>
      <c r="G232" s="2" t="s">
        <v>35</v>
      </c>
      <c r="H232" s="2">
        <v>8</v>
      </c>
      <c r="I232" s="6">
        <f t="shared" si="78"/>
        <v>32</v>
      </c>
      <c r="J232" s="6">
        <f t="shared" si="82"/>
        <v>435</v>
      </c>
      <c r="K232" s="6">
        <f t="shared" si="83"/>
        <v>433</v>
      </c>
      <c r="L232" s="6">
        <f t="shared" si="79"/>
        <v>1138.75</v>
      </c>
      <c r="M232" s="6">
        <f t="shared" si="84"/>
        <v>68</v>
      </c>
      <c r="N232" s="6" t="b">
        <f t="shared" si="65"/>
        <v>0</v>
      </c>
      <c r="O232" s="6" t="b">
        <f t="shared" si="80"/>
        <v>1</v>
      </c>
      <c r="P232" s="6" t="str">
        <f t="shared" si="66"/>
        <v>C007055-cans</v>
      </c>
      <c r="Q232" s="7" t="str">
        <f t="shared" si="67"/>
        <v>T015735
4</v>
      </c>
      <c r="R232" s="6" t="b">
        <f t="shared" si="68"/>
        <v>0</v>
      </c>
      <c r="S232" s="6" t="str">
        <f t="shared" si="69"/>
        <v>04</v>
      </c>
      <c r="T232" s="6" t="str">
        <f t="shared" si="70"/>
        <v>CANS</v>
      </c>
      <c r="U232" s="6" t="str">
        <f t="shared" si="71"/>
        <v>cans</v>
      </c>
      <c r="V232" s="6">
        <f t="shared" si="72"/>
        <v>2</v>
      </c>
      <c r="W232" s="6" t="str">
        <f t="shared" si="73"/>
        <v>T015735 4</v>
      </c>
      <c r="X232" s="6" t="str">
        <f t="shared" si="74"/>
        <v>S55218</v>
      </c>
      <c r="Y232" s="6" t="str">
        <f t="shared" si="75"/>
        <v>T01</v>
      </c>
      <c r="Z232" s="6" t="str">
        <f t="shared" si="76"/>
        <v>735</v>
      </c>
      <c r="AA232" s="6">
        <f t="shared" si="81"/>
        <v>2</v>
      </c>
      <c r="AB232" s="6">
        <f t="shared" si="77"/>
        <v>4</v>
      </c>
      <c r="AC232" s="6"/>
      <c r="AD232" s="23"/>
    </row>
    <row r="233" spans="1:30" ht="30" x14ac:dyDescent="0.25">
      <c r="A233" s="2" t="s">
        <v>307</v>
      </c>
      <c r="B233" s="2" t="s">
        <v>308</v>
      </c>
      <c r="C233" s="2" t="s">
        <v>309</v>
      </c>
      <c r="D233" s="2" t="s">
        <v>310</v>
      </c>
      <c r="E233" s="2" t="s">
        <v>311</v>
      </c>
      <c r="F233" s="2">
        <v>8</v>
      </c>
      <c r="G233" s="2" t="s">
        <v>35</v>
      </c>
      <c r="H233" s="2">
        <v>40</v>
      </c>
      <c r="I233" s="6">
        <f t="shared" si="78"/>
        <v>320</v>
      </c>
      <c r="J233" s="6">
        <f t="shared" si="82"/>
        <v>16</v>
      </c>
      <c r="K233" s="6">
        <f t="shared" si="83"/>
        <v>15</v>
      </c>
      <c r="L233" s="6">
        <f t="shared" si="79"/>
        <v>1130.75</v>
      </c>
      <c r="M233" s="6">
        <f t="shared" si="84"/>
        <v>67</v>
      </c>
      <c r="N233" s="6" t="b">
        <f t="shared" si="65"/>
        <v>1</v>
      </c>
      <c r="O233" s="6" t="b">
        <f t="shared" si="80"/>
        <v>1</v>
      </c>
      <c r="P233" s="6" t="str">
        <f t="shared" si="66"/>
        <v>C001641-cans</v>
      </c>
      <c r="Q233" s="7" t="str">
        <f t="shared" si="67"/>
        <v>T010429
8</v>
      </c>
      <c r="R233" s="6" t="b">
        <f t="shared" si="68"/>
        <v>0</v>
      </c>
      <c r="S233" s="6" t="str">
        <f t="shared" si="69"/>
        <v>05</v>
      </c>
      <c r="T233" s="6" t="str">
        <f t="shared" si="70"/>
        <v>CANS</v>
      </c>
      <c r="U233" s="6" t="str">
        <f t="shared" si="71"/>
        <v>cans</v>
      </c>
      <c r="V233" s="6">
        <f t="shared" si="72"/>
        <v>2</v>
      </c>
      <c r="W233" s="6" t="str">
        <f t="shared" si="73"/>
        <v>T010429 8</v>
      </c>
      <c r="X233" s="6" t="str">
        <f t="shared" si="74"/>
        <v>S55167</v>
      </c>
      <c r="Y233" s="6" t="str">
        <f t="shared" si="75"/>
        <v>T01</v>
      </c>
      <c r="Z233" s="6" t="str">
        <f t="shared" si="76"/>
        <v>429</v>
      </c>
      <c r="AA233" s="6">
        <f t="shared" si="81"/>
        <v>2</v>
      </c>
      <c r="AB233" s="6">
        <f t="shared" si="77"/>
        <v>4</v>
      </c>
      <c r="AC233" s="6"/>
      <c r="AD233" s="23"/>
    </row>
    <row r="234" spans="1:30" ht="30" x14ac:dyDescent="0.25">
      <c r="A234" s="2" t="s">
        <v>91</v>
      </c>
      <c r="B234" s="2" t="s">
        <v>312</v>
      </c>
      <c r="C234" s="2" t="s">
        <v>313</v>
      </c>
      <c r="D234" s="2" t="s">
        <v>314</v>
      </c>
      <c r="E234" s="2" t="s">
        <v>315</v>
      </c>
      <c r="F234" s="2">
        <v>4</v>
      </c>
      <c r="G234" s="2" t="s">
        <v>13</v>
      </c>
      <c r="H234" s="2">
        <v>19</v>
      </c>
      <c r="I234" s="6">
        <f t="shared" si="78"/>
        <v>76</v>
      </c>
      <c r="J234" s="6">
        <f t="shared" si="82"/>
        <v>282</v>
      </c>
      <c r="K234" s="6">
        <f t="shared" si="83"/>
        <v>282</v>
      </c>
      <c r="L234" s="6">
        <f t="shared" si="79"/>
        <v>1972</v>
      </c>
      <c r="M234" s="6">
        <f t="shared" si="84"/>
        <v>99</v>
      </c>
      <c r="N234" s="6" t="b">
        <f t="shared" si="65"/>
        <v>0</v>
      </c>
      <c r="O234" s="6" t="b">
        <f t="shared" si="80"/>
        <v>1</v>
      </c>
      <c r="P234" s="6" t="str">
        <f t="shared" si="66"/>
        <v>C004228-ct</v>
      </c>
      <c r="Q234" s="7" t="str">
        <f t="shared" si="67"/>
        <v>T054067
4</v>
      </c>
      <c r="R234" s="6" t="b">
        <f t="shared" si="68"/>
        <v>0</v>
      </c>
      <c r="S234" s="6" t="str">
        <f t="shared" si="69"/>
        <v>17</v>
      </c>
      <c r="T234" s="6" t="str">
        <f t="shared" si="70"/>
        <v>CT</v>
      </c>
      <c r="U234" s="6" t="str">
        <f t="shared" si="71"/>
        <v>ct</v>
      </c>
      <c r="V234" s="6">
        <f t="shared" si="72"/>
        <v>2</v>
      </c>
      <c r="W234" s="6" t="str">
        <f t="shared" si="73"/>
        <v>T054067 4</v>
      </c>
      <c r="X234" s="6" t="str">
        <f t="shared" si="74"/>
        <v>S55265</v>
      </c>
      <c r="Y234" s="6" t="str">
        <f t="shared" si="75"/>
        <v>T05</v>
      </c>
      <c r="Z234" s="6" t="str">
        <f t="shared" si="76"/>
        <v>067</v>
      </c>
      <c r="AA234" s="6">
        <f t="shared" si="81"/>
        <v>2</v>
      </c>
      <c r="AB234" s="6">
        <f t="shared" si="77"/>
        <v>2</v>
      </c>
      <c r="AC234" s="6"/>
      <c r="AD234" s="23"/>
    </row>
    <row r="235" spans="1:30" ht="30" x14ac:dyDescent="0.25">
      <c r="A235" s="2" t="s">
        <v>137</v>
      </c>
      <c r="B235" s="2" t="s">
        <v>316</v>
      </c>
      <c r="C235" s="2" t="s">
        <v>317</v>
      </c>
      <c r="D235" s="2" t="s">
        <v>318</v>
      </c>
      <c r="E235" s="2" t="s">
        <v>319</v>
      </c>
      <c r="F235" s="2">
        <v>3</v>
      </c>
      <c r="G235" s="2" t="s">
        <v>60</v>
      </c>
      <c r="H235" s="2">
        <v>17</v>
      </c>
      <c r="I235" s="6">
        <f t="shared" si="78"/>
        <v>51</v>
      </c>
      <c r="J235" s="6">
        <f t="shared" si="82"/>
        <v>374</v>
      </c>
      <c r="K235" s="6">
        <f t="shared" si="83"/>
        <v>373</v>
      </c>
      <c r="L235" s="6">
        <f t="shared" si="79"/>
        <v>554.5</v>
      </c>
      <c r="M235" s="6">
        <f t="shared" si="84"/>
        <v>33</v>
      </c>
      <c r="N235" s="6" t="b">
        <f t="shared" si="65"/>
        <v>0</v>
      </c>
      <c r="O235" s="6" t="b">
        <f t="shared" si="80"/>
        <v>1</v>
      </c>
      <c r="P235" s="6" t="str">
        <f t="shared" si="66"/>
        <v>C003178-bottles</v>
      </c>
      <c r="Q235" s="7" t="str">
        <f t="shared" si="67"/>
        <v>T079891
3</v>
      </c>
      <c r="R235" s="6" t="b">
        <f t="shared" si="68"/>
        <v>0</v>
      </c>
      <c r="S235" s="6" t="str">
        <f t="shared" si="69"/>
        <v>08</v>
      </c>
      <c r="T235" s="6" t="str">
        <f t="shared" si="70"/>
        <v>BOTTLES</v>
      </c>
      <c r="U235" s="6" t="str">
        <f t="shared" si="71"/>
        <v>bottles</v>
      </c>
      <c r="V235" s="6">
        <f t="shared" si="72"/>
        <v>2</v>
      </c>
      <c r="W235" s="6" t="str">
        <f t="shared" si="73"/>
        <v>T079891 3</v>
      </c>
      <c r="X235" s="6" t="str">
        <f t="shared" si="74"/>
        <v>S55385</v>
      </c>
      <c r="Y235" s="6" t="str">
        <f t="shared" si="75"/>
        <v>T07</v>
      </c>
      <c r="Z235" s="6" t="str">
        <f t="shared" si="76"/>
        <v>891</v>
      </c>
      <c r="AA235" s="6">
        <f t="shared" si="81"/>
        <v>2</v>
      </c>
      <c r="AB235" s="6">
        <f t="shared" si="77"/>
        <v>7</v>
      </c>
      <c r="AC235" s="6"/>
      <c r="AD235" s="23"/>
    </row>
    <row r="236" spans="1:30" ht="30" x14ac:dyDescent="0.25">
      <c r="A236" s="2" t="s">
        <v>173</v>
      </c>
      <c r="B236" s="2" t="s">
        <v>320</v>
      </c>
      <c r="C236" s="2" t="s">
        <v>321</v>
      </c>
      <c r="D236" s="2" t="s">
        <v>322</v>
      </c>
      <c r="E236" s="2" t="s">
        <v>323</v>
      </c>
      <c r="F236" s="2">
        <v>5</v>
      </c>
      <c r="G236" s="2" t="s">
        <v>35</v>
      </c>
      <c r="H236" s="2">
        <v>8</v>
      </c>
      <c r="I236" s="6">
        <f t="shared" si="78"/>
        <v>40</v>
      </c>
      <c r="J236" s="6">
        <f t="shared" si="82"/>
        <v>412.5</v>
      </c>
      <c r="K236" s="6">
        <f t="shared" si="83"/>
        <v>411</v>
      </c>
      <c r="L236" s="6">
        <f t="shared" si="79"/>
        <v>1090.75</v>
      </c>
      <c r="M236" s="6">
        <f t="shared" si="84"/>
        <v>66</v>
      </c>
      <c r="N236" s="6" t="b">
        <f t="shared" si="65"/>
        <v>0</v>
      </c>
      <c r="O236" s="6" t="b">
        <f t="shared" si="80"/>
        <v>1</v>
      </c>
      <c r="P236" s="6" t="str">
        <f t="shared" si="66"/>
        <v>C000730-cans</v>
      </c>
      <c r="Q236" s="7" t="str">
        <f t="shared" si="67"/>
        <v>T02743
5</v>
      </c>
      <c r="R236" s="6" t="b">
        <f t="shared" si="68"/>
        <v>0</v>
      </c>
      <c r="S236" s="6" t="str">
        <f t="shared" si="69"/>
        <v>04</v>
      </c>
      <c r="T236" s="6" t="str">
        <f t="shared" si="70"/>
        <v>CANS</v>
      </c>
      <c r="U236" s="6" t="str">
        <f t="shared" si="71"/>
        <v>cans</v>
      </c>
      <c r="V236" s="6">
        <f t="shared" si="72"/>
        <v>2</v>
      </c>
      <c r="W236" s="6" t="str">
        <f t="shared" si="73"/>
        <v>T02743 5</v>
      </c>
      <c r="X236" s="6" t="str">
        <f t="shared" si="74"/>
        <v>S55152</v>
      </c>
      <c r="Y236" s="6" t="str">
        <f t="shared" si="75"/>
        <v>T02</v>
      </c>
      <c r="Z236" s="6" t="str">
        <f t="shared" si="76"/>
        <v>743</v>
      </c>
      <c r="AA236" s="6">
        <f t="shared" si="81"/>
        <v>2</v>
      </c>
      <c r="AB236" s="6">
        <f t="shared" si="77"/>
        <v>4</v>
      </c>
      <c r="AC236" s="6"/>
      <c r="AD236" s="23"/>
    </row>
    <row r="237" spans="1:30" ht="30" x14ac:dyDescent="0.25">
      <c r="A237" s="2" t="s">
        <v>146</v>
      </c>
      <c r="B237" s="2" t="s">
        <v>324</v>
      </c>
      <c r="C237" s="2" t="s">
        <v>325</v>
      </c>
      <c r="D237" s="2" t="s">
        <v>326</v>
      </c>
      <c r="E237" s="2" t="s">
        <v>327</v>
      </c>
      <c r="F237" s="2">
        <v>3</v>
      </c>
      <c r="G237" s="2" t="s">
        <v>35</v>
      </c>
      <c r="H237" s="2">
        <v>40</v>
      </c>
      <c r="I237" s="6">
        <f t="shared" si="78"/>
        <v>120</v>
      </c>
      <c r="J237" s="6">
        <f t="shared" si="82"/>
        <v>169.5</v>
      </c>
      <c r="K237" s="6">
        <f t="shared" si="83"/>
        <v>162</v>
      </c>
      <c r="L237" s="6">
        <f t="shared" si="79"/>
        <v>1082.75</v>
      </c>
      <c r="M237" s="6">
        <f t="shared" si="84"/>
        <v>65</v>
      </c>
      <c r="N237" s="6" t="b">
        <f t="shared" si="65"/>
        <v>1</v>
      </c>
      <c r="O237" s="6" t="b">
        <f t="shared" si="80"/>
        <v>1</v>
      </c>
      <c r="P237" s="6" t="str">
        <f t="shared" si="66"/>
        <v>C008065-cans</v>
      </c>
      <c r="Q237" s="7" t="str">
        <f t="shared" si="67"/>
        <v>T039330
3</v>
      </c>
      <c r="R237" s="6" t="b">
        <f t="shared" si="68"/>
        <v>0</v>
      </c>
      <c r="S237" s="6" t="str">
        <f t="shared" si="69"/>
        <v>05</v>
      </c>
      <c r="T237" s="6" t="str">
        <f t="shared" si="70"/>
        <v>CANS</v>
      </c>
      <c r="U237" s="6" t="str">
        <f t="shared" si="71"/>
        <v>cans</v>
      </c>
      <c r="V237" s="6">
        <f t="shared" si="72"/>
        <v>2</v>
      </c>
      <c r="W237" s="6" t="str">
        <f t="shared" si="73"/>
        <v>T039330 3</v>
      </c>
      <c r="X237" s="6" t="str">
        <f t="shared" si="74"/>
        <v>S55324</v>
      </c>
      <c r="Y237" s="6" t="str">
        <f t="shared" si="75"/>
        <v>T03</v>
      </c>
      <c r="Z237" s="6" t="str">
        <f t="shared" si="76"/>
        <v>330</v>
      </c>
      <c r="AA237" s="6">
        <f t="shared" si="81"/>
        <v>2</v>
      </c>
      <c r="AB237" s="6">
        <f t="shared" si="77"/>
        <v>4</v>
      </c>
      <c r="AC237" s="6"/>
      <c r="AD237" s="23"/>
    </row>
    <row r="238" spans="1:30" ht="30" x14ac:dyDescent="0.25">
      <c r="A238" s="2" t="s">
        <v>173</v>
      </c>
      <c r="B238" s="2" t="s">
        <v>328</v>
      </c>
      <c r="C238" s="2" t="s">
        <v>329</v>
      </c>
      <c r="D238" s="2" t="s">
        <v>330</v>
      </c>
      <c r="E238" s="2" t="s">
        <v>331</v>
      </c>
      <c r="F238" s="2">
        <v>10</v>
      </c>
      <c r="G238" s="2" t="s">
        <v>13</v>
      </c>
      <c r="H238" s="2">
        <v>17</v>
      </c>
      <c r="I238" s="6">
        <f t="shared" si="78"/>
        <v>170</v>
      </c>
      <c r="J238" s="6">
        <f t="shared" si="82"/>
        <v>74</v>
      </c>
      <c r="K238" s="6">
        <f t="shared" si="83"/>
        <v>72</v>
      </c>
      <c r="L238" s="6">
        <f t="shared" si="79"/>
        <v>1953</v>
      </c>
      <c r="M238" s="6">
        <f t="shared" si="84"/>
        <v>98</v>
      </c>
      <c r="N238" s="6" t="b">
        <f t="shared" si="65"/>
        <v>0</v>
      </c>
      <c r="O238" s="6" t="b">
        <f t="shared" si="80"/>
        <v>1</v>
      </c>
      <c r="P238" s="6" t="str">
        <f t="shared" si="66"/>
        <v>C004292-ct</v>
      </c>
      <c r="Q238" s="7" t="str">
        <f t="shared" si="67"/>
        <v>T020735
10</v>
      </c>
      <c r="R238" s="6" t="b">
        <f t="shared" si="68"/>
        <v>0</v>
      </c>
      <c r="S238" s="6" t="str">
        <f t="shared" si="69"/>
        <v>12</v>
      </c>
      <c r="T238" s="6" t="str">
        <f t="shared" si="70"/>
        <v>CT</v>
      </c>
      <c r="U238" s="6" t="str">
        <f t="shared" si="71"/>
        <v>ct</v>
      </c>
      <c r="V238" s="6">
        <f t="shared" si="72"/>
        <v>2</v>
      </c>
      <c r="W238" s="6" t="str">
        <f t="shared" si="73"/>
        <v>T020735 10</v>
      </c>
      <c r="X238" s="6" t="str">
        <f t="shared" si="74"/>
        <v>S55694</v>
      </c>
      <c r="Y238" s="6" t="str">
        <f t="shared" si="75"/>
        <v>T02</v>
      </c>
      <c r="Z238" s="6" t="str">
        <f t="shared" si="76"/>
        <v>735</v>
      </c>
      <c r="AA238" s="6">
        <f t="shared" si="81"/>
        <v>2</v>
      </c>
      <c r="AB238" s="6">
        <f t="shared" si="77"/>
        <v>2</v>
      </c>
      <c r="AC238" s="6"/>
      <c r="AD238" s="23"/>
    </row>
    <row r="239" spans="1:30" ht="30" x14ac:dyDescent="0.25">
      <c r="A239" s="2" t="s">
        <v>91</v>
      </c>
      <c r="B239" s="2" t="s">
        <v>332</v>
      </c>
      <c r="C239" s="2" t="s">
        <v>333</v>
      </c>
      <c r="D239" s="2" t="s">
        <v>198</v>
      </c>
      <c r="E239" s="2" t="s">
        <v>334</v>
      </c>
      <c r="F239" s="2">
        <v>3</v>
      </c>
      <c r="G239" s="2" t="s">
        <v>60</v>
      </c>
      <c r="H239" s="2">
        <v>20</v>
      </c>
      <c r="I239" s="6">
        <f t="shared" si="78"/>
        <v>60</v>
      </c>
      <c r="J239" s="6">
        <f t="shared" si="82"/>
        <v>344.5</v>
      </c>
      <c r="K239" s="6">
        <f t="shared" si="83"/>
        <v>337</v>
      </c>
      <c r="L239" s="6">
        <f t="shared" si="79"/>
        <v>537.5</v>
      </c>
      <c r="M239" s="6">
        <f t="shared" si="84"/>
        <v>32</v>
      </c>
      <c r="N239" s="6" t="b">
        <f t="shared" si="65"/>
        <v>0</v>
      </c>
      <c r="O239" s="6" t="b">
        <f t="shared" si="80"/>
        <v>1</v>
      </c>
      <c r="P239" s="6" t="str">
        <f t="shared" si="66"/>
        <v>C008389-bottles</v>
      </c>
      <c r="Q239" s="7" t="str">
        <f t="shared" si="67"/>
        <v>T069983
3</v>
      </c>
      <c r="R239" s="6" t="b">
        <f t="shared" si="68"/>
        <v>0</v>
      </c>
      <c r="S239" s="6" t="str">
        <f t="shared" si="69"/>
        <v>06</v>
      </c>
      <c r="T239" s="6" t="str">
        <f t="shared" si="70"/>
        <v>BOTTLES</v>
      </c>
      <c r="U239" s="6" t="str">
        <f t="shared" si="71"/>
        <v>bottles</v>
      </c>
      <c r="V239" s="6">
        <f t="shared" si="72"/>
        <v>2</v>
      </c>
      <c r="W239" s="6" t="str">
        <f t="shared" si="73"/>
        <v>T069983 3</v>
      </c>
      <c r="X239" s="6" t="str">
        <f t="shared" si="74"/>
        <v>S55555</v>
      </c>
      <c r="Y239" s="6" t="str">
        <f t="shared" si="75"/>
        <v>T06</v>
      </c>
      <c r="Z239" s="6" t="str">
        <f t="shared" si="76"/>
        <v>983</v>
      </c>
      <c r="AA239" s="6">
        <f t="shared" si="81"/>
        <v>2</v>
      </c>
      <c r="AB239" s="6">
        <f t="shared" si="77"/>
        <v>7</v>
      </c>
      <c r="AC239" s="6"/>
      <c r="AD239" s="23"/>
    </row>
    <row r="240" spans="1:30" ht="30" x14ac:dyDescent="0.25">
      <c r="A240" s="2" t="s">
        <v>274</v>
      </c>
      <c r="B240" s="2" t="s">
        <v>890</v>
      </c>
      <c r="C240" s="2" t="s">
        <v>891</v>
      </c>
      <c r="D240" s="2" t="s">
        <v>128</v>
      </c>
      <c r="E240" s="2" t="s">
        <v>892</v>
      </c>
      <c r="F240" s="2">
        <v>5</v>
      </c>
      <c r="G240" s="2" t="s">
        <v>106</v>
      </c>
      <c r="H240" s="2">
        <v>15</v>
      </c>
      <c r="I240" s="6">
        <f t="shared" si="78"/>
        <v>75</v>
      </c>
      <c r="J240" s="6">
        <f t="shared" si="82"/>
        <v>285</v>
      </c>
      <c r="K240" s="6">
        <f t="shared" si="83"/>
        <v>283</v>
      </c>
      <c r="L240" s="6">
        <f t="shared" si="79"/>
        <v>284</v>
      </c>
      <c r="M240" s="6">
        <f t="shared" si="84"/>
        <v>17</v>
      </c>
      <c r="N240" s="6" t="b">
        <f t="shared" si="65"/>
        <v>0</v>
      </c>
      <c r="O240" s="6" t="b">
        <f t="shared" si="80"/>
        <v>1</v>
      </c>
      <c r="P240" s="6" t="str">
        <f t="shared" si="66"/>
        <v>C004994-bags</v>
      </c>
      <c r="Q240" s="7" t="str">
        <f t="shared" si="67"/>
        <v>T077509
5</v>
      </c>
      <c r="R240" s="6" t="b">
        <f t="shared" si="68"/>
        <v>0</v>
      </c>
      <c r="S240" s="6" t="str">
        <f t="shared" si="69"/>
        <v>15</v>
      </c>
      <c r="T240" s="6" t="str">
        <f t="shared" si="70"/>
        <v>BAGS</v>
      </c>
      <c r="U240" s="6" t="str">
        <f t="shared" si="71"/>
        <v>bags</v>
      </c>
      <c r="V240" s="6">
        <f t="shared" si="72"/>
        <v>2</v>
      </c>
      <c r="W240" s="6" t="str">
        <f t="shared" si="73"/>
        <v>T077509 5</v>
      </c>
      <c r="X240" s="6" t="str">
        <f t="shared" si="74"/>
        <v>S55238</v>
      </c>
      <c r="Y240" s="6" t="str">
        <f t="shared" si="75"/>
        <v>T07</v>
      </c>
      <c r="Z240" s="6" t="str">
        <f t="shared" si="76"/>
        <v>509</v>
      </c>
      <c r="AA240" s="6">
        <f t="shared" si="81"/>
        <v>2</v>
      </c>
      <c r="AB240" s="6">
        <f t="shared" si="77"/>
        <v>4</v>
      </c>
      <c r="AC240" s="6"/>
      <c r="AD240" s="23"/>
    </row>
    <row r="241" spans="1:30" ht="30" x14ac:dyDescent="0.25">
      <c r="A241" s="2" t="s">
        <v>173</v>
      </c>
      <c r="B241" s="2" t="s">
        <v>893</v>
      </c>
      <c r="C241" s="2" t="s">
        <v>894</v>
      </c>
      <c r="D241" s="2" t="s">
        <v>895</v>
      </c>
      <c r="E241" s="2" t="s">
        <v>896</v>
      </c>
      <c r="F241" s="2">
        <v>10</v>
      </c>
      <c r="G241" s="2" t="s">
        <v>60</v>
      </c>
      <c r="H241" s="2">
        <v>9</v>
      </c>
      <c r="I241" s="6">
        <f t="shared" si="78"/>
        <v>90</v>
      </c>
      <c r="J241" s="6">
        <f t="shared" si="82"/>
        <v>245</v>
      </c>
      <c r="K241" s="6">
        <f t="shared" si="83"/>
        <v>239</v>
      </c>
      <c r="L241" s="6">
        <f t="shared" si="79"/>
        <v>517.5</v>
      </c>
      <c r="M241" s="6">
        <f t="shared" si="84"/>
        <v>31</v>
      </c>
      <c r="N241" s="6" t="b">
        <f t="shared" si="65"/>
        <v>0</v>
      </c>
      <c r="O241" s="6" t="b">
        <f t="shared" si="80"/>
        <v>0</v>
      </c>
      <c r="P241" s="6" t="str">
        <f t="shared" si="66"/>
        <v>C004062-bottles</v>
      </c>
      <c r="Q241" s="7" t="str">
        <f t="shared" si="67"/>
        <v>T051773
10</v>
      </c>
      <c r="R241" s="6" t="b">
        <f t="shared" si="68"/>
        <v>0</v>
      </c>
      <c r="S241" s="6" t="str">
        <f t="shared" si="69"/>
        <v>08</v>
      </c>
      <c r="T241" s="6" t="str">
        <f t="shared" si="70"/>
        <v>BOTTLES</v>
      </c>
      <c r="U241" s="6" t="str">
        <f t="shared" si="71"/>
        <v>bottles</v>
      </c>
      <c r="V241" s="6">
        <f t="shared" si="72"/>
        <v>2</v>
      </c>
      <c r="W241" s="6" t="str">
        <f t="shared" si="73"/>
        <v>T051773 10</v>
      </c>
      <c r="X241" s="6" t="str">
        <f t="shared" si="74"/>
        <v>S5584</v>
      </c>
      <c r="Y241" s="6" t="str">
        <f t="shared" si="75"/>
        <v>T05</v>
      </c>
      <c r="Z241" s="6" t="str">
        <f t="shared" si="76"/>
        <v>773</v>
      </c>
      <c r="AA241" s="6">
        <f t="shared" si="81"/>
        <v>2</v>
      </c>
      <c r="AB241" s="6">
        <f t="shared" si="77"/>
        <v>7</v>
      </c>
      <c r="AC241" s="6"/>
      <c r="AD241" s="23"/>
    </row>
    <row r="242" spans="1:30" ht="30" x14ac:dyDescent="0.25">
      <c r="A242" s="2" t="s">
        <v>307</v>
      </c>
      <c r="B242" s="2" t="s">
        <v>897</v>
      </c>
      <c r="C242" s="2" t="s">
        <v>898</v>
      </c>
      <c r="D242" s="2" t="s">
        <v>366</v>
      </c>
      <c r="E242" s="2" t="s">
        <v>899</v>
      </c>
      <c r="F242" s="2">
        <v>4</v>
      </c>
      <c r="G242" s="2" t="s">
        <v>60</v>
      </c>
      <c r="H242" s="2">
        <v>17.5</v>
      </c>
      <c r="I242" s="6">
        <f t="shared" si="78"/>
        <v>70</v>
      </c>
      <c r="J242" s="6">
        <f t="shared" si="82"/>
        <v>301.5</v>
      </c>
      <c r="K242" s="6">
        <f t="shared" si="83"/>
        <v>300</v>
      </c>
      <c r="L242" s="6">
        <f t="shared" si="79"/>
        <v>508.5</v>
      </c>
      <c r="M242" s="6">
        <f t="shared" si="84"/>
        <v>30</v>
      </c>
      <c r="N242" s="6" t="b">
        <f t="shared" si="65"/>
        <v>0</v>
      </c>
      <c r="O242" s="6" t="b">
        <f t="shared" si="80"/>
        <v>1</v>
      </c>
      <c r="P242" s="6" t="str">
        <f t="shared" si="66"/>
        <v>C008732-bottles</v>
      </c>
      <c r="Q242" s="7" t="str">
        <f t="shared" si="67"/>
        <v>T072207
4</v>
      </c>
      <c r="R242" s="6" t="b">
        <f t="shared" si="68"/>
        <v>0</v>
      </c>
      <c r="S242" s="6" t="str">
        <f t="shared" si="69"/>
        <v>07</v>
      </c>
      <c r="T242" s="6" t="str">
        <f t="shared" si="70"/>
        <v>BOTTLES</v>
      </c>
      <c r="U242" s="6" t="str">
        <f t="shared" si="71"/>
        <v>bottles</v>
      </c>
      <c r="V242" s="6">
        <f t="shared" si="72"/>
        <v>2</v>
      </c>
      <c r="W242" s="6" t="str">
        <f t="shared" si="73"/>
        <v>T072207 4</v>
      </c>
      <c r="X242" s="6" t="str">
        <f t="shared" si="74"/>
        <v>S55659</v>
      </c>
      <c r="Y242" s="6" t="str">
        <f t="shared" si="75"/>
        <v>T07</v>
      </c>
      <c r="Z242" s="6" t="str">
        <f t="shared" si="76"/>
        <v>207</v>
      </c>
      <c r="AA242" s="6">
        <f t="shared" si="81"/>
        <v>2</v>
      </c>
      <c r="AB242" s="6">
        <f t="shared" si="77"/>
        <v>7</v>
      </c>
      <c r="AC242" s="6"/>
      <c r="AD242" s="23"/>
    </row>
    <row r="243" spans="1:30" ht="30" x14ac:dyDescent="0.25">
      <c r="A243" s="2" t="s">
        <v>173</v>
      </c>
      <c r="B243" s="2" t="s">
        <v>900</v>
      </c>
      <c r="C243" s="2" t="s">
        <v>901</v>
      </c>
      <c r="D243" s="2" t="s">
        <v>902</v>
      </c>
      <c r="E243" s="2" t="s">
        <v>903</v>
      </c>
      <c r="F243" s="2">
        <v>10</v>
      </c>
      <c r="G243" s="2" t="s">
        <v>904</v>
      </c>
      <c r="H243" s="2">
        <v>23</v>
      </c>
      <c r="I243" s="6">
        <f t="shared" si="78"/>
        <v>230</v>
      </c>
      <c r="J243" s="6">
        <f t="shared" si="82"/>
        <v>32</v>
      </c>
      <c r="K243" s="6">
        <f t="shared" si="83"/>
        <v>32</v>
      </c>
      <c r="L243" s="6">
        <f t="shared" si="79"/>
        <v>84</v>
      </c>
      <c r="M243" s="6">
        <f t="shared" si="84"/>
        <v>4</v>
      </c>
      <c r="N243" s="6" t="b">
        <f t="shared" si="65"/>
        <v>1</v>
      </c>
      <c r="O243" s="6" t="b">
        <f t="shared" si="80"/>
        <v>1</v>
      </c>
      <c r="P243" s="6" t="str">
        <f t="shared" si="66"/>
        <v>C004010-bars</v>
      </c>
      <c r="Q243" s="7" t="str">
        <f t="shared" si="67"/>
        <v>T015895
10</v>
      </c>
      <c r="R243" s="6" t="b">
        <f t="shared" si="68"/>
        <v>0</v>
      </c>
      <c r="S243" s="6" t="str">
        <f t="shared" si="69"/>
        <v>19</v>
      </c>
      <c r="T243" s="6" t="str">
        <f t="shared" si="70"/>
        <v>BARS</v>
      </c>
      <c r="U243" s="6" t="str">
        <f t="shared" si="71"/>
        <v>bars</v>
      </c>
      <c r="V243" s="6">
        <f t="shared" si="72"/>
        <v>2</v>
      </c>
      <c r="W243" s="6" t="str">
        <f t="shared" si="73"/>
        <v>T015895 10</v>
      </c>
      <c r="X243" s="6" t="str">
        <f t="shared" si="74"/>
        <v>S55649</v>
      </c>
      <c r="Y243" s="6" t="str">
        <f t="shared" si="75"/>
        <v>T01</v>
      </c>
      <c r="Z243" s="6" t="str">
        <f t="shared" si="76"/>
        <v>895</v>
      </c>
      <c r="AA243" s="6">
        <f t="shared" si="81"/>
        <v>2</v>
      </c>
      <c r="AB243" s="6">
        <f t="shared" si="77"/>
        <v>4</v>
      </c>
      <c r="AC243" s="6"/>
      <c r="AD243" s="23"/>
    </row>
    <row r="244" spans="1:30" ht="30" x14ac:dyDescent="0.25">
      <c r="A244" s="2" t="s">
        <v>71</v>
      </c>
      <c r="B244" s="2" t="s">
        <v>905</v>
      </c>
      <c r="C244" s="2" t="s">
        <v>906</v>
      </c>
      <c r="D244" s="2" t="s">
        <v>393</v>
      </c>
      <c r="E244" s="2" t="s">
        <v>907</v>
      </c>
      <c r="F244" s="2">
        <v>2</v>
      </c>
      <c r="G244" s="2" t="s">
        <v>167</v>
      </c>
      <c r="H244" s="2">
        <v>15</v>
      </c>
      <c r="I244" s="6">
        <f t="shared" si="78"/>
        <v>30</v>
      </c>
      <c r="J244" s="6">
        <f t="shared" si="82"/>
        <v>440.5</v>
      </c>
      <c r="K244" s="6">
        <f t="shared" si="83"/>
        <v>439</v>
      </c>
      <c r="L244" s="6">
        <f t="shared" si="79"/>
        <v>267.5</v>
      </c>
      <c r="M244" s="6">
        <f t="shared" si="84"/>
        <v>17</v>
      </c>
      <c r="N244" s="6" t="b">
        <f t="shared" si="65"/>
        <v>0</v>
      </c>
      <c r="O244" s="6" t="b">
        <f t="shared" si="80"/>
        <v>1</v>
      </c>
      <c r="P244" s="6" t="str">
        <f t="shared" si="66"/>
        <v>C003404-oz</v>
      </c>
      <c r="Q244" s="7" t="str">
        <f t="shared" si="67"/>
        <v>T087793
2</v>
      </c>
      <c r="R244" s="6" t="b">
        <f t="shared" si="68"/>
        <v>0</v>
      </c>
      <c r="S244" s="6" t="str">
        <f t="shared" si="69"/>
        <v>24</v>
      </c>
      <c r="T244" s="6" t="str">
        <f t="shared" si="70"/>
        <v>OZ</v>
      </c>
      <c r="U244" s="6" t="str">
        <f t="shared" si="71"/>
        <v>oz</v>
      </c>
      <c r="V244" s="6">
        <f t="shared" si="72"/>
        <v>2</v>
      </c>
      <c r="W244" s="6" t="str">
        <f t="shared" si="73"/>
        <v>T087793 2</v>
      </c>
      <c r="X244" s="6" t="str">
        <f t="shared" si="74"/>
        <v>S5515</v>
      </c>
      <c r="Y244" s="6" t="str">
        <f t="shared" si="75"/>
        <v>T08</v>
      </c>
      <c r="Z244" s="6" t="str">
        <f t="shared" si="76"/>
        <v>793</v>
      </c>
      <c r="AA244" s="6">
        <f t="shared" si="81"/>
        <v>2</v>
      </c>
      <c r="AB244" s="6">
        <f t="shared" si="77"/>
        <v>2</v>
      </c>
      <c r="AC244" s="6"/>
      <c r="AD244" s="23"/>
    </row>
    <row r="245" spans="1:30" ht="30" x14ac:dyDescent="0.25">
      <c r="A245" s="2" t="s">
        <v>66</v>
      </c>
      <c r="B245" s="2" t="s">
        <v>908</v>
      </c>
      <c r="C245" s="2" t="s">
        <v>909</v>
      </c>
      <c r="D245" s="2" t="s">
        <v>314</v>
      </c>
      <c r="E245" s="2" t="s">
        <v>910</v>
      </c>
      <c r="F245" s="2">
        <v>3</v>
      </c>
      <c r="G245" s="2" t="s">
        <v>13</v>
      </c>
      <c r="H245" s="2">
        <v>19</v>
      </c>
      <c r="I245" s="6">
        <f t="shared" si="78"/>
        <v>57</v>
      </c>
      <c r="J245" s="6">
        <f t="shared" si="82"/>
        <v>355</v>
      </c>
      <c r="K245" s="6">
        <f t="shared" si="83"/>
        <v>354</v>
      </c>
      <c r="L245" s="6">
        <f t="shared" si="79"/>
        <v>1936</v>
      </c>
      <c r="M245" s="6">
        <f t="shared" si="84"/>
        <v>97</v>
      </c>
      <c r="N245" s="6" t="b">
        <f t="shared" si="65"/>
        <v>0</v>
      </c>
      <c r="O245" s="6" t="b">
        <f t="shared" si="80"/>
        <v>1</v>
      </c>
      <c r="P245" s="6" t="str">
        <f t="shared" si="66"/>
        <v>C008558-ct</v>
      </c>
      <c r="Q245" s="7" t="str">
        <f t="shared" si="67"/>
        <v>T024637
3</v>
      </c>
      <c r="R245" s="6" t="b">
        <f t="shared" si="68"/>
        <v>0</v>
      </c>
      <c r="S245" s="6" t="str">
        <f t="shared" si="69"/>
        <v>17</v>
      </c>
      <c r="T245" s="6" t="str">
        <f t="shared" si="70"/>
        <v>CT</v>
      </c>
      <c r="U245" s="6" t="str">
        <f t="shared" si="71"/>
        <v>ct</v>
      </c>
      <c r="V245" s="6">
        <f t="shared" si="72"/>
        <v>2</v>
      </c>
      <c r="W245" s="6" t="str">
        <f t="shared" si="73"/>
        <v>T024637 3</v>
      </c>
      <c r="X245" s="6" t="str">
        <f t="shared" si="74"/>
        <v>S55559</v>
      </c>
      <c r="Y245" s="6" t="str">
        <f t="shared" si="75"/>
        <v>T02</v>
      </c>
      <c r="Z245" s="6" t="str">
        <f t="shared" si="76"/>
        <v>637</v>
      </c>
      <c r="AA245" s="6">
        <f t="shared" si="81"/>
        <v>2</v>
      </c>
      <c r="AB245" s="6">
        <f t="shared" si="77"/>
        <v>2</v>
      </c>
      <c r="AC245" s="6"/>
      <c r="AD245" s="23"/>
    </row>
    <row r="246" spans="1:30" ht="30" x14ac:dyDescent="0.25">
      <c r="A246" s="2" t="s">
        <v>173</v>
      </c>
      <c r="B246" s="2" t="s">
        <v>911</v>
      </c>
      <c r="C246" s="2" t="s">
        <v>912</v>
      </c>
      <c r="D246" s="2" t="s">
        <v>913</v>
      </c>
      <c r="E246" s="2" t="s">
        <v>914</v>
      </c>
      <c r="F246" s="2">
        <v>1</v>
      </c>
      <c r="G246" s="2" t="s">
        <v>35</v>
      </c>
      <c r="H246" s="2">
        <v>6.75</v>
      </c>
      <c r="I246" s="6">
        <f t="shared" si="78"/>
        <v>6.75</v>
      </c>
      <c r="J246" s="6">
        <f t="shared" si="82"/>
        <v>494</v>
      </c>
      <c r="K246" s="6">
        <f t="shared" si="83"/>
        <v>493</v>
      </c>
      <c r="L246" s="6">
        <f t="shared" si="79"/>
        <v>1042.75</v>
      </c>
      <c r="M246" s="6">
        <f t="shared" si="84"/>
        <v>64</v>
      </c>
      <c r="N246" s="6" t="b">
        <f t="shared" si="65"/>
        <v>0</v>
      </c>
      <c r="O246" s="6" t="b">
        <f t="shared" si="80"/>
        <v>1</v>
      </c>
      <c r="P246" s="6" t="str">
        <f t="shared" si="66"/>
        <v>C004462-cans</v>
      </c>
      <c r="Q246" s="7" t="str">
        <f t="shared" si="67"/>
        <v>T07750
1</v>
      </c>
      <c r="R246" s="6" t="b">
        <f t="shared" si="68"/>
        <v>0</v>
      </c>
      <c r="S246" s="6" t="str">
        <f t="shared" si="69"/>
        <v>01</v>
      </c>
      <c r="T246" s="6" t="str">
        <f t="shared" si="70"/>
        <v>CANS</v>
      </c>
      <c r="U246" s="6" t="str">
        <f t="shared" si="71"/>
        <v>cans</v>
      </c>
      <c r="V246" s="6">
        <f t="shared" si="72"/>
        <v>2</v>
      </c>
      <c r="W246" s="6" t="str">
        <f t="shared" si="73"/>
        <v>T07750 1</v>
      </c>
      <c r="X246" s="6" t="str">
        <f t="shared" si="74"/>
        <v>S5563</v>
      </c>
      <c r="Y246" s="6" t="str">
        <f t="shared" si="75"/>
        <v>T07</v>
      </c>
      <c r="Z246" s="6" t="str">
        <f t="shared" si="76"/>
        <v>750</v>
      </c>
      <c r="AA246" s="6">
        <f t="shared" si="81"/>
        <v>2</v>
      </c>
      <c r="AB246" s="6">
        <f t="shared" si="77"/>
        <v>4</v>
      </c>
      <c r="AC246" s="6"/>
      <c r="AD246" s="23"/>
    </row>
    <row r="247" spans="1:30" ht="30" x14ac:dyDescent="0.25">
      <c r="A247" s="2" t="s">
        <v>96</v>
      </c>
      <c r="B247" s="2" t="s">
        <v>915</v>
      </c>
      <c r="C247" s="2" t="s">
        <v>916</v>
      </c>
      <c r="D247" s="2" t="s">
        <v>144</v>
      </c>
      <c r="E247" s="2" t="s">
        <v>917</v>
      </c>
      <c r="F247" s="2">
        <v>9</v>
      </c>
      <c r="G247" s="2" t="s">
        <v>13</v>
      </c>
      <c r="H247" s="2">
        <v>42</v>
      </c>
      <c r="I247" s="6">
        <f t="shared" si="78"/>
        <v>378</v>
      </c>
      <c r="J247" s="6">
        <f t="shared" si="82"/>
        <v>12</v>
      </c>
      <c r="K247" s="6">
        <f t="shared" si="83"/>
        <v>12</v>
      </c>
      <c r="L247" s="6">
        <f t="shared" si="79"/>
        <v>1917</v>
      </c>
      <c r="M247" s="6">
        <f t="shared" si="84"/>
        <v>96</v>
      </c>
      <c r="N247" s="6" t="b">
        <f t="shared" si="65"/>
        <v>1</v>
      </c>
      <c r="O247" s="6" t="b">
        <f t="shared" si="80"/>
        <v>1</v>
      </c>
      <c r="P247" s="6" t="str">
        <f t="shared" si="66"/>
        <v>C003760-ct</v>
      </c>
      <c r="Q247" s="7" t="str">
        <f t="shared" si="67"/>
        <v>T037494
9</v>
      </c>
      <c r="R247" s="6" t="b">
        <f t="shared" si="68"/>
        <v>0</v>
      </c>
      <c r="S247" s="6" t="str">
        <f t="shared" si="69"/>
        <v>11</v>
      </c>
      <c r="T247" s="6" t="str">
        <f t="shared" si="70"/>
        <v>CT</v>
      </c>
      <c r="U247" s="6" t="str">
        <f t="shared" si="71"/>
        <v>ct</v>
      </c>
      <c r="V247" s="6">
        <f t="shared" si="72"/>
        <v>2</v>
      </c>
      <c r="W247" s="6" t="str">
        <f t="shared" si="73"/>
        <v>T037494 9</v>
      </c>
      <c r="X247" s="6" t="str">
        <f t="shared" si="74"/>
        <v>S55126</v>
      </c>
      <c r="Y247" s="6" t="str">
        <f t="shared" si="75"/>
        <v>T03</v>
      </c>
      <c r="Z247" s="6" t="str">
        <f t="shared" si="76"/>
        <v>494</v>
      </c>
      <c r="AA247" s="6">
        <f t="shared" si="81"/>
        <v>2</v>
      </c>
      <c r="AB247" s="6">
        <f t="shared" si="77"/>
        <v>2</v>
      </c>
      <c r="AC247" s="6"/>
      <c r="AD247" s="23"/>
    </row>
    <row r="248" spans="1:30" ht="30" x14ac:dyDescent="0.25">
      <c r="A248" s="2" t="s">
        <v>96</v>
      </c>
      <c r="B248" s="2" t="s">
        <v>918</v>
      </c>
      <c r="C248" s="2" t="s">
        <v>919</v>
      </c>
      <c r="D248" s="2" t="s">
        <v>920</v>
      </c>
      <c r="E248" s="2" t="s">
        <v>921</v>
      </c>
      <c r="F248" s="2">
        <v>5</v>
      </c>
      <c r="G248" s="2" t="s">
        <v>904</v>
      </c>
      <c r="H248" s="2">
        <v>15</v>
      </c>
      <c r="I248" s="6">
        <f t="shared" si="78"/>
        <v>75</v>
      </c>
      <c r="J248" s="6">
        <f t="shared" si="82"/>
        <v>285</v>
      </c>
      <c r="K248" s="6">
        <f t="shared" si="83"/>
        <v>283</v>
      </c>
      <c r="L248" s="6">
        <f t="shared" si="79"/>
        <v>61</v>
      </c>
      <c r="M248" s="6">
        <f t="shared" si="84"/>
        <v>3</v>
      </c>
      <c r="N248" s="6" t="b">
        <f t="shared" si="65"/>
        <v>0</v>
      </c>
      <c r="O248" s="6" t="b">
        <f t="shared" si="80"/>
        <v>1</v>
      </c>
      <c r="P248" s="6" t="str">
        <f t="shared" si="66"/>
        <v>C002286-bars</v>
      </c>
      <c r="Q248" s="7" t="str">
        <f t="shared" si="67"/>
        <v>T038418
5</v>
      </c>
      <c r="R248" s="6" t="b">
        <f t="shared" si="68"/>
        <v>0</v>
      </c>
      <c r="S248" s="6" t="str">
        <f t="shared" si="69"/>
        <v>19</v>
      </c>
      <c r="T248" s="6" t="str">
        <f t="shared" si="70"/>
        <v>BARS</v>
      </c>
      <c r="U248" s="6" t="str">
        <f t="shared" si="71"/>
        <v>bars</v>
      </c>
      <c r="V248" s="6">
        <f t="shared" si="72"/>
        <v>2</v>
      </c>
      <c r="W248" s="6" t="str">
        <f t="shared" si="73"/>
        <v>T038418 5</v>
      </c>
      <c r="X248" s="6" t="str">
        <f t="shared" si="74"/>
        <v>S55295</v>
      </c>
      <c r="Y248" s="6" t="str">
        <f t="shared" si="75"/>
        <v>T03</v>
      </c>
      <c r="Z248" s="6" t="str">
        <f t="shared" si="76"/>
        <v>418</v>
      </c>
      <c r="AA248" s="6">
        <f t="shared" si="81"/>
        <v>2</v>
      </c>
      <c r="AB248" s="6">
        <f t="shared" si="77"/>
        <v>4</v>
      </c>
      <c r="AC248" s="6"/>
      <c r="AD248" s="23"/>
    </row>
    <row r="249" spans="1:30" ht="30" x14ac:dyDescent="0.25">
      <c r="A249" s="2" t="s">
        <v>200</v>
      </c>
      <c r="B249" s="2" t="s">
        <v>922</v>
      </c>
      <c r="C249" s="2" t="s">
        <v>923</v>
      </c>
      <c r="D249" s="2" t="s">
        <v>414</v>
      </c>
      <c r="E249" s="2" t="s">
        <v>924</v>
      </c>
      <c r="F249" s="2">
        <v>9</v>
      </c>
      <c r="G249" s="2" t="s">
        <v>407</v>
      </c>
      <c r="H249" s="2">
        <v>15</v>
      </c>
      <c r="I249" s="6">
        <f t="shared" si="78"/>
        <v>135</v>
      </c>
      <c r="J249" s="6">
        <f t="shared" si="82"/>
        <v>134.5</v>
      </c>
      <c r="K249" s="6">
        <f t="shared" si="83"/>
        <v>133</v>
      </c>
      <c r="L249" s="6">
        <f t="shared" si="79"/>
        <v>135.5</v>
      </c>
      <c r="M249" s="6">
        <f t="shared" si="84"/>
        <v>9</v>
      </c>
      <c r="N249" s="6" t="b">
        <f t="shared" si="65"/>
        <v>0</v>
      </c>
      <c r="O249" s="6" t="b">
        <f t="shared" si="80"/>
        <v>1</v>
      </c>
      <c r="P249" s="6" t="str">
        <f t="shared" si="66"/>
        <v>C007463-pk</v>
      </c>
      <c r="Q249" s="7" t="str">
        <f t="shared" si="67"/>
        <v>T00022
9</v>
      </c>
      <c r="R249" s="6" t="b">
        <f t="shared" si="68"/>
        <v>0</v>
      </c>
      <c r="S249" s="6" t="str">
        <f t="shared" si="69"/>
        <v>23</v>
      </c>
      <c r="T249" s="6" t="str">
        <f t="shared" si="70"/>
        <v>PK</v>
      </c>
      <c r="U249" s="6" t="str">
        <f t="shared" si="71"/>
        <v>pk</v>
      </c>
      <c r="V249" s="6">
        <f t="shared" si="72"/>
        <v>2</v>
      </c>
      <c r="W249" s="6" t="str">
        <f t="shared" si="73"/>
        <v>T00022 9</v>
      </c>
      <c r="X249" s="6" t="str">
        <f t="shared" si="74"/>
        <v>S55296</v>
      </c>
      <c r="Y249" s="6" t="str">
        <f t="shared" si="75"/>
        <v>T00</v>
      </c>
      <c r="Z249" s="6" t="str">
        <f t="shared" si="76"/>
        <v>022</v>
      </c>
      <c r="AA249" s="6">
        <f t="shared" si="81"/>
        <v>2</v>
      </c>
      <c r="AB249" s="6">
        <f t="shared" si="77"/>
        <v>2</v>
      </c>
      <c r="AC249" s="6"/>
      <c r="AD249" s="23"/>
    </row>
    <row r="250" spans="1:30" ht="30" x14ac:dyDescent="0.25">
      <c r="A250" s="2" t="s">
        <v>168</v>
      </c>
      <c r="B250" s="2" t="s">
        <v>925</v>
      </c>
      <c r="C250" s="2" t="s">
        <v>926</v>
      </c>
      <c r="D250" s="2" t="s">
        <v>620</v>
      </c>
      <c r="E250" s="2" t="s">
        <v>927</v>
      </c>
      <c r="F250" s="2">
        <v>5</v>
      </c>
      <c r="G250" s="2" t="s">
        <v>13</v>
      </c>
      <c r="H250" s="2">
        <v>12</v>
      </c>
      <c r="I250" s="6">
        <f t="shared" si="78"/>
        <v>60</v>
      </c>
      <c r="J250" s="6">
        <f t="shared" si="82"/>
        <v>344.5</v>
      </c>
      <c r="K250" s="6">
        <f t="shared" si="83"/>
        <v>337</v>
      </c>
      <c r="L250" s="6">
        <f t="shared" si="79"/>
        <v>1875</v>
      </c>
      <c r="M250" s="6">
        <f t="shared" si="84"/>
        <v>95</v>
      </c>
      <c r="N250" s="6" t="b">
        <f t="shared" si="65"/>
        <v>0</v>
      </c>
      <c r="O250" s="6" t="b">
        <f t="shared" si="80"/>
        <v>1</v>
      </c>
      <c r="P250" s="6" t="str">
        <f t="shared" si="66"/>
        <v>C005848-ct</v>
      </c>
      <c r="Q250" s="7" t="str">
        <f t="shared" si="67"/>
        <v>T087749
5</v>
      </c>
      <c r="R250" s="6" t="b">
        <f t="shared" si="68"/>
        <v>0</v>
      </c>
      <c r="S250" s="6" t="str">
        <f t="shared" si="69"/>
        <v>19</v>
      </c>
      <c r="T250" s="6" t="str">
        <f t="shared" si="70"/>
        <v>CT</v>
      </c>
      <c r="U250" s="6" t="str">
        <f t="shared" si="71"/>
        <v>ct</v>
      </c>
      <c r="V250" s="6">
        <f t="shared" si="72"/>
        <v>2</v>
      </c>
      <c r="W250" s="6" t="str">
        <f t="shared" si="73"/>
        <v>T087749 5</v>
      </c>
      <c r="X250" s="6" t="str">
        <f t="shared" si="74"/>
        <v>S55399</v>
      </c>
      <c r="Y250" s="6" t="str">
        <f t="shared" si="75"/>
        <v>T08</v>
      </c>
      <c r="Z250" s="6" t="str">
        <f t="shared" si="76"/>
        <v>749</v>
      </c>
      <c r="AA250" s="6">
        <f t="shared" si="81"/>
        <v>2</v>
      </c>
      <c r="AB250" s="6">
        <f t="shared" si="77"/>
        <v>2</v>
      </c>
      <c r="AC250" s="6"/>
      <c r="AD250" s="23"/>
    </row>
    <row r="251" spans="1:30" ht="30" x14ac:dyDescent="0.25">
      <c r="A251" s="2" t="s">
        <v>209</v>
      </c>
      <c r="B251" s="2" t="s">
        <v>928</v>
      </c>
      <c r="C251" s="2" t="s">
        <v>929</v>
      </c>
      <c r="D251" s="2" t="s">
        <v>930</v>
      </c>
      <c r="E251" s="2" t="s">
        <v>124</v>
      </c>
      <c r="F251" s="2">
        <v>8</v>
      </c>
      <c r="G251" s="2" t="s">
        <v>60</v>
      </c>
      <c r="H251" s="2">
        <v>8</v>
      </c>
      <c r="I251" s="6">
        <f t="shared" si="78"/>
        <v>64</v>
      </c>
      <c r="J251" s="6">
        <f t="shared" si="82"/>
        <v>328</v>
      </c>
      <c r="K251" s="6">
        <f t="shared" si="83"/>
        <v>324</v>
      </c>
      <c r="L251" s="6">
        <f t="shared" si="79"/>
        <v>491</v>
      </c>
      <c r="M251" s="6">
        <f t="shared" si="84"/>
        <v>29</v>
      </c>
      <c r="N251" s="6" t="b">
        <f t="shared" si="65"/>
        <v>0</v>
      </c>
      <c r="O251" s="6" t="b">
        <f t="shared" si="80"/>
        <v>0</v>
      </c>
      <c r="P251" s="6" t="str">
        <f t="shared" si="66"/>
        <v>C003816-bottles</v>
      </c>
      <c r="Q251" s="7" t="str">
        <f t="shared" si="67"/>
        <v>T049774
8</v>
      </c>
      <c r="R251" s="6" t="b">
        <f t="shared" si="68"/>
        <v>0</v>
      </c>
      <c r="S251" s="6" t="str">
        <f t="shared" si="69"/>
        <v>06</v>
      </c>
      <c r="T251" s="6" t="str">
        <f t="shared" si="70"/>
        <v>BOTTLES</v>
      </c>
      <c r="U251" s="6" t="str">
        <f t="shared" si="71"/>
        <v>bottles</v>
      </c>
      <c r="V251" s="6">
        <f t="shared" si="72"/>
        <v>2</v>
      </c>
      <c r="W251" s="6" t="str">
        <f t="shared" si="73"/>
        <v>T049774 8</v>
      </c>
      <c r="X251" s="6" t="str">
        <f t="shared" si="74"/>
        <v>S55423</v>
      </c>
      <c r="Y251" s="6" t="str">
        <f t="shared" si="75"/>
        <v>T04</v>
      </c>
      <c r="Z251" s="6" t="str">
        <f t="shared" si="76"/>
        <v>774</v>
      </c>
      <c r="AA251" s="6">
        <f t="shared" si="81"/>
        <v>2</v>
      </c>
      <c r="AB251" s="6">
        <f t="shared" si="77"/>
        <v>7</v>
      </c>
      <c r="AC251" s="6"/>
      <c r="AD251" s="23"/>
    </row>
    <row r="252" spans="1:30" ht="30" x14ac:dyDescent="0.25">
      <c r="A252" s="2" t="s">
        <v>224</v>
      </c>
      <c r="B252" s="2" t="s">
        <v>931</v>
      </c>
      <c r="C252" s="2" t="s">
        <v>932</v>
      </c>
      <c r="D252" s="2" t="s">
        <v>933</v>
      </c>
      <c r="E252" s="2" t="s">
        <v>934</v>
      </c>
      <c r="F252" s="2">
        <v>10</v>
      </c>
      <c r="G252" s="2" t="s">
        <v>407</v>
      </c>
      <c r="H252" s="2">
        <v>16</v>
      </c>
      <c r="I252" s="6">
        <f t="shared" si="78"/>
        <v>160</v>
      </c>
      <c r="J252" s="6">
        <f t="shared" si="82"/>
        <v>90.5</v>
      </c>
      <c r="K252" s="6">
        <f t="shared" si="83"/>
        <v>84</v>
      </c>
      <c r="L252" s="6">
        <f t="shared" si="79"/>
        <v>120.5</v>
      </c>
      <c r="M252" s="6">
        <f t="shared" si="84"/>
        <v>8</v>
      </c>
      <c r="N252" s="6" t="b">
        <f t="shared" si="65"/>
        <v>0</v>
      </c>
      <c r="O252" s="6" t="b">
        <f t="shared" si="80"/>
        <v>1</v>
      </c>
      <c r="P252" s="6" t="str">
        <f t="shared" si="66"/>
        <v>C005041-pk</v>
      </c>
      <c r="Q252" s="7" t="str">
        <f t="shared" si="67"/>
        <v>T040305
10</v>
      </c>
      <c r="R252" s="6" t="b">
        <f t="shared" si="68"/>
        <v>0</v>
      </c>
      <c r="S252" s="6" t="str">
        <f t="shared" si="69"/>
        <v>23</v>
      </c>
      <c r="T252" s="6" t="str">
        <f t="shared" si="70"/>
        <v>PK</v>
      </c>
      <c r="U252" s="6" t="str">
        <f t="shared" si="71"/>
        <v>pk</v>
      </c>
      <c r="V252" s="6">
        <f t="shared" si="72"/>
        <v>2</v>
      </c>
      <c r="W252" s="6" t="str">
        <f t="shared" si="73"/>
        <v>T040305 10</v>
      </c>
      <c r="X252" s="6" t="str">
        <f t="shared" si="74"/>
        <v>S55256</v>
      </c>
      <c r="Y252" s="6" t="str">
        <f t="shared" si="75"/>
        <v>T04</v>
      </c>
      <c r="Z252" s="6" t="str">
        <f t="shared" si="76"/>
        <v>305</v>
      </c>
      <c r="AA252" s="6">
        <f t="shared" si="81"/>
        <v>2</v>
      </c>
      <c r="AB252" s="6">
        <f t="shared" si="77"/>
        <v>2</v>
      </c>
      <c r="AC252" s="6"/>
      <c r="AD252" s="23"/>
    </row>
    <row r="253" spans="1:30" ht="30" x14ac:dyDescent="0.25">
      <c r="A253" s="2" t="s">
        <v>101</v>
      </c>
      <c r="B253" s="2" t="s">
        <v>935</v>
      </c>
      <c r="C253" s="2" t="s">
        <v>936</v>
      </c>
      <c r="D253" s="2" t="s">
        <v>688</v>
      </c>
      <c r="E253" s="2" t="s">
        <v>136</v>
      </c>
      <c r="F253" s="2">
        <v>7</v>
      </c>
      <c r="G253" s="2" t="s">
        <v>13</v>
      </c>
      <c r="H253" s="2">
        <v>12</v>
      </c>
      <c r="I253" s="6">
        <f t="shared" si="78"/>
        <v>84</v>
      </c>
      <c r="J253" s="6">
        <f t="shared" si="82"/>
        <v>263.5</v>
      </c>
      <c r="K253" s="6">
        <f t="shared" si="83"/>
        <v>260</v>
      </c>
      <c r="L253" s="6">
        <f t="shared" si="79"/>
        <v>1863</v>
      </c>
      <c r="M253" s="6">
        <f t="shared" si="84"/>
        <v>94</v>
      </c>
      <c r="N253" s="6" t="b">
        <f t="shared" si="65"/>
        <v>0</v>
      </c>
      <c r="O253" s="6" t="b">
        <f t="shared" si="80"/>
        <v>1</v>
      </c>
      <c r="P253" s="6" t="str">
        <f t="shared" si="66"/>
        <v>C005839-ct</v>
      </c>
      <c r="Q253" s="7" t="str">
        <f t="shared" si="67"/>
        <v>T085441
7</v>
      </c>
      <c r="R253" s="6" t="b">
        <f t="shared" si="68"/>
        <v>0</v>
      </c>
      <c r="S253" s="6" t="str">
        <f t="shared" si="69"/>
        <v>24</v>
      </c>
      <c r="T253" s="6" t="str">
        <f t="shared" si="70"/>
        <v>CT</v>
      </c>
      <c r="U253" s="6" t="str">
        <f t="shared" si="71"/>
        <v>ct</v>
      </c>
      <c r="V253" s="6">
        <f t="shared" si="72"/>
        <v>2</v>
      </c>
      <c r="W253" s="6" t="str">
        <f t="shared" si="73"/>
        <v>T085441 7</v>
      </c>
      <c r="X253" s="6" t="str">
        <f t="shared" si="74"/>
        <v>S55197</v>
      </c>
      <c r="Y253" s="6" t="str">
        <f t="shared" si="75"/>
        <v>T08</v>
      </c>
      <c r="Z253" s="6" t="str">
        <f t="shared" si="76"/>
        <v>441</v>
      </c>
      <c r="AA253" s="6">
        <f t="shared" si="81"/>
        <v>2</v>
      </c>
      <c r="AB253" s="6">
        <f t="shared" si="77"/>
        <v>2</v>
      </c>
      <c r="AC253" s="6"/>
      <c r="AD253" s="23"/>
    </row>
    <row r="254" spans="1:30" ht="30" x14ac:dyDescent="0.25">
      <c r="A254" s="2" t="s">
        <v>146</v>
      </c>
      <c r="B254" s="2" t="s">
        <v>937</v>
      </c>
      <c r="C254" s="2" t="s">
        <v>938</v>
      </c>
      <c r="D254" s="2" t="s">
        <v>939</v>
      </c>
      <c r="E254" s="2" t="s">
        <v>940</v>
      </c>
      <c r="F254" s="2">
        <v>11</v>
      </c>
      <c r="G254" s="2" t="s">
        <v>35</v>
      </c>
      <c r="H254" s="2">
        <v>11.5</v>
      </c>
      <c r="I254" s="6">
        <f t="shared" si="78"/>
        <v>126.5</v>
      </c>
      <c r="J254" s="6">
        <f t="shared" si="82"/>
        <v>153</v>
      </c>
      <c r="K254" s="6">
        <f t="shared" si="83"/>
        <v>153</v>
      </c>
      <c r="L254" s="6">
        <f t="shared" si="79"/>
        <v>1036</v>
      </c>
      <c r="M254" s="6">
        <f t="shared" si="84"/>
        <v>63</v>
      </c>
      <c r="N254" s="6" t="b">
        <f t="shared" si="65"/>
        <v>0</v>
      </c>
      <c r="O254" s="6" t="b">
        <f t="shared" si="80"/>
        <v>1</v>
      </c>
      <c r="P254" s="6" t="str">
        <f t="shared" si="66"/>
        <v>C007131-cans</v>
      </c>
      <c r="Q254" s="7" t="str">
        <f t="shared" si="67"/>
        <v>T084462
11</v>
      </c>
      <c r="R254" s="6" t="b">
        <f t="shared" si="68"/>
        <v>0</v>
      </c>
      <c r="S254" s="6" t="str">
        <f t="shared" si="69"/>
        <v>02</v>
      </c>
      <c r="T254" s="6" t="str">
        <f t="shared" si="70"/>
        <v>CANS</v>
      </c>
      <c r="U254" s="6" t="str">
        <f t="shared" si="71"/>
        <v>cans</v>
      </c>
      <c r="V254" s="6">
        <f t="shared" si="72"/>
        <v>2</v>
      </c>
      <c r="W254" s="6" t="str">
        <f t="shared" si="73"/>
        <v>T084462 11</v>
      </c>
      <c r="X254" s="6" t="str">
        <f t="shared" si="74"/>
        <v>S55592</v>
      </c>
      <c r="Y254" s="6" t="str">
        <f t="shared" si="75"/>
        <v>T08</v>
      </c>
      <c r="Z254" s="6" t="str">
        <f t="shared" si="76"/>
        <v>462</v>
      </c>
      <c r="AA254" s="6">
        <f t="shared" si="81"/>
        <v>2</v>
      </c>
      <c r="AB254" s="6">
        <f t="shared" si="77"/>
        <v>4</v>
      </c>
      <c r="AC254" s="6"/>
      <c r="AD254" s="23"/>
    </row>
    <row r="255" spans="1:30" ht="30" x14ac:dyDescent="0.25">
      <c r="A255" s="2" t="s">
        <v>61</v>
      </c>
      <c r="B255" s="2" t="s">
        <v>941</v>
      </c>
      <c r="C255" s="2" t="s">
        <v>942</v>
      </c>
      <c r="D255" s="2" t="s">
        <v>207</v>
      </c>
      <c r="E255" s="2" t="s">
        <v>943</v>
      </c>
      <c r="F255" s="2">
        <v>10</v>
      </c>
      <c r="G255" s="2" t="s">
        <v>35</v>
      </c>
      <c r="H255" s="2">
        <v>16</v>
      </c>
      <c r="I255" s="6">
        <f t="shared" si="78"/>
        <v>160</v>
      </c>
      <c r="J255" s="6">
        <f t="shared" si="82"/>
        <v>90.5</v>
      </c>
      <c r="K255" s="6">
        <f t="shared" si="83"/>
        <v>84</v>
      </c>
      <c r="L255" s="6">
        <f t="shared" si="79"/>
        <v>1024.5</v>
      </c>
      <c r="M255" s="6">
        <f t="shared" si="84"/>
        <v>62</v>
      </c>
      <c r="N255" s="6" t="b">
        <f t="shared" si="65"/>
        <v>0</v>
      </c>
      <c r="O255" s="6" t="b">
        <f t="shared" si="80"/>
        <v>1</v>
      </c>
      <c r="P255" s="6" t="str">
        <f t="shared" si="66"/>
        <v>C003607-cans</v>
      </c>
      <c r="Q255" s="7" t="str">
        <f t="shared" si="67"/>
        <v>T066510
10</v>
      </c>
      <c r="R255" s="6" t="b">
        <f t="shared" si="68"/>
        <v>0</v>
      </c>
      <c r="S255" s="6" t="str">
        <f t="shared" si="69"/>
        <v>03</v>
      </c>
      <c r="T255" s="6" t="str">
        <f t="shared" si="70"/>
        <v>CANS</v>
      </c>
      <c r="U255" s="6" t="str">
        <f t="shared" si="71"/>
        <v>cans</v>
      </c>
      <c r="V255" s="6">
        <f t="shared" si="72"/>
        <v>2</v>
      </c>
      <c r="W255" s="6" t="str">
        <f t="shared" si="73"/>
        <v>T066510 10</v>
      </c>
      <c r="X255" s="6" t="str">
        <f t="shared" si="74"/>
        <v>S55325</v>
      </c>
      <c r="Y255" s="6" t="str">
        <f t="shared" si="75"/>
        <v>T06</v>
      </c>
      <c r="Z255" s="6" t="str">
        <f t="shared" si="76"/>
        <v>510</v>
      </c>
      <c r="AA255" s="6">
        <f t="shared" si="81"/>
        <v>2</v>
      </c>
      <c r="AB255" s="6">
        <f t="shared" si="77"/>
        <v>4</v>
      </c>
      <c r="AC255" s="6"/>
      <c r="AD255" s="23"/>
    </row>
    <row r="256" spans="1:30" ht="30" x14ac:dyDescent="0.25">
      <c r="A256" s="2" t="s">
        <v>283</v>
      </c>
      <c r="B256" s="2" t="s">
        <v>944</v>
      </c>
      <c r="C256" s="2" t="s">
        <v>945</v>
      </c>
      <c r="D256" s="2" t="s">
        <v>476</v>
      </c>
      <c r="E256" s="2" t="s">
        <v>946</v>
      </c>
      <c r="F256" s="2">
        <v>8</v>
      </c>
      <c r="G256" s="2" t="s">
        <v>13</v>
      </c>
      <c r="H256" s="2">
        <v>32</v>
      </c>
      <c r="I256" s="6">
        <f t="shared" si="78"/>
        <v>256</v>
      </c>
      <c r="J256" s="6">
        <f t="shared" si="82"/>
        <v>25</v>
      </c>
      <c r="K256" s="6">
        <f t="shared" si="83"/>
        <v>25</v>
      </c>
      <c r="L256" s="6">
        <f t="shared" si="79"/>
        <v>1851</v>
      </c>
      <c r="M256" s="6">
        <f t="shared" si="84"/>
        <v>93</v>
      </c>
      <c r="N256" s="6" t="b">
        <f t="shared" si="65"/>
        <v>1</v>
      </c>
      <c r="O256" s="6" t="b">
        <f t="shared" si="80"/>
        <v>1</v>
      </c>
      <c r="P256" s="6" t="str">
        <f t="shared" si="66"/>
        <v>C004715-ct</v>
      </c>
      <c r="Q256" s="7" t="str">
        <f t="shared" si="67"/>
        <v>T016438
8</v>
      </c>
      <c r="R256" s="6" t="b">
        <f t="shared" si="68"/>
        <v>0</v>
      </c>
      <c r="S256" s="6" t="str">
        <f t="shared" si="69"/>
        <v>13</v>
      </c>
      <c r="T256" s="6" t="str">
        <f t="shared" si="70"/>
        <v>CT</v>
      </c>
      <c r="U256" s="6" t="str">
        <f t="shared" si="71"/>
        <v>ct</v>
      </c>
      <c r="V256" s="6">
        <f t="shared" si="72"/>
        <v>2</v>
      </c>
      <c r="W256" s="6" t="str">
        <f t="shared" si="73"/>
        <v>T016438 8</v>
      </c>
      <c r="X256" s="6" t="str">
        <f t="shared" si="74"/>
        <v>S5566</v>
      </c>
      <c r="Y256" s="6" t="str">
        <f t="shared" si="75"/>
        <v>T01</v>
      </c>
      <c r="Z256" s="6" t="str">
        <f t="shared" si="76"/>
        <v>438</v>
      </c>
      <c r="AA256" s="6">
        <f t="shared" si="81"/>
        <v>2</v>
      </c>
      <c r="AB256" s="6">
        <f t="shared" si="77"/>
        <v>2</v>
      </c>
      <c r="AC256" s="6"/>
      <c r="AD256" s="23"/>
    </row>
    <row r="257" spans="1:30" ht="30" x14ac:dyDescent="0.25">
      <c r="A257" s="2" t="s">
        <v>121</v>
      </c>
      <c r="B257" s="2" t="s">
        <v>947</v>
      </c>
      <c r="C257" s="2" t="s">
        <v>948</v>
      </c>
      <c r="D257" s="2" t="s">
        <v>949</v>
      </c>
      <c r="E257" s="2" t="s">
        <v>367</v>
      </c>
      <c r="F257" s="2">
        <v>7</v>
      </c>
      <c r="G257" s="2" t="s">
        <v>106</v>
      </c>
      <c r="H257" s="2">
        <v>17</v>
      </c>
      <c r="I257" s="6">
        <f t="shared" si="78"/>
        <v>119</v>
      </c>
      <c r="J257" s="6">
        <f t="shared" si="82"/>
        <v>179.5</v>
      </c>
      <c r="K257" s="6">
        <f t="shared" si="83"/>
        <v>178</v>
      </c>
      <c r="L257" s="6">
        <f t="shared" si="79"/>
        <v>269</v>
      </c>
      <c r="M257" s="6">
        <f t="shared" si="84"/>
        <v>16</v>
      </c>
      <c r="N257" s="6" t="b">
        <f t="shared" si="65"/>
        <v>0</v>
      </c>
      <c r="O257" s="6" t="b">
        <f t="shared" si="80"/>
        <v>1</v>
      </c>
      <c r="P257" s="6" t="str">
        <f t="shared" si="66"/>
        <v>C005378-bags</v>
      </c>
      <c r="Q257" s="7" t="str">
        <f t="shared" si="67"/>
        <v>T090427
7</v>
      </c>
      <c r="R257" s="6" t="b">
        <f t="shared" si="68"/>
        <v>0</v>
      </c>
      <c r="S257" s="6" t="str">
        <f t="shared" si="69"/>
        <v>15</v>
      </c>
      <c r="T257" s="6" t="str">
        <f t="shared" si="70"/>
        <v>BAGS</v>
      </c>
      <c r="U257" s="6" t="str">
        <f t="shared" si="71"/>
        <v>bags</v>
      </c>
      <c r="V257" s="6">
        <f t="shared" si="72"/>
        <v>2</v>
      </c>
      <c r="W257" s="6" t="str">
        <f t="shared" si="73"/>
        <v>T090427 7</v>
      </c>
      <c r="X257" s="6" t="str">
        <f t="shared" si="74"/>
        <v>S55143</v>
      </c>
      <c r="Y257" s="6" t="str">
        <f t="shared" si="75"/>
        <v>T09</v>
      </c>
      <c r="Z257" s="6" t="str">
        <f t="shared" si="76"/>
        <v>427</v>
      </c>
      <c r="AA257" s="6">
        <f t="shared" si="81"/>
        <v>2</v>
      </c>
      <c r="AB257" s="6">
        <f t="shared" si="77"/>
        <v>4</v>
      </c>
      <c r="AC257" s="6"/>
      <c r="AD257" s="23"/>
    </row>
    <row r="258" spans="1:30" ht="30" x14ac:dyDescent="0.25">
      <c r="A258" s="2" t="s">
        <v>116</v>
      </c>
      <c r="B258" s="2" t="s">
        <v>950</v>
      </c>
      <c r="C258" s="2" t="s">
        <v>951</v>
      </c>
      <c r="D258" s="2" t="s">
        <v>952</v>
      </c>
      <c r="E258" s="2" t="s">
        <v>953</v>
      </c>
      <c r="F258" s="2">
        <v>8</v>
      </c>
      <c r="G258" s="2" t="s">
        <v>13</v>
      </c>
      <c r="H258" s="2">
        <v>48</v>
      </c>
      <c r="I258" s="6">
        <f t="shared" si="78"/>
        <v>384</v>
      </c>
      <c r="J258" s="6">
        <f t="shared" si="82"/>
        <v>11</v>
      </c>
      <c r="K258" s="6">
        <f t="shared" si="83"/>
        <v>11</v>
      </c>
      <c r="L258" s="6">
        <f t="shared" si="79"/>
        <v>1819</v>
      </c>
      <c r="M258" s="6">
        <f t="shared" si="84"/>
        <v>92</v>
      </c>
      <c r="N258" s="6" t="b">
        <f t="shared" si="65"/>
        <v>1</v>
      </c>
      <c r="O258" s="6" t="b">
        <f t="shared" si="80"/>
        <v>1</v>
      </c>
      <c r="P258" s="6" t="str">
        <f t="shared" si="66"/>
        <v>C003119-ct</v>
      </c>
      <c r="Q258" s="7" t="str">
        <f t="shared" si="67"/>
        <v>T023962
8</v>
      </c>
      <c r="R258" s="6" t="b">
        <f t="shared" si="68"/>
        <v>0</v>
      </c>
      <c r="S258" s="6" t="str">
        <f t="shared" si="69"/>
        <v>11</v>
      </c>
      <c r="T258" s="6" t="str">
        <f t="shared" si="70"/>
        <v>CT</v>
      </c>
      <c r="U258" s="6" t="str">
        <f t="shared" si="71"/>
        <v>ct</v>
      </c>
      <c r="V258" s="6">
        <f t="shared" si="72"/>
        <v>2</v>
      </c>
      <c r="W258" s="6" t="str">
        <f t="shared" si="73"/>
        <v>T023962 8</v>
      </c>
      <c r="X258" s="6" t="str">
        <f t="shared" si="74"/>
        <v>S55373</v>
      </c>
      <c r="Y258" s="6" t="str">
        <f t="shared" si="75"/>
        <v>T02</v>
      </c>
      <c r="Z258" s="6" t="str">
        <f t="shared" si="76"/>
        <v>962</v>
      </c>
      <c r="AA258" s="6">
        <f t="shared" si="81"/>
        <v>2</v>
      </c>
      <c r="AB258" s="6">
        <f t="shared" si="77"/>
        <v>2</v>
      </c>
      <c r="AC258" s="6"/>
      <c r="AD258" s="23"/>
    </row>
    <row r="259" spans="1:30" ht="30" x14ac:dyDescent="0.25">
      <c r="A259" s="2" t="s">
        <v>240</v>
      </c>
      <c r="B259" s="2" t="s">
        <v>954</v>
      </c>
      <c r="C259" s="2" t="s">
        <v>955</v>
      </c>
      <c r="D259" s="2" t="s">
        <v>956</v>
      </c>
      <c r="E259" s="2" t="s">
        <v>629</v>
      </c>
      <c r="F259" s="2">
        <v>6</v>
      </c>
      <c r="G259" s="2" t="s">
        <v>13</v>
      </c>
      <c r="H259" s="2">
        <v>12</v>
      </c>
      <c r="I259" s="6">
        <f t="shared" si="78"/>
        <v>72</v>
      </c>
      <c r="J259" s="6">
        <f t="shared" si="82"/>
        <v>295.5</v>
      </c>
      <c r="K259" s="6">
        <f t="shared" si="83"/>
        <v>292</v>
      </c>
      <c r="L259" s="6">
        <f t="shared" si="79"/>
        <v>1771</v>
      </c>
      <c r="M259" s="6">
        <f t="shared" si="84"/>
        <v>91</v>
      </c>
      <c r="N259" s="6" t="b">
        <f t="shared" si="65"/>
        <v>0</v>
      </c>
      <c r="O259" s="6" t="b">
        <f t="shared" si="80"/>
        <v>1</v>
      </c>
      <c r="P259" s="6" t="str">
        <f t="shared" si="66"/>
        <v>C009156-ct</v>
      </c>
      <c r="Q259" s="7" t="str">
        <f t="shared" si="67"/>
        <v>T033041
6</v>
      </c>
      <c r="R259" s="6" t="b">
        <f t="shared" si="68"/>
        <v>0</v>
      </c>
      <c r="S259" s="6" t="str">
        <f t="shared" si="69"/>
        <v>18</v>
      </c>
      <c r="T259" s="6" t="str">
        <f t="shared" si="70"/>
        <v>CT</v>
      </c>
      <c r="U259" s="6" t="str">
        <f t="shared" si="71"/>
        <v>ct</v>
      </c>
      <c r="V259" s="6">
        <f t="shared" si="72"/>
        <v>2</v>
      </c>
      <c r="W259" s="6" t="str">
        <f t="shared" si="73"/>
        <v>T033041 6</v>
      </c>
      <c r="X259" s="6" t="str">
        <f t="shared" si="74"/>
        <v>S55275</v>
      </c>
      <c r="Y259" s="6" t="str">
        <f t="shared" si="75"/>
        <v>T03</v>
      </c>
      <c r="Z259" s="6" t="str">
        <f t="shared" si="76"/>
        <v>041</v>
      </c>
      <c r="AA259" s="6">
        <f t="shared" si="81"/>
        <v>2</v>
      </c>
      <c r="AB259" s="6">
        <f t="shared" si="77"/>
        <v>2</v>
      </c>
      <c r="AC259" s="6"/>
      <c r="AD259" s="23"/>
    </row>
    <row r="260" spans="1:30" ht="30" x14ac:dyDescent="0.25">
      <c r="A260" s="2" t="s">
        <v>66</v>
      </c>
      <c r="B260" s="2" t="s">
        <v>957</v>
      </c>
      <c r="C260" s="2" t="s">
        <v>958</v>
      </c>
      <c r="D260" s="2" t="s">
        <v>959</v>
      </c>
      <c r="E260" s="2" t="s">
        <v>960</v>
      </c>
      <c r="F260" s="2">
        <v>8</v>
      </c>
      <c r="G260" s="2" t="s">
        <v>167</v>
      </c>
      <c r="H260" s="2">
        <v>18</v>
      </c>
      <c r="I260" s="6">
        <f t="shared" si="78"/>
        <v>144</v>
      </c>
      <c r="J260" s="6">
        <f t="shared" si="82"/>
        <v>118</v>
      </c>
      <c r="K260" s="6">
        <f t="shared" si="83"/>
        <v>115</v>
      </c>
      <c r="L260" s="6">
        <f t="shared" si="79"/>
        <v>252.5</v>
      </c>
      <c r="M260" s="6">
        <f t="shared" si="84"/>
        <v>16</v>
      </c>
      <c r="N260" s="6" t="b">
        <f t="shared" si="65"/>
        <v>0</v>
      </c>
      <c r="O260" s="6" t="b">
        <f t="shared" si="80"/>
        <v>1</v>
      </c>
      <c r="P260" s="6" t="str">
        <f t="shared" si="66"/>
        <v>C005784-oz</v>
      </c>
      <c r="Q260" s="7" t="str">
        <f t="shared" si="67"/>
        <v>T056628
8</v>
      </c>
      <c r="R260" s="6" t="b">
        <f t="shared" si="68"/>
        <v>0</v>
      </c>
      <c r="S260" s="6" t="str">
        <f t="shared" si="69"/>
        <v>24</v>
      </c>
      <c r="T260" s="6" t="str">
        <f t="shared" si="70"/>
        <v>OZ</v>
      </c>
      <c r="U260" s="6" t="str">
        <f t="shared" si="71"/>
        <v>oz</v>
      </c>
      <c r="V260" s="6">
        <f t="shared" si="72"/>
        <v>2</v>
      </c>
      <c r="W260" s="6" t="str">
        <f t="shared" si="73"/>
        <v>T056628 8</v>
      </c>
      <c r="X260" s="6" t="str">
        <f t="shared" si="74"/>
        <v>S55269</v>
      </c>
      <c r="Y260" s="6" t="str">
        <f t="shared" si="75"/>
        <v>T05</v>
      </c>
      <c r="Z260" s="6" t="str">
        <f t="shared" si="76"/>
        <v>628</v>
      </c>
      <c r="AA260" s="6">
        <f t="shared" si="81"/>
        <v>2</v>
      </c>
      <c r="AB260" s="6">
        <f t="shared" si="77"/>
        <v>2</v>
      </c>
      <c r="AC260" s="6"/>
      <c r="AD260" s="23"/>
    </row>
    <row r="261" spans="1:30" ht="30" x14ac:dyDescent="0.25">
      <c r="A261" s="2" t="s">
        <v>20</v>
      </c>
      <c r="B261" s="2" t="s">
        <v>961</v>
      </c>
      <c r="C261" s="2" t="s">
        <v>962</v>
      </c>
      <c r="D261" s="2" t="s">
        <v>963</v>
      </c>
      <c r="E261" s="2" t="s">
        <v>964</v>
      </c>
      <c r="F261" s="2">
        <v>6</v>
      </c>
      <c r="G261" s="2" t="s">
        <v>904</v>
      </c>
      <c r="H261" s="2">
        <v>23</v>
      </c>
      <c r="I261" s="6">
        <f t="shared" si="78"/>
        <v>138</v>
      </c>
      <c r="J261" s="6">
        <f t="shared" si="82"/>
        <v>128</v>
      </c>
      <c r="K261" s="6">
        <f t="shared" si="83"/>
        <v>128</v>
      </c>
      <c r="L261" s="6">
        <f t="shared" si="79"/>
        <v>46</v>
      </c>
      <c r="M261" s="6">
        <f t="shared" si="84"/>
        <v>2</v>
      </c>
      <c r="N261" s="6" t="b">
        <f t="shared" ref="N261:N324" si="85">AND(H261&gt;20,H261&lt;70)</f>
        <v>1</v>
      </c>
      <c r="O261" s="6" t="b">
        <f t="shared" si="80"/>
        <v>1</v>
      </c>
      <c r="P261" s="6" t="str">
        <f t="shared" ref="P261:P324" si="86">_xlfn.CONCAT(B261,"-",G261)</f>
        <v>C004410-bars</v>
      </c>
      <c r="Q261" s="7" t="str">
        <f t="shared" ref="Q261:Q324" si="87">_xlfn.CONCAT(C261,CHAR(10),F261)</f>
        <v>T051656
6</v>
      </c>
      <c r="R261" s="6" t="b">
        <f t="shared" ref="R261:R324" si="88">EXACT(D261,E261)</f>
        <v>0</v>
      </c>
      <c r="S261" s="6" t="str">
        <f t="shared" ref="S261:S324" si="89">MID(D261,4,2)</f>
        <v>20</v>
      </c>
      <c r="T261" s="6" t="str">
        <f t="shared" ref="T261:T324" si="90">UPPER(G261)</f>
        <v>BARS</v>
      </c>
      <c r="U261" s="6" t="str">
        <f t="shared" ref="U261:U324" si="91">LOWER(G261)</f>
        <v>bars</v>
      </c>
      <c r="V261" s="6">
        <f t="shared" ref="V261:V324" si="92">SEARCH("0",E261)</f>
        <v>2</v>
      </c>
      <c r="W261" s="6" t="str">
        <f t="shared" ref="W261:W324" si="93">_xlfn.TEXTJOIN(" ",TRUE,C261,F261)</f>
        <v>T051656 6</v>
      </c>
      <c r="X261" s="6" t="str">
        <f t="shared" ref="X261:X324" si="94">SUBSTITUTE(E261,"0","5")</f>
        <v>S55663</v>
      </c>
      <c r="Y261" s="6" t="str">
        <f t="shared" ref="Y261:Y324" si="95">LEFT(C261,3)</f>
        <v>T05</v>
      </c>
      <c r="Z261" s="6" t="str">
        <f t="shared" ref="Z261:Z324" si="96">RIGHT(C261,3)</f>
        <v>656</v>
      </c>
      <c r="AA261" s="6">
        <f t="shared" si="81"/>
        <v>2</v>
      </c>
      <c r="AB261" s="6">
        <f t="shared" ref="AB261:AB324" si="97">LEN(G261)</f>
        <v>4</v>
      </c>
      <c r="AC261" s="6"/>
      <c r="AD261" s="23"/>
    </row>
    <row r="262" spans="1:30" ht="30" x14ac:dyDescent="0.25">
      <c r="A262" s="2" t="s">
        <v>91</v>
      </c>
      <c r="B262" s="2" t="s">
        <v>965</v>
      </c>
      <c r="C262" s="2" t="s">
        <v>966</v>
      </c>
      <c r="D262" s="2" t="s">
        <v>967</v>
      </c>
      <c r="E262" s="2" t="s">
        <v>382</v>
      </c>
      <c r="F262" s="2">
        <v>10</v>
      </c>
      <c r="G262" s="2" t="s">
        <v>13</v>
      </c>
      <c r="H262" s="2">
        <v>53</v>
      </c>
      <c r="I262" s="6">
        <f t="shared" ref="I262:I325" si="98">$F262*H262</f>
        <v>530</v>
      </c>
      <c r="J262" s="6">
        <f t="shared" si="82"/>
        <v>1</v>
      </c>
      <c r="K262" s="6">
        <f t="shared" si="83"/>
        <v>1</v>
      </c>
      <c r="L262" s="6">
        <f t="shared" ref="L262:L325" si="99">SUMIF(G262:G674,G262,H262:H757)</f>
        <v>1759</v>
      </c>
      <c r="M262" s="6">
        <f t="shared" si="84"/>
        <v>90</v>
      </c>
      <c r="N262" s="6" t="b">
        <f t="shared" si="85"/>
        <v>1</v>
      </c>
      <c r="O262" s="6" t="b">
        <f t="shared" si="80"/>
        <v>1</v>
      </c>
      <c r="P262" s="6" t="str">
        <f t="shared" si="86"/>
        <v>C007610-ct</v>
      </c>
      <c r="Q262" s="7" t="str">
        <f t="shared" si="87"/>
        <v>T078656
10</v>
      </c>
      <c r="R262" s="6" t="b">
        <f t="shared" si="88"/>
        <v>0</v>
      </c>
      <c r="S262" s="6" t="str">
        <f t="shared" si="89"/>
        <v>11</v>
      </c>
      <c r="T262" s="6" t="str">
        <f t="shared" si="90"/>
        <v>CT</v>
      </c>
      <c r="U262" s="6" t="str">
        <f t="shared" si="91"/>
        <v>ct</v>
      </c>
      <c r="V262" s="6">
        <f t="shared" si="92"/>
        <v>2</v>
      </c>
      <c r="W262" s="6" t="str">
        <f t="shared" si="93"/>
        <v>T078656 10</v>
      </c>
      <c r="X262" s="6" t="str">
        <f t="shared" si="94"/>
        <v>S55485</v>
      </c>
      <c r="Y262" s="6" t="str">
        <f t="shared" si="95"/>
        <v>T07</v>
      </c>
      <c r="Z262" s="6" t="str">
        <f t="shared" si="96"/>
        <v>656</v>
      </c>
      <c r="AA262" s="6">
        <f t="shared" si="81"/>
        <v>2</v>
      </c>
      <c r="AB262" s="6">
        <f t="shared" si="97"/>
        <v>2</v>
      </c>
      <c r="AC262" s="6"/>
      <c r="AD262" s="23"/>
    </row>
    <row r="263" spans="1:30" ht="30" x14ac:dyDescent="0.25">
      <c r="A263" s="2" t="s">
        <v>30</v>
      </c>
      <c r="B263" s="2" t="s">
        <v>968</v>
      </c>
      <c r="C263" s="2" t="s">
        <v>969</v>
      </c>
      <c r="D263" s="2" t="s">
        <v>140</v>
      </c>
      <c r="E263" s="2" t="s">
        <v>876</v>
      </c>
      <c r="F263" s="2">
        <v>10</v>
      </c>
      <c r="G263" s="2" t="s">
        <v>60</v>
      </c>
      <c r="H263" s="2">
        <v>17</v>
      </c>
      <c r="I263" s="6">
        <f t="shared" si="98"/>
        <v>170</v>
      </c>
      <c r="J263" s="6">
        <f t="shared" si="82"/>
        <v>74</v>
      </c>
      <c r="K263" s="6">
        <f t="shared" si="83"/>
        <v>72</v>
      </c>
      <c r="L263" s="6">
        <f t="shared" si="99"/>
        <v>483</v>
      </c>
      <c r="M263" s="6">
        <f t="shared" si="84"/>
        <v>28</v>
      </c>
      <c r="N263" s="6" t="b">
        <f t="shared" si="85"/>
        <v>0</v>
      </c>
      <c r="O263" s="6" t="b">
        <f t="shared" ref="O263:O326" si="100">OR(H263&gt;10,I263&lt;60)</f>
        <v>1</v>
      </c>
      <c r="P263" s="6" t="str">
        <f t="shared" si="86"/>
        <v>C002237-bottles</v>
      </c>
      <c r="Q263" s="7" t="str">
        <f t="shared" si="87"/>
        <v>T010822
10</v>
      </c>
      <c r="R263" s="6" t="b">
        <f t="shared" si="88"/>
        <v>0</v>
      </c>
      <c r="S263" s="6" t="str">
        <f t="shared" si="89"/>
        <v>07</v>
      </c>
      <c r="T263" s="6" t="str">
        <f t="shared" si="90"/>
        <v>BOTTLES</v>
      </c>
      <c r="U263" s="6" t="str">
        <f t="shared" si="91"/>
        <v>bottles</v>
      </c>
      <c r="V263" s="6">
        <f t="shared" si="92"/>
        <v>2</v>
      </c>
      <c r="W263" s="6" t="str">
        <f t="shared" si="93"/>
        <v>T010822 10</v>
      </c>
      <c r="X263" s="6" t="str">
        <f t="shared" si="94"/>
        <v>S55336</v>
      </c>
      <c r="Y263" s="6" t="str">
        <f t="shared" si="95"/>
        <v>T01</v>
      </c>
      <c r="Z263" s="6" t="str">
        <f t="shared" si="96"/>
        <v>822</v>
      </c>
      <c r="AA263" s="6">
        <f t="shared" si="81"/>
        <v>2</v>
      </c>
      <c r="AB263" s="6">
        <f t="shared" si="97"/>
        <v>7</v>
      </c>
      <c r="AC263" s="6"/>
      <c r="AD263" s="23"/>
    </row>
    <row r="264" spans="1:30" ht="30" x14ac:dyDescent="0.25">
      <c r="A264" s="2" t="s">
        <v>209</v>
      </c>
      <c r="B264" s="2" t="s">
        <v>970</v>
      </c>
      <c r="C264" s="2" t="s">
        <v>971</v>
      </c>
      <c r="D264" s="2" t="s">
        <v>644</v>
      </c>
      <c r="E264" s="2" t="s">
        <v>972</v>
      </c>
      <c r="F264" s="2">
        <v>5</v>
      </c>
      <c r="G264" s="2" t="s">
        <v>106</v>
      </c>
      <c r="H264" s="2">
        <v>21</v>
      </c>
      <c r="I264" s="6">
        <f t="shared" si="98"/>
        <v>105</v>
      </c>
      <c r="J264" s="6">
        <f t="shared" si="82"/>
        <v>202.5</v>
      </c>
      <c r="K264" s="6">
        <f t="shared" si="83"/>
        <v>199</v>
      </c>
      <c r="L264" s="6">
        <f t="shared" si="99"/>
        <v>252</v>
      </c>
      <c r="M264" s="6">
        <f t="shared" si="84"/>
        <v>15</v>
      </c>
      <c r="N264" s="6" t="b">
        <f t="shared" si="85"/>
        <v>1</v>
      </c>
      <c r="O264" s="6" t="b">
        <f t="shared" si="100"/>
        <v>1</v>
      </c>
      <c r="P264" s="6" t="str">
        <f t="shared" si="86"/>
        <v>C009152-bags</v>
      </c>
      <c r="Q264" s="7" t="str">
        <f t="shared" si="87"/>
        <v>T097386
5</v>
      </c>
      <c r="R264" s="6" t="b">
        <f t="shared" si="88"/>
        <v>0</v>
      </c>
      <c r="S264" s="6" t="str">
        <f t="shared" si="89"/>
        <v>25</v>
      </c>
      <c r="T264" s="6" t="str">
        <f t="shared" si="90"/>
        <v>BAGS</v>
      </c>
      <c r="U264" s="6" t="str">
        <f t="shared" si="91"/>
        <v>bags</v>
      </c>
      <c r="V264" s="6">
        <f t="shared" si="92"/>
        <v>2</v>
      </c>
      <c r="W264" s="6" t="str">
        <f t="shared" si="93"/>
        <v>T097386 5</v>
      </c>
      <c r="X264" s="6" t="str">
        <f t="shared" si="94"/>
        <v>S55298</v>
      </c>
      <c r="Y264" s="6" t="str">
        <f t="shared" si="95"/>
        <v>T09</v>
      </c>
      <c r="Z264" s="6" t="str">
        <f t="shared" si="96"/>
        <v>386</v>
      </c>
      <c r="AA264" s="6">
        <f t="shared" ref="AA264:AA327" si="101">FIND("0",A264)</f>
        <v>2</v>
      </c>
      <c r="AB264" s="6">
        <f t="shared" si="97"/>
        <v>4</v>
      </c>
      <c r="AC264" s="6"/>
      <c r="AD264" s="23"/>
    </row>
    <row r="265" spans="1:30" ht="30" x14ac:dyDescent="0.25">
      <c r="A265" s="2" t="s">
        <v>125</v>
      </c>
      <c r="B265" s="2" t="s">
        <v>973</v>
      </c>
      <c r="C265" s="2" t="s">
        <v>974</v>
      </c>
      <c r="D265" s="2" t="s">
        <v>975</v>
      </c>
      <c r="E265" s="2" t="s">
        <v>976</v>
      </c>
      <c r="F265" s="2">
        <v>10</v>
      </c>
      <c r="G265" s="2" t="s">
        <v>13</v>
      </c>
      <c r="H265" s="2">
        <v>17</v>
      </c>
      <c r="I265" s="6">
        <f t="shared" si="98"/>
        <v>170</v>
      </c>
      <c r="J265" s="6">
        <f t="shared" si="82"/>
        <v>74</v>
      </c>
      <c r="K265" s="6">
        <f t="shared" si="83"/>
        <v>72</v>
      </c>
      <c r="L265" s="6">
        <f t="shared" si="99"/>
        <v>1706</v>
      </c>
      <c r="M265" s="6">
        <f t="shared" si="84"/>
        <v>89</v>
      </c>
      <c r="N265" s="6" t="b">
        <f t="shared" si="85"/>
        <v>0</v>
      </c>
      <c r="O265" s="6" t="b">
        <f t="shared" si="100"/>
        <v>1</v>
      </c>
      <c r="P265" s="6" t="str">
        <f t="shared" si="86"/>
        <v>C007931-ct</v>
      </c>
      <c r="Q265" s="7" t="str">
        <f t="shared" si="87"/>
        <v>T010481
10</v>
      </c>
      <c r="R265" s="6" t="b">
        <f t="shared" si="88"/>
        <v>0</v>
      </c>
      <c r="S265" s="6" t="str">
        <f t="shared" si="89"/>
        <v>22</v>
      </c>
      <c r="T265" s="6" t="str">
        <f t="shared" si="90"/>
        <v>CT</v>
      </c>
      <c r="U265" s="6" t="str">
        <f t="shared" si="91"/>
        <v>ct</v>
      </c>
      <c r="V265" s="6">
        <f t="shared" si="92"/>
        <v>2</v>
      </c>
      <c r="W265" s="6" t="str">
        <f t="shared" si="93"/>
        <v>T010481 10</v>
      </c>
      <c r="X265" s="6" t="str">
        <f t="shared" si="94"/>
        <v>S55384</v>
      </c>
      <c r="Y265" s="6" t="str">
        <f t="shared" si="95"/>
        <v>T01</v>
      </c>
      <c r="Z265" s="6" t="str">
        <f t="shared" si="96"/>
        <v>481</v>
      </c>
      <c r="AA265" s="6">
        <f t="shared" si="101"/>
        <v>2</v>
      </c>
      <c r="AB265" s="6">
        <f t="shared" si="97"/>
        <v>2</v>
      </c>
      <c r="AC265" s="6"/>
      <c r="AD265" s="23"/>
    </row>
    <row r="266" spans="1:30" ht="30" x14ac:dyDescent="0.25">
      <c r="A266" s="2" t="s">
        <v>187</v>
      </c>
      <c r="B266" s="2" t="s">
        <v>977</v>
      </c>
      <c r="C266" s="2" t="s">
        <v>978</v>
      </c>
      <c r="D266" s="2" t="s">
        <v>979</v>
      </c>
      <c r="E266" s="2" t="s">
        <v>507</v>
      </c>
      <c r="F266" s="2">
        <v>1</v>
      </c>
      <c r="G266" s="2" t="s">
        <v>13</v>
      </c>
      <c r="H266" s="2">
        <v>17</v>
      </c>
      <c r="I266" s="6">
        <f t="shared" si="98"/>
        <v>17</v>
      </c>
      <c r="J266" s="6">
        <f t="shared" si="82"/>
        <v>468.5</v>
      </c>
      <c r="K266" s="6">
        <f t="shared" si="83"/>
        <v>468</v>
      </c>
      <c r="L266" s="6">
        <f t="shared" si="99"/>
        <v>1689</v>
      </c>
      <c r="M266" s="6">
        <f t="shared" si="84"/>
        <v>88</v>
      </c>
      <c r="N266" s="6" t="b">
        <f t="shared" si="85"/>
        <v>0</v>
      </c>
      <c r="O266" s="6" t="b">
        <f t="shared" si="100"/>
        <v>1</v>
      </c>
      <c r="P266" s="6" t="str">
        <f t="shared" si="86"/>
        <v>C007309-ct</v>
      </c>
      <c r="Q266" s="7" t="str">
        <f t="shared" si="87"/>
        <v>T059228
1</v>
      </c>
      <c r="R266" s="6" t="b">
        <f t="shared" si="88"/>
        <v>0</v>
      </c>
      <c r="S266" s="6" t="str">
        <f t="shared" si="89"/>
        <v>14</v>
      </c>
      <c r="T266" s="6" t="str">
        <f t="shared" si="90"/>
        <v>CT</v>
      </c>
      <c r="U266" s="6" t="str">
        <f t="shared" si="91"/>
        <v>ct</v>
      </c>
      <c r="V266" s="6">
        <f t="shared" si="92"/>
        <v>2</v>
      </c>
      <c r="W266" s="6" t="str">
        <f t="shared" si="93"/>
        <v>T059228 1</v>
      </c>
      <c r="X266" s="6" t="str">
        <f t="shared" si="94"/>
        <v>S55123</v>
      </c>
      <c r="Y266" s="6" t="str">
        <f t="shared" si="95"/>
        <v>T05</v>
      </c>
      <c r="Z266" s="6" t="str">
        <f t="shared" si="96"/>
        <v>228</v>
      </c>
      <c r="AA266" s="6">
        <f t="shared" si="101"/>
        <v>2</v>
      </c>
      <c r="AB266" s="6">
        <f t="shared" si="97"/>
        <v>2</v>
      </c>
      <c r="AC266" s="6"/>
      <c r="AD266" s="23"/>
    </row>
    <row r="267" spans="1:30" ht="30" x14ac:dyDescent="0.25">
      <c r="A267" s="2" t="s">
        <v>116</v>
      </c>
      <c r="B267" s="2" t="s">
        <v>980</v>
      </c>
      <c r="C267" s="2" t="s">
        <v>981</v>
      </c>
      <c r="D267" s="2" t="s">
        <v>149</v>
      </c>
      <c r="E267" s="2" t="s">
        <v>982</v>
      </c>
      <c r="F267" s="2">
        <v>7</v>
      </c>
      <c r="G267" s="2" t="s">
        <v>60</v>
      </c>
      <c r="H267" s="2">
        <v>17</v>
      </c>
      <c r="I267" s="6">
        <f t="shared" si="98"/>
        <v>119</v>
      </c>
      <c r="J267" s="6">
        <f t="shared" si="82"/>
        <v>179.5</v>
      </c>
      <c r="K267" s="6">
        <f t="shared" si="83"/>
        <v>178</v>
      </c>
      <c r="L267" s="6">
        <f t="shared" si="99"/>
        <v>466</v>
      </c>
      <c r="M267" s="6">
        <f t="shared" si="84"/>
        <v>27</v>
      </c>
      <c r="N267" s="6" t="b">
        <f t="shared" si="85"/>
        <v>0</v>
      </c>
      <c r="O267" s="6" t="b">
        <f t="shared" si="100"/>
        <v>1</v>
      </c>
      <c r="P267" s="6" t="str">
        <f t="shared" si="86"/>
        <v>C003306-bottles</v>
      </c>
      <c r="Q267" s="7" t="str">
        <f t="shared" si="87"/>
        <v>T064295
7</v>
      </c>
      <c r="R267" s="6" t="b">
        <f t="shared" si="88"/>
        <v>0</v>
      </c>
      <c r="S267" s="6" t="str">
        <f t="shared" si="89"/>
        <v>07</v>
      </c>
      <c r="T267" s="6" t="str">
        <f t="shared" si="90"/>
        <v>BOTTLES</v>
      </c>
      <c r="U267" s="6" t="str">
        <f t="shared" si="91"/>
        <v>bottles</v>
      </c>
      <c r="V267" s="6">
        <f t="shared" si="92"/>
        <v>2</v>
      </c>
      <c r="W267" s="6" t="str">
        <f t="shared" si="93"/>
        <v>T064295 7</v>
      </c>
      <c r="X267" s="6" t="str">
        <f t="shared" si="94"/>
        <v>S55335</v>
      </c>
      <c r="Y267" s="6" t="str">
        <f t="shared" si="95"/>
        <v>T06</v>
      </c>
      <c r="Z267" s="6" t="str">
        <f t="shared" si="96"/>
        <v>295</v>
      </c>
      <c r="AA267" s="6">
        <f t="shared" si="101"/>
        <v>2</v>
      </c>
      <c r="AB267" s="6">
        <f t="shared" si="97"/>
        <v>7</v>
      </c>
      <c r="AC267" s="6"/>
      <c r="AD267" s="23"/>
    </row>
    <row r="268" spans="1:30" ht="30" x14ac:dyDescent="0.25">
      <c r="A268" s="2" t="s">
        <v>61</v>
      </c>
      <c r="B268" s="2" t="s">
        <v>983</v>
      </c>
      <c r="C268" s="2" t="s">
        <v>984</v>
      </c>
      <c r="D268" s="2" t="s">
        <v>366</v>
      </c>
      <c r="E268" s="2" t="s">
        <v>707</v>
      </c>
      <c r="F268" s="2">
        <v>5</v>
      </c>
      <c r="G268" s="2" t="s">
        <v>60</v>
      </c>
      <c r="H268" s="2">
        <v>17.5</v>
      </c>
      <c r="I268" s="6">
        <f t="shared" si="98"/>
        <v>87.5</v>
      </c>
      <c r="J268" s="6">
        <f t="shared" ref="J268:J331" si="102">_xlfn.RANK.AVG(I268,$I$5:$I$500)</f>
        <v>255.5</v>
      </c>
      <c r="K268" s="6">
        <f t="shared" ref="K268:K331" si="103">_xlfn.RANK.EQ(I268,$I$5:$I$500)</f>
        <v>255</v>
      </c>
      <c r="L268" s="6">
        <f t="shared" si="99"/>
        <v>449</v>
      </c>
      <c r="M268" s="6">
        <f t="shared" ref="M268:M331" si="104">COUNTIF(G268:G680,G268)</f>
        <v>26</v>
      </c>
      <c r="N268" s="6" t="b">
        <f t="shared" si="85"/>
        <v>0</v>
      </c>
      <c r="O268" s="6" t="b">
        <f t="shared" si="100"/>
        <v>1</v>
      </c>
      <c r="P268" s="6" t="str">
        <f t="shared" si="86"/>
        <v>C000036-bottles</v>
      </c>
      <c r="Q268" s="7" t="str">
        <f t="shared" si="87"/>
        <v>T049297
5</v>
      </c>
      <c r="R268" s="6" t="b">
        <f t="shared" si="88"/>
        <v>0</v>
      </c>
      <c r="S268" s="6" t="str">
        <f t="shared" si="89"/>
        <v>07</v>
      </c>
      <c r="T268" s="6" t="str">
        <f t="shared" si="90"/>
        <v>BOTTLES</v>
      </c>
      <c r="U268" s="6" t="str">
        <f t="shared" si="91"/>
        <v>bottles</v>
      </c>
      <c r="V268" s="6">
        <f t="shared" si="92"/>
        <v>2</v>
      </c>
      <c r="W268" s="6" t="str">
        <f t="shared" si="93"/>
        <v>T049297 5</v>
      </c>
      <c r="X268" s="6" t="str">
        <f t="shared" si="94"/>
        <v>S55127</v>
      </c>
      <c r="Y268" s="6" t="str">
        <f t="shared" si="95"/>
        <v>T04</v>
      </c>
      <c r="Z268" s="6" t="str">
        <f t="shared" si="96"/>
        <v>297</v>
      </c>
      <c r="AA268" s="6">
        <f t="shared" si="101"/>
        <v>2</v>
      </c>
      <c r="AB268" s="6">
        <f t="shared" si="97"/>
        <v>7</v>
      </c>
      <c r="AC268" s="6"/>
      <c r="AD268" s="23"/>
    </row>
    <row r="269" spans="1:30" ht="30" x14ac:dyDescent="0.25">
      <c r="A269" s="2" t="s">
        <v>61</v>
      </c>
      <c r="B269" s="2" t="s">
        <v>985</v>
      </c>
      <c r="C269" s="2" t="s">
        <v>986</v>
      </c>
      <c r="D269" s="2" t="s">
        <v>33</v>
      </c>
      <c r="E269" s="2" t="s">
        <v>987</v>
      </c>
      <c r="F269" s="2">
        <v>11</v>
      </c>
      <c r="G269" s="2" t="s">
        <v>35</v>
      </c>
      <c r="H269" s="2">
        <v>8</v>
      </c>
      <c r="I269" s="6">
        <f t="shared" si="98"/>
        <v>88</v>
      </c>
      <c r="J269" s="6">
        <f t="shared" si="102"/>
        <v>253</v>
      </c>
      <c r="K269" s="6">
        <f t="shared" si="103"/>
        <v>252</v>
      </c>
      <c r="L269" s="6">
        <f t="shared" si="99"/>
        <v>1008.5</v>
      </c>
      <c r="M269" s="6">
        <f t="shared" si="104"/>
        <v>61</v>
      </c>
      <c r="N269" s="6" t="b">
        <f t="shared" si="85"/>
        <v>0</v>
      </c>
      <c r="O269" s="6" t="b">
        <f t="shared" si="100"/>
        <v>0</v>
      </c>
      <c r="P269" s="6" t="str">
        <f t="shared" si="86"/>
        <v>C008766-cans</v>
      </c>
      <c r="Q269" s="7" t="str">
        <f t="shared" si="87"/>
        <v>T03464
11</v>
      </c>
      <c r="R269" s="6" t="b">
        <f t="shared" si="88"/>
        <v>0</v>
      </c>
      <c r="S269" s="6" t="str">
        <f t="shared" si="89"/>
        <v>05</v>
      </c>
      <c r="T269" s="6" t="str">
        <f t="shared" si="90"/>
        <v>CANS</v>
      </c>
      <c r="U269" s="6" t="str">
        <f t="shared" si="91"/>
        <v>cans</v>
      </c>
      <c r="V269" s="6">
        <f t="shared" si="92"/>
        <v>2</v>
      </c>
      <c r="W269" s="6" t="str">
        <f t="shared" si="93"/>
        <v>T03464 11</v>
      </c>
      <c r="X269" s="6" t="str">
        <f t="shared" si="94"/>
        <v>S55548</v>
      </c>
      <c r="Y269" s="6" t="str">
        <f t="shared" si="95"/>
        <v>T03</v>
      </c>
      <c r="Z269" s="6" t="str">
        <f t="shared" si="96"/>
        <v>464</v>
      </c>
      <c r="AA269" s="6">
        <f t="shared" si="101"/>
        <v>2</v>
      </c>
      <c r="AB269" s="6">
        <f t="shared" si="97"/>
        <v>4</v>
      </c>
      <c r="AC269" s="6"/>
      <c r="AD269" s="23"/>
    </row>
    <row r="270" spans="1:30" ht="30" x14ac:dyDescent="0.25">
      <c r="A270" s="2" t="s">
        <v>8</v>
      </c>
      <c r="B270" s="2" t="s">
        <v>988</v>
      </c>
      <c r="C270" s="2" t="s">
        <v>989</v>
      </c>
      <c r="D270" s="2" t="s">
        <v>990</v>
      </c>
      <c r="E270" s="2" t="s">
        <v>991</v>
      </c>
      <c r="F270" s="2">
        <v>8</v>
      </c>
      <c r="G270" s="2" t="s">
        <v>407</v>
      </c>
      <c r="H270" s="2">
        <v>12.5</v>
      </c>
      <c r="I270" s="6">
        <f t="shared" si="98"/>
        <v>100</v>
      </c>
      <c r="J270" s="6">
        <f t="shared" si="102"/>
        <v>214.5</v>
      </c>
      <c r="K270" s="6">
        <f t="shared" si="103"/>
        <v>212</v>
      </c>
      <c r="L270" s="6">
        <f t="shared" si="99"/>
        <v>104.5</v>
      </c>
      <c r="M270" s="6">
        <f t="shared" si="104"/>
        <v>7</v>
      </c>
      <c r="N270" s="6" t="b">
        <f t="shared" si="85"/>
        <v>0</v>
      </c>
      <c r="O270" s="6" t="b">
        <f t="shared" si="100"/>
        <v>1</v>
      </c>
      <c r="P270" s="6" t="str">
        <f t="shared" si="86"/>
        <v>C008798-pk</v>
      </c>
      <c r="Q270" s="7" t="str">
        <f t="shared" si="87"/>
        <v>T060606
8</v>
      </c>
      <c r="R270" s="6" t="b">
        <f t="shared" si="88"/>
        <v>0</v>
      </c>
      <c r="S270" s="6" t="str">
        <f t="shared" si="89"/>
        <v>12</v>
      </c>
      <c r="T270" s="6" t="str">
        <f t="shared" si="90"/>
        <v>PK</v>
      </c>
      <c r="U270" s="6" t="str">
        <f t="shared" si="91"/>
        <v>pk</v>
      </c>
      <c r="V270" s="6">
        <f t="shared" si="92"/>
        <v>2</v>
      </c>
      <c r="W270" s="6" t="str">
        <f t="shared" si="93"/>
        <v>T060606 8</v>
      </c>
      <c r="X270" s="6" t="str">
        <f t="shared" si="94"/>
        <v>S55465</v>
      </c>
      <c r="Y270" s="6" t="str">
        <f t="shared" si="95"/>
        <v>T06</v>
      </c>
      <c r="Z270" s="6" t="str">
        <f t="shared" si="96"/>
        <v>606</v>
      </c>
      <c r="AA270" s="6">
        <f t="shared" si="101"/>
        <v>2</v>
      </c>
      <c r="AB270" s="6">
        <f t="shared" si="97"/>
        <v>2</v>
      </c>
      <c r="AC270" s="6"/>
      <c r="AD270" s="23"/>
    </row>
    <row r="271" spans="1:30" ht="30" x14ac:dyDescent="0.25">
      <c r="A271" s="2" t="s">
        <v>359</v>
      </c>
      <c r="B271" s="2" t="s">
        <v>992</v>
      </c>
      <c r="C271" s="2" t="s">
        <v>993</v>
      </c>
      <c r="D271" s="2" t="s">
        <v>994</v>
      </c>
      <c r="E271" s="2" t="s">
        <v>191</v>
      </c>
      <c r="F271" s="2">
        <v>6</v>
      </c>
      <c r="G271" s="2" t="s">
        <v>35</v>
      </c>
      <c r="H271" s="2">
        <v>8</v>
      </c>
      <c r="I271" s="6">
        <f t="shared" si="98"/>
        <v>48</v>
      </c>
      <c r="J271" s="6">
        <f t="shared" si="102"/>
        <v>382.5</v>
      </c>
      <c r="K271" s="6">
        <f t="shared" si="103"/>
        <v>379</v>
      </c>
      <c r="L271" s="6">
        <f t="shared" si="99"/>
        <v>1000.5</v>
      </c>
      <c r="M271" s="6">
        <f t="shared" si="104"/>
        <v>60</v>
      </c>
      <c r="N271" s="6" t="b">
        <f t="shared" si="85"/>
        <v>0</v>
      </c>
      <c r="O271" s="6" t="b">
        <f t="shared" si="100"/>
        <v>1</v>
      </c>
      <c r="P271" s="6" t="str">
        <f t="shared" si="86"/>
        <v>C006415-cans</v>
      </c>
      <c r="Q271" s="7" t="str">
        <f t="shared" si="87"/>
        <v>T057106
6</v>
      </c>
      <c r="R271" s="6" t="b">
        <f t="shared" si="88"/>
        <v>0</v>
      </c>
      <c r="S271" s="6" t="str">
        <f t="shared" si="89"/>
        <v>04</v>
      </c>
      <c r="T271" s="6" t="str">
        <f t="shared" si="90"/>
        <v>CANS</v>
      </c>
      <c r="U271" s="6" t="str">
        <f t="shared" si="91"/>
        <v>cans</v>
      </c>
      <c r="V271" s="6">
        <f t="shared" si="92"/>
        <v>2</v>
      </c>
      <c r="W271" s="6" t="str">
        <f t="shared" si="93"/>
        <v>T057106 6</v>
      </c>
      <c r="X271" s="6" t="str">
        <f t="shared" si="94"/>
        <v>S5537</v>
      </c>
      <c r="Y271" s="6" t="str">
        <f t="shared" si="95"/>
        <v>T05</v>
      </c>
      <c r="Z271" s="6" t="str">
        <f t="shared" si="96"/>
        <v>106</v>
      </c>
      <c r="AA271" s="6">
        <f t="shared" si="101"/>
        <v>2</v>
      </c>
      <c r="AB271" s="6">
        <f t="shared" si="97"/>
        <v>4</v>
      </c>
      <c r="AC271" s="6"/>
      <c r="AD271" s="23"/>
    </row>
    <row r="272" spans="1:30" ht="30" x14ac:dyDescent="0.25">
      <c r="A272" s="2" t="s">
        <v>224</v>
      </c>
      <c r="B272" s="2" t="s">
        <v>995</v>
      </c>
      <c r="C272" s="2" t="s">
        <v>996</v>
      </c>
      <c r="D272" s="2" t="s">
        <v>997</v>
      </c>
      <c r="E272" s="2" t="s">
        <v>998</v>
      </c>
      <c r="F272" s="2">
        <v>4</v>
      </c>
      <c r="G272" s="2" t="s">
        <v>106</v>
      </c>
      <c r="H272" s="2">
        <v>17</v>
      </c>
      <c r="I272" s="6">
        <f t="shared" si="98"/>
        <v>68</v>
      </c>
      <c r="J272" s="6">
        <f t="shared" si="102"/>
        <v>306</v>
      </c>
      <c r="K272" s="6">
        <f t="shared" si="103"/>
        <v>304</v>
      </c>
      <c r="L272" s="6">
        <f t="shared" si="99"/>
        <v>231</v>
      </c>
      <c r="M272" s="6">
        <f t="shared" si="104"/>
        <v>14</v>
      </c>
      <c r="N272" s="6" t="b">
        <f t="shared" si="85"/>
        <v>0</v>
      </c>
      <c r="O272" s="6" t="b">
        <f t="shared" si="100"/>
        <v>1</v>
      </c>
      <c r="P272" s="6" t="str">
        <f t="shared" si="86"/>
        <v>C007020-bags</v>
      </c>
      <c r="Q272" s="7" t="str">
        <f t="shared" si="87"/>
        <v>T052720
4</v>
      </c>
      <c r="R272" s="6" t="b">
        <f t="shared" si="88"/>
        <v>0</v>
      </c>
      <c r="S272" s="6" t="str">
        <f t="shared" si="89"/>
        <v>16</v>
      </c>
      <c r="T272" s="6" t="str">
        <f t="shared" si="90"/>
        <v>BAGS</v>
      </c>
      <c r="U272" s="6" t="str">
        <f t="shared" si="91"/>
        <v>bags</v>
      </c>
      <c r="V272" s="6">
        <f t="shared" si="92"/>
        <v>2</v>
      </c>
      <c r="W272" s="6" t="str">
        <f t="shared" si="93"/>
        <v>T052720 4</v>
      </c>
      <c r="X272" s="6" t="str">
        <f t="shared" si="94"/>
        <v>S55569</v>
      </c>
      <c r="Y272" s="6" t="str">
        <f t="shared" si="95"/>
        <v>T05</v>
      </c>
      <c r="Z272" s="6" t="str">
        <f t="shared" si="96"/>
        <v>720</v>
      </c>
      <c r="AA272" s="6">
        <f t="shared" si="101"/>
        <v>2</v>
      </c>
      <c r="AB272" s="6">
        <f t="shared" si="97"/>
        <v>4</v>
      </c>
      <c r="AC272" s="6"/>
      <c r="AD272" s="23"/>
    </row>
    <row r="273" spans="1:30" ht="30" x14ac:dyDescent="0.25">
      <c r="A273" s="2" t="s">
        <v>168</v>
      </c>
      <c r="B273" s="2" t="s">
        <v>999</v>
      </c>
      <c r="C273" s="2" t="s">
        <v>1000</v>
      </c>
      <c r="D273" s="2" t="s">
        <v>489</v>
      </c>
      <c r="E273" s="2" t="s">
        <v>560</v>
      </c>
      <c r="F273" s="2">
        <v>3</v>
      </c>
      <c r="G273" s="2" t="s">
        <v>13</v>
      </c>
      <c r="H273" s="2">
        <v>21</v>
      </c>
      <c r="I273" s="6">
        <f t="shared" si="98"/>
        <v>63</v>
      </c>
      <c r="J273" s="6">
        <f t="shared" si="102"/>
        <v>333.5</v>
      </c>
      <c r="K273" s="6">
        <f t="shared" si="103"/>
        <v>333</v>
      </c>
      <c r="L273" s="6">
        <f t="shared" si="99"/>
        <v>1672</v>
      </c>
      <c r="M273" s="6">
        <f t="shared" si="104"/>
        <v>87</v>
      </c>
      <c r="N273" s="6" t="b">
        <f t="shared" si="85"/>
        <v>1</v>
      </c>
      <c r="O273" s="6" t="b">
        <f t="shared" si="100"/>
        <v>1</v>
      </c>
      <c r="P273" s="6" t="str">
        <f t="shared" si="86"/>
        <v>C002621-ct</v>
      </c>
      <c r="Q273" s="7" t="str">
        <f t="shared" si="87"/>
        <v>T045675
3</v>
      </c>
      <c r="R273" s="6" t="b">
        <f t="shared" si="88"/>
        <v>0</v>
      </c>
      <c r="S273" s="6" t="str">
        <f t="shared" si="89"/>
        <v>14</v>
      </c>
      <c r="T273" s="6" t="str">
        <f t="shared" si="90"/>
        <v>CT</v>
      </c>
      <c r="U273" s="6" t="str">
        <f t="shared" si="91"/>
        <v>ct</v>
      </c>
      <c r="V273" s="6">
        <f t="shared" si="92"/>
        <v>2</v>
      </c>
      <c r="W273" s="6" t="str">
        <f t="shared" si="93"/>
        <v>T045675 3</v>
      </c>
      <c r="X273" s="6" t="str">
        <f t="shared" si="94"/>
        <v>S55755</v>
      </c>
      <c r="Y273" s="6" t="str">
        <f t="shared" si="95"/>
        <v>T04</v>
      </c>
      <c r="Z273" s="6" t="str">
        <f t="shared" si="96"/>
        <v>675</v>
      </c>
      <c r="AA273" s="6">
        <f t="shared" si="101"/>
        <v>2</v>
      </c>
      <c r="AB273" s="6">
        <f t="shared" si="97"/>
        <v>2</v>
      </c>
      <c r="AC273" s="6"/>
      <c r="AD273" s="23"/>
    </row>
    <row r="274" spans="1:30" ht="30" x14ac:dyDescent="0.25">
      <c r="A274" s="2" t="s">
        <v>459</v>
      </c>
      <c r="B274" s="2" t="s">
        <v>1001</v>
      </c>
      <c r="C274" s="2" t="s">
        <v>1002</v>
      </c>
      <c r="D274" s="2" t="s">
        <v>69</v>
      </c>
      <c r="E274" s="2" t="s">
        <v>486</v>
      </c>
      <c r="F274" s="2">
        <v>7</v>
      </c>
      <c r="G274" s="2" t="s">
        <v>13</v>
      </c>
      <c r="H274" s="2">
        <v>14</v>
      </c>
      <c r="I274" s="6">
        <f t="shared" si="98"/>
        <v>98</v>
      </c>
      <c r="J274" s="6">
        <f t="shared" si="102"/>
        <v>221.5</v>
      </c>
      <c r="K274" s="6">
        <f t="shared" si="103"/>
        <v>221</v>
      </c>
      <c r="L274" s="6">
        <f t="shared" si="99"/>
        <v>1651</v>
      </c>
      <c r="M274" s="6">
        <f t="shared" si="104"/>
        <v>86</v>
      </c>
      <c r="N274" s="6" t="b">
        <f t="shared" si="85"/>
        <v>0</v>
      </c>
      <c r="O274" s="6" t="b">
        <f t="shared" si="100"/>
        <v>1</v>
      </c>
      <c r="P274" s="6" t="str">
        <f t="shared" si="86"/>
        <v>C004197-ct</v>
      </c>
      <c r="Q274" s="7" t="str">
        <f t="shared" si="87"/>
        <v>T073428
7</v>
      </c>
      <c r="R274" s="6" t="b">
        <f t="shared" si="88"/>
        <v>0</v>
      </c>
      <c r="S274" s="6" t="str">
        <f t="shared" si="89"/>
        <v>18</v>
      </c>
      <c r="T274" s="6" t="str">
        <f t="shared" si="90"/>
        <v>CT</v>
      </c>
      <c r="U274" s="6" t="str">
        <f t="shared" si="91"/>
        <v>ct</v>
      </c>
      <c r="V274" s="6">
        <f t="shared" si="92"/>
        <v>2</v>
      </c>
      <c r="W274" s="6" t="str">
        <f t="shared" si="93"/>
        <v>T073428 7</v>
      </c>
      <c r="X274" s="6" t="str">
        <f t="shared" si="94"/>
        <v>S55312</v>
      </c>
      <c r="Y274" s="6" t="str">
        <f t="shared" si="95"/>
        <v>T07</v>
      </c>
      <c r="Z274" s="6" t="str">
        <f t="shared" si="96"/>
        <v>428</v>
      </c>
      <c r="AA274" s="6">
        <f t="shared" si="101"/>
        <v>2</v>
      </c>
      <c r="AB274" s="6">
        <f t="shared" si="97"/>
        <v>2</v>
      </c>
      <c r="AC274" s="6"/>
      <c r="AD274" s="23"/>
    </row>
    <row r="275" spans="1:30" ht="30" x14ac:dyDescent="0.25">
      <c r="A275" s="2" t="s">
        <v>274</v>
      </c>
      <c r="B275" s="2" t="s">
        <v>1003</v>
      </c>
      <c r="C275" s="2" t="s">
        <v>1004</v>
      </c>
      <c r="D275" s="2" t="s">
        <v>1005</v>
      </c>
      <c r="E275" s="2" t="s">
        <v>1006</v>
      </c>
      <c r="F275" s="2">
        <v>4</v>
      </c>
      <c r="G275" s="2" t="s">
        <v>13</v>
      </c>
      <c r="H275" s="2">
        <v>16</v>
      </c>
      <c r="I275" s="6">
        <f t="shared" si="98"/>
        <v>64</v>
      </c>
      <c r="J275" s="6">
        <f t="shared" si="102"/>
        <v>328</v>
      </c>
      <c r="K275" s="6">
        <f t="shared" si="103"/>
        <v>324</v>
      </c>
      <c r="L275" s="6">
        <f t="shared" si="99"/>
        <v>1637</v>
      </c>
      <c r="M275" s="6">
        <f t="shared" si="104"/>
        <v>85</v>
      </c>
      <c r="N275" s="6" t="b">
        <f t="shared" si="85"/>
        <v>0</v>
      </c>
      <c r="O275" s="6" t="b">
        <f t="shared" si="100"/>
        <v>1</v>
      </c>
      <c r="P275" s="6" t="str">
        <f t="shared" si="86"/>
        <v>C006096-ct</v>
      </c>
      <c r="Q275" s="7" t="str">
        <f t="shared" si="87"/>
        <v>T058615
4</v>
      </c>
      <c r="R275" s="6" t="b">
        <f t="shared" si="88"/>
        <v>0</v>
      </c>
      <c r="S275" s="6" t="str">
        <f t="shared" si="89"/>
        <v>19</v>
      </c>
      <c r="T275" s="6" t="str">
        <f t="shared" si="90"/>
        <v>CT</v>
      </c>
      <c r="U275" s="6" t="str">
        <f t="shared" si="91"/>
        <v>ct</v>
      </c>
      <c r="V275" s="6">
        <f t="shared" si="92"/>
        <v>2</v>
      </c>
      <c r="W275" s="6" t="str">
        <f t="shared" si="93"/>
        <v>T058615 4</v>
      </c>
      <c r="X275" s="6" t="str">
        <f t="shared" si="94"/>
        <v>S55153</v>
      </c>
      <c r="Y275" s="6" t="str">
        <f t="shared" si="95"/>
        <v>T05</v>
      </c>
      <c r="Z275" s="6" t="str">
        <f t="shared" si="96"/>
        <v>615</v>
      </c>
      <c r="AA275" s="6">
        <f t="shared" si="101"/>
        <v>2</v>
      </c>
      <c r="AB275" s="6">
        <f t="shared" si="97"/>
        <v>2</v>
      </c>
      <c r="AC275" s="6"/>
      <c r="AD275" s="23"/>
    </row>
    <row r="276" spans="1:30" ht="30" x14ac:dyDescent="0.25">
      <c r="A276" s="2" t="s">
        <v>137</v>
      </c>
      <c r="B276" s="2" t="s">
        <v>1007</v>
      </c>
      <c r="C276" s="2" t="s">
        <v>1008</v>
      </c>
      <c r="D276" s="2" t="s">
        <v>578</v>
      </c>
      <c r="E276" s="2" t="s">
        <v>597</v>
      </c>
      <c r="F276" s="2">
        <v>5</v>
      </c>
      <c r="G276" s="2" t="s">
        <v>13</v>
      </c>
      <c r="H276" s="2">
        <v>22</v>
      </c>
      <c r="I276" s="6">
        <f t="shared" si="98"/>
        <v>110</v>
      </c>
      <c r="J276" s="6">
        <f t="shared" si="102"/>
        <v>194</v>
      </c>
      <c r="K276" s="6">
        <f t="shared" si="103"/>
        <v>192</v>
      </c>
      <c r="L276" s="6">
        <f t="shared" si="99"/>
        <v>1621</v>
      </c>
      <c r="M276" s="6">
        <f t="shared" si="104"/>
        <v>84</v>
      </c>
      <c r="N276" s="6" t="b">
        <f t="shared" si="85"/>
        <v>1</v>
      </c>
      <c r="O276" s="6" t="b">
        <f t="shared" si="100"/>
        <v>1</v>
      </c>
      <c r="P276" s="6" t="str">
        <f t="shared" si="86"/>
        <v>C004580-ct</v>
      </c>
      <c r="Q276" s="7" t="str">
        <f t="shared" si="87"/>
        <v>T076089
5</v>
      </c>
      <c r="R276" s="6" t="b">
        <f t="shared" si="88"/>
        <v>0</v>
      </c>
      <c r="S276" s="6" t="str">
        <f t="shared" si="89"/>
        <v>21</v>
      </c>
      <c r="T276" s="6" t="str">
        <f t="shared" si="90"/>
        <v>CT</v>
      </c>
      <c r="U276" s="6" t="str">
        <f t="shared" si="91"/>
        <v>ct</v>
      </c>
      <c r="V276" s="6">
        <f t="shared" si="92"/>
        <v>2</v>
      </c>
      <c r="W276" s="6" t="str">
        <f t="shared" si="93"/>
        <v>T076089 5</v>
      </c>
      <c r="X276" s="6" t="str">
        <f t="shared" si="94"/>
        <v>S55469</v>
      </c>
      <c r="Y276" s="6" t="str">
        <f t="shared" si="95"/>
        <v>T07</v>
      </c>
      <c r="Z276" s="6" t="str">
        <f t="shared" si="96"/>
        <v>089</v>
      </c>
      <c r="AA276" s="6">
        <f t="shared" si="101"/>
        <v>2</v>
      </c>
      <c r="AB276" s="6">
        <f t="shared" si="97"/>
        <v>2</v>
      </c>
      <c r="AC276" s="6"/>
      <c r="AD276" s="23"/>
    </row>
    <row r="277" spans="1:30" ht="30" x14ac:dyDescent="0.25">
      <c r="A277" s="2" t="s">
        <v>146</v>
      </c>
      <c r="B277" s="2" t="s">
        <v>1009</v>
      </c>
      <c r="C277" s="2" t="s">
        <v>1010</v>
      </c>
      <c r="D277" s="2" t="s">
        <v>190</v>
      </c>
      <c r="E277" s="2" t="s">
        <v>1011</v>
      </c>
      <c r="F277" s="2">
        <v>6</v>
      </c>
      <c r="G277" s="2" t="s">
        <v>13</v>
      </c>
      <c r="H277" s="2">
        <v>20</v>
      </c>
      <c r="I277" s="6">
        <f t="shared" si="98"/>
        <v>120</v>
      </c>
      <c r="J277" s="6">
        <f t="shared" si="102"/>
        <v>169.5</v>
      </c>
      <c r="K277" s="6">
        <f t="shared" si="103"/>
        <v>162</v>
      </c>
      <c r="L277" s="6">
        <f t="shared" si="99"/>
        <v>1599</v>
      </c>
      <c r="M277" s="6">
        <f t="shared" si="104"/>
        <v>83</v>
      </c>
      <c r="N277" s="6" t="b">
        <f t="shared" si="85"/>
        <v>0</v>
      </c>
      <c r="O277" s="6" t="b">
        <f t="shared" si="100"/>
        <v>1</v>
      </c>
      <c r="P277" s="6" t="str">
        <f t="shared" si="86"/>
        <v>C007301-ct</v>
      </c>
      <c r="Q277" s="7" t="str">
        <f t="shared" si="87"/>
        <v>T019203
6</v>
      </c>
      <c r="R277" s="6" t="b">
        <f t="shared" si="88"/>
        <v>0</v>
      </c>
      <c r="S277" s="6" t="str">
        <f t="shared" si="89"/>
        <v>24</v>
      </c>
      <c r="T277" s="6" t="str">
        <f t="shared" si="90"/>
        <v>CT</v>
      </c>
      <c r="U277" s="6" t="str">
        <f t="shared" si="91"/>
        <v>ct</v>
      </c>
      <c r="V277" s="6">
        <f t="shared" si="92"/>
        <v>2</v>
      </c>
      <c r="W277" s="6" t="str">
        <f t="shared" si="93"/>
        <v>T019203 6</v>
      </c>
      <c r="X277" s="6" t="str">
        <f t="shared" si="94"/>
        <v>S55314</v>
      </c>
      <c r="Y277" s="6" t="str">
        <f t="shared" si="95"/>
        <v>T01</v>
      </c>
      <c r="Z277" s="6" t="str">
        <f t="shared" si="96"/>
        <v>203</v>
      </c>
      <c r="AA277" s="6">
        <f t="shared" si="101"/>
        <v>2</v>
      </c>
      <c r="AB277" s="6">
        <f t="shared" si="97"/>
        <v>2</v>
      </c>
      <c r="AC277" s="6"/>
      <c r="AD277" s="23"/>
    </row>
    <row r="278" spans="1:30" ht="30" x14ac:dyDescent="0.25">
      <c r="A278" s="2" t="s">
        <v>91</v>
      </c>
      <c r="B278" s="2" t="s">
        <v>1012</v>
      </c>
      <c r="C278" s="2" t="s">
        <v>1013</v>
      </c>
      <c r="D278" s="2" t="s">
        <v>489</v>
      </c>
      <c r="E278" s="2" t="s">
        <v>1014</v>
      </c>
      <c r="F278" s="2">
        <v>3</v>
      </c>
      <c r="G278" s="2" t="s">
        <v>13</v>
      </c>
      <c r="H278" s="2">
        <v>21</v>
      </c>
      <c r="I278" s="6">
        <f t="shared" si="98"/>
        <v>63</v>
      </c>
      <c r="J278" s="6">
        <f t="shared" si="102"/>
        <v>333.5</v>
      </c>
      <c r="K278" s="6">
        <f t="shared" si="103"/>
        <v>333</v>
      </c>
      <c r="L278" s="6">
        <f t="shared" si="99"/>
        <v>1579</v>
      </c>
      <c r="M278" s="6">
        <f t="shared" si="104"/>
        <v>82</v>
      </c>
      <c r="N278" s="6" t="b">
        <f t="shared" si="85"/>
        <v>1</v>
      </c>
      <c r="O278" s="6" t="b">
        <f t="shared" si="100"/>
        <v>1</v>
      </c>
      <c r="P278" s="6" t="str">
        <f t="shared" si="86"/>
        <v>C006052-ct</v>
      </c>
      <c r="Q278" s="7" t="str">
        <f t="shared" si="87"/>
        <v>T045970
3</v>
      </c>
      <c r="R278" s="6" t="b">
        <f t="shared" si="88"/>
        <v>0</v>
      </c>
      <c r="S278" s="6" t="str">
        <f t="shared" si="89"/>
        <v>14</v>
      </c>
      <c r="T278" s="6" t="str">
        <f t="shared" si="90"/>
        <v>CT</v>
      </c>
      <c r="U278" s="6" t="str">
        <f t="shared" si="91"/>
        <v>ct</v>
      </c>
      <c r="V278" s="6">
        <f t="shared" si="92"/>
        <v>2</v>
      </c>
      <c r="W278" s="6" t="str">
        <f t="shared" si="93"/>
        <v>T045970 3</v>
      </c>
      <c r="X278" s="6" t="str">
        <f t="shared" si="94"/>
        <v>S5553</v>
      </c>
      <c r="Y278" s="6" t="str">
        <f t="shared" si="95"/>
        <v>T04</v>
      </c>
      <c r="Z278" s="6" t="str">
        <f t="shared" si="96"/>
        <v>970</v>
      </c>
      <c r="AA278" s="6">
        <f t="shared" si="101"/>
        <v>2</v>
      </c>
      <c r="AB278" s="6">
        <f t="shared" si="97"/>
        <v>2</v>
      </c>
      <c r="AC278" s="6"/>
      <c r="AD278" s="23"/>
    </row>
    <row r="279" spans="1:30" ht="30" x14ac:dyDescent="0.25">
      <c r="A279" s="2" t="s">
        <v>66</v>
      </c>
      <c r="B279" s="2" t="s">
        <v>1015</v>
      </c>
      <c r="C279" s="2" t="s">
        <v>1016</v>
      </c>
      <c r="D279" s="2" t="s">
        <v>194</v>
      </c>
      <c r="E279" s="2" t="s">
        <v>172</v>
      </c>
      <c r="F279" s="2">
        <v>4</v>
      </c>
      <c r="G279" s="2" t="s">
        <v>13</v>
      </c>
      <c r="H279" s="2">
        <v>9</v>
      </c>
      <c r="I279" s="6">
        <f t="shared" si="98"/>
        <v>36</v>
      </c>
      <c r="J279" s="6">
        <f t="shared" si="102"/>
        <v>417.5</v>
      </c>
      <c r="K279" s="6">
        <f t="shared" si="103"/>
        <v>416</v>
      </c>
      <c r="L279" s="6">
        <f t="shared" si="99"/>
        <v>1558</v>
      </c>
      <c r="M279" s="6">
        <f t="shared" si="104"/>
        <v>81</v>
      </c>
      <c r="N279" s="6" t="b">
        <f t="shared" si="85"/>
        <v>0</v>
      </c>
      <c r="O279" s="6" t="b">
        <f t="shared" si="100"/>
        <v>1</v>
      </c>
      <c r="P279" s="6" t="str">
        <f t="shared" si="86"/>
        <v>C003931-ct</v>
      </c>
      <c r="Q279" s="7" t="str">
        <f t="shared" si="87"/>
        <v>T017404
4</v>
      </c>
      <c r="R279" s="6" t="b">
        <f t="shared" si="88"/>
        <v>0</v>
      </c>
      <c r="S279" s="6" t="str">
        <f t="shared" si="89"/>
        <v>12</v>
      </c>
      <c r="T279" s="6" t="str">
        <f t="shared" si="90"/>
        <v>CT</v>
      </c>
      <c r="U279" s="6" t="str">
        <f t="shared" si="91"/>
        <v>ct</v>
      </c>
      <c r="V279" s="6">
        <f t="shared" si="92"/>
        <v>2</v>
      </c>
      <c r="W279" s="6" t="str">
        <f t="shared" si="93"/>
        <v>T017404 4</v>
      </c>
      <c r="X279" s="6" t="str">
        <f t="shared" si="94"/>
        <v>S55317</v>
      </c>
      <c r="Y279" s="6" t="str">
        <f t="shared" si="95"/>
        <v>T01</v>
      </c>
      <c r="Z279" s="6" t="str">
        <f t="shared" si="96"/>
        <v>404</v>
      </c>
      <c r="AA279" s="6">
        <f t="shared" si="101"/>
        <v>2</v>
      </c>
      <c r="AB279" s="6">
        <f t="shared" si="97"/>
        <v>2</v>
      </c>
      <c r="AC279" s="6"/>
      <c r="AD279" s="23"/>
    </row>
    <row r="280" spans="1:30" ht="30" x14ac:dyDescent="0.25">
      <c r="A280" s="2" t="s">
        <v>55</v>
      </c>
      <c r="B280" s="2" t="s">
        <v>1017</v>
      </c>
      <c r="C280" s="2" t="s">
        <v>1018</v>
      </c>
      <c r="D280" s="2" t="s">
        <v>1019</v>
      </c>
      <c r="E280" s="2" t="s">
        <v>1020</v>
      </c>
      <c r="F280" s="2">
        <v>6</v>
      </c>
      <c r="G280" s="2" t="s">
        <v>167</v>
      </c>
      <c r="H280" s="2">
        <v>13</v>
      </c>
      <c r="I280" s="6">
        <f t="shared" si="98"/>
        <v>78</v>
      </c>
      <c r="J280" s="6">
        <f t="shared" si="102"/>
        <v>279.5</v>
      </c>
      <c r="K280" s="6">
        <f t="shared" si="103"/>
        <v>279</v>
      </c>
      <c r="L280" s="6">
        <f t="shared" si="99"/>
        <v>234.5</v>
      </c>
      <c r="M280" s="6">
        <f t="shared" si="104"/>
        <v>15</v>
      </c>
      <c r="N280" s="6" t="b">
        <f t="shared" si="85"/>
        <v>0</v>
      </c>
      <c r="O280" s="6" t="b">
        <f t="shared" si="100"/>
        <v>1</v>
      </c>
      <c r="P280" s="6" t="str">
        <f t="shared" si="86"/>
        <v>C008489-oz</v>
      </c>
      <c r="Q280" s="7" t="str">
        <f t="shared" si="87"/>
        <v>T051421
6</v>
      </c>
      <c r="R280" s="6" t="b">
        <f t="shared" si="88"/>
        <v>0</v>
      </c>
      <c r="S280" s="6" t="str">
        <f t="shared" si="89"/>
        <v>25</v>
      </c>
      <c r="T280" s="6" t="str">
        <f t="shared" si="90"/>
        <v>OZ</v>
      </c>
      <c r="U280" s="6" t="str">
        <f t="shared" si="91"/>
        <v>oz</v>
      </c>
      <c r="V280" s="6">
        <f t="shared" si="92"/>
        <v>2</v>
      </c>
      <c r="W280" s="6" t="str">
        <f t="shared" si="93"/>
        <v>T051421 6</v>
      </c>
      <c r="X280" s="6" t="str">
        <f t="shared" si="94"/>
        <v>S55651</v>
      </c>
      <c r="Y280" s="6" t="str">
        <f t="shared" si="95"/>
        <v>T05</v>
      </c>
      <c r="Z280" s="6" t="str">
        <f t="shared" si="96"/>
        <v>421</v>
      </c>
      <c r="AA280" s="6">
        <f t="shared" si="101"/>
        <v>2</v>
      </c>
      <c r="AB280" s="6">
        <f t="shared" si="97"/>
        <v>2</v>
      </c>
      <c r="AC280" s="6"/>
      <c r="AD280" s="23"/>
    </row>
    <row r="281" spans="1:30" ht="30" x14ac:dyDescent="0.25">
      <c r="A281" s="2" t="s">
        <v>288</v>
      </c>
      <c r="B281" s="2" t="s">
        <v>1021</v>
      </c>
      <c r="C281" s="2" t="s">
        <v>1022</v>
      </c>
      <c r="D281" s="2" t="s">
        <v>1023</v>
      </c>
      <c r="E281" s="2" t="s">
        <v>302</v>
      </c>
      <c r="F281" s="2">
        <v>3</v>
      </c>
      <c r="G281" s="2" t="s">
        <v>13</v>
      </c>
      <c r="H281" s="2">
        <v>14</v>
      </c>
      <c r="I281" s="6">
        <f t="shared" si="98"/>
        <v>42</v>
      </c>
      <c r="J281" s="6">
        <f t="shared" si="102"/>
        <v>404</v>
      </c>
      <c r="K281" s="6">
        <f t="shared" si="103"/>
        <v>400</v>
      </c>
      <c r="L281" s="6">
        <f t="shared" si="99"/>
        <v>1549</v>
      </c>
      <c r="M281" s="6">
        <f t="shared" si="104"/>
        <v>80</v>
      </c>
      <c r="N281" s="6" t="b">
        <f t="shared" si="85"/>
        <v>0</v>
      </c>
      <c r="O281" s="6" t="b">
        <f t="shared" si="100"/>
        <v>1</v>
      </c>
      <c r="P281" s="6" t="str">
        <f t="shared" si="86"/>
        <v>C002433-ct</v>
      </c>
      <c r="Q281" s="7" t="str">
        <f t="shared" si="87"/>
        <v>T040412
3</v>
      </c>
      <c r="R281" s="6" t="b">
        <f t="shared" si="88"/>
        <v>0</v>
      </c>
      <c r="S281" s="6" t="str">
        <f t="shared" si="89"/>
        <v>18</v>
      </c>
      <c r="T281" s="6" t="str">
        <f t="shared" si="90"/>
        <v>CT</v>
      </c>
      <c r="U281" s="6" t="str">
        <f t="shared" si="91"/>
        <v>ct</v>
      </c>
      <c r="V281" s="6">
        <f t="shared" si="92"/>
        <v>2</v>
      </c>
      <c r="W281" s="6" t="str">
        <f t="shared" si="93"/>
        <v>T040412 3</v>
      </c>
      <c r="X281" s="6" t="str">
        <f t="shared" si="94"/>
        <v>S55617</v>
      </c>
      <c r="Y281" s="6" t="str">
        <f t="shared" si="95"/>
        <v>T04</v>
      </c>
      <c r="Z281" s="6" t="str">
        <f t="shared" si="96"/>
        <v>412</v>
      </c>
      <c r="AA281" s="6">
        <f t="shared" si="101"/>
        <v>2</v>
      </c>
      <c r="AB281" s="6">
        <f t="shared" si="97"/>
        <v>2</v>
      </c>
      <c r="AC281" s="6"/>
      <c r="AD281" s="23"/>
    </row>
    <row r="282" spans="1:30" ht="30" x14ac:dyDescent="0.25">
      <c r="A282" s="2" t="s">
        <v>523</v>
      </c>
      <c r="B282" s="2" t="s">
        <v>1024</v>
      </c>
      <c r="C282" s="2" t="s">
        <v>1025</v>
      </c>
      <c r="D282" s="2" t="s">
        <v>537</v>
      </c>
      <c r="E282" s="2" t="s">
        <v>665</v>
      </c>
      <c r="F282" s="2">
        <v>1</v>
      </c>
      <c r="G282" s="2" t="s">
        <v>60</v>
      </c>
      <c r="H282" s="2">
        <v>10</v>
      </c>
      <c r="I282" s="6">
        <f t="shared" si="98"/>
        <v>10</v>
      </c>
      <c r="J282" s="6">
        <f t="shared" si="102"/>
        <v>490.5</v>
      </c>
      <c r="K282" s="6">
        <f t="shared" si="103"/>
        <v>490</v>
      </c>
      <c r="L282" s="6">
        <f t="shared" si="99"/>
        <v>431.5</v>
      </c>
      <c r="M282" s="6">
        <f t="shared" si="104"/>
        <v>25</v>
      </c>
      <c r="N282" s="6" t="b">
        <f t="shared" si="85"/>
        <v>0</v>
      </c>
      <c r="O282" s="6" t="b">
        <f t="shared" si="100"/>
        <v>1</v>
      </c>
      <c r="P282" s="6" t="str">
        <f t="shared" si="86"/>
        <v>C006369-bottles</v>
      </c>
      <c r="Q282" s="7" t="str">
        <f t="shared" si="87"/>
        <v>T010129
1</v>
      </c>
      <c r="R282" s="6" t="b">
        <f t="shared" si="88"/>
        <v>0</v>
      </c>
      <c r="S282" s="6" t="str">
        <f t="shared" si="89"/>
        <v>09</v>
      </c>
      <c r="T282" s="6" t="str">
        <f t="shared" si="90"/>
        <v>BOTTLES</v>
      </c>
      <c r="U282" s="6" t="str">
        <f t="shared" si="91"/>
        <v>bottles</v>
      </c>
      <c r="V282" s="6">
        <f t="shared" si="92"/>
        <v>2</v>
      </c>
      <c r="W282" s="6" t="str">
        <f t="shared" si="93"/>
        <v>T010129 1</v>
      </c>
      <c r="X282" s="6" t="str">
        <f t="shared" si="94"/>
        <v>S55355</v>
      </c>
      <c r="Y282" s="6" t="str">
        <f t="shared" si="95"/>
        <v>T01</v>
      </c>
      <c r="Z282" s="6" t="str">
        <f t="shared" si="96"/>
        <v>129</v>
      </c>
      <c r="AA282" s="6">
        <f t="shared" si="101"/>
        <v>2</v>
      </c>
      <c r="AB282" s="6">
        <f t="shared" si="97"/>
        <v>7</v>
      </c>
      <c r="AC282" s="6"/>
      <c r="AD282" s="23"/>
    </row>
    <row r="283" spans="1:30" ht="30" x14ac:dyDescent="0.25">
      <c r="A283" s="2" t="s">
        <v>101</v>
      </c>
      <c r="B283" s="2" t="s">
        <v>1026</v>
      </c>
      <c r="C283" s="2" t="s">
        <v>1027</v>
      </c>
      <c r="D283" s="2" t="s">
        <v>548</v>
      </c>
      <c r="E283" s="2" t="s">
        <v>1028</v>
      </c>
      <c r="F283" s="2">
        <v>8</v>
      </c>
      <c r="G283" s="2" t="s">
        <v>35</v>
      </c>
      <c r="H283" s="2">
        <v>8</v>
      </c>
      <c r="I283" s="6">
        <f t="shared" si="98"/>
        <v>64</v>
      </c>
      <c r="J283" s="6">
        <f t="shared" si="102"/>
        <v>328</v>
      </c>
      <c r="K283" s="6">
        <f t="shared" si="103"/>
        <v>324</v>
      </c>
      <c r="L283" s="6">
        <f t="shared" si="99"/>
        <v>992.5</v>
      </c>
      <c r="M283" s="6">
        <f t="shared" si="104"/>
        <v>59</v>
      </c>
      <c r="N283" s="6" t="b">
        <f t="shared" si="85"/>
        <v>0</v>
      </c>
      <c r="O283" s="6" t="b">
        <f t="shared" si="100"/>
        <v>0</v>
      </c>
      <c r="P283" s="6" t="str">
        <f t="shared" si="86"/>
        <v>C007357-cans</v>
      </c>
      <c r="Q283" s="7" t="str">
        <f t="shared" si="87"/>
        <v>T010911
8</v>
      </c>
      <c r="R283" s="6" t="b">
        <f t="shared" si="88"/>
        <v>0</v>
      </c>
      <c r="S283" s="6" t="str">
        <f t="shared" si="89"/>
        <v>04</v>
      </c>
      <c r="T283" s="6" t="str">
        <f t="shared" si="90"/>
        <v>CANS</v>
      </c>
      <c r="U283" s="6" t="str">
        <f t="shared" si="91"/>
        <v>cans</v>
      </c>
      <c r="V283" s="6">
        <f t="shared" si="92"/>
        <v>2</v>
      </c>
      <c r="W283" s="6" t="str">
        <f t="shared" si="93"/>
        <v>T010911 8</v>
      </c>
      <c r="X283" s="6" t="str">
        <f t="shared" si="94"/>
        <v>S5592</v>
      </c>
      <c r="Y283" s="6" t="str">
        <f t="shared" si="95"/>
        <v>T01</v>
      </c>
      <c r="Z283" s="6" t="str">
        <f t="shared" si="96"/>
        <v>911</v>
      </c>
      <c r="AA283" s="6">
        <f t="shared" si="101"/>
        <v>2</v>
      </c>
      <c r="AB283" s="6">
        <f t="shared" si="97"/>
        <v>4</v>
      </c>
      <c r="AC283" s="6"/>
      <c r="AD283" s="23"/>
    </row>
    <row r="284" spans="1:30" ht="30" x14ac:dyDescent="0.25">
      <c r="A284" s="2" t="s">
        <v>55</v>
      </c>
      <c r="B284" s="2" t="s">
        <v>399</v>
      </c>
      <c r="C284" s="2" t="s">
        <v>1029</v>
      </c>
      <c r="D284" s="2" t="s">
        <v>694</v>
      </c>
      <c r="E284" s="2" t="s">
        <v>856</v>
      </c>
      <c r="F284" s="2">
        <v>4</v>
      </c>
      <c r="G284" s="2" t="s">
        <v>13</v>
      </c>
      <c r="H284" s="2">
        <v>12</v>
      </c>
      <c r="I284" s="6">
        <f t="shared" si="98"/>
        <v>48</v>
      </c>
      <c r="J284" s="6">
        <f t="shared" si="102"/>
        <v>382.5</v>
      </c>
      <c r="K284" s="6">
        <f t="shared" si="103"/>
        <v>379</v>
      </c>
      <c r="L284" s="6">
        <f t="shared" si="99"/>
        <v>1535</v>
      </c>
      <c r="M284" s="6">
        <f t="shared" si="104"/>
        <v>79</v>
      </c>
      <c r="N284" s="6" t="b">
        <f t="shared" si="85"/>
        <v>0</v>
      </c>
      <c r="O284" s="6" t="b">
        <f t="shared" si="100"/>
        <v>1</v>
      </c>
      <c r="P284" s="6" t="str">
        <f t="shared" si="86"/>
        <v>C006321-ct</v>
      </c>
      <c r="Q284" s="7" t="str">
        <f t="shared" si="87"/>
        <v>T078894
4</v>
      </c>
      <c r="R284" s="6" t="b">
        <f t="shared" si="88"/>
        <v>0</v>
      </c>
      <c r="S284" s="6" t="str">
        <f t="shared" si="89"/>
        <v>23</v>
      </c>
      <c r="T284" s="6" t="str">
        <f t="shared" si="90"/>
        <v>CT</v>
      </c>
      <c r="U284" s="6" t="str">
        <f t="shared" si="91"/>
        <v>ct</v>
      </c>
      <c r="V284" s="6">
        <f t="shared" si="92"/>
        <v>2</v>
      </c>
      <c r="W284" s="6" t="str">
        <f t="shared" si="93"/>
        <v>T078894 4</v>
      </c>
      <c r="X284" s="6" t="str">
        <f t="shared" si="94"/>
        <v>S55221</v>
      </c>
      <c r="Y284" s="6" t="str">
        <f t="shared" si="95"/>
        <v>T07</v>
      </c>
      <c r="Z284" s="6" t="str">
        <f t="shared" si="96"/>
        <v>894</v>
      </c>
      <c r="AA284" s="6">
        <f t="shared" si="101"/>
        <v>2</v>
      </c>
      <c r="AB284" s="6">
        <f t="shared" si="97"/>
        <v>2</v>
      </c>
      <c r="AC284" s="6"/>
      <c r="AD284" s="23"/>
    </row>
    <row r="285" spans="1:30" ht="30" x14ac:dyDescent="0.25">
      <c r="A285" s="2" t="s">
        <v>274</v>
      </c>
      <c r="B285" s="2" t="s">
        <v>1030</v>
      </c>
      <c r="C285" s="2" t="s">
        <v>1031</v>
      </c>
      <c r="D285" s="2" t="s">
        <v>793</v>
      </c>
      <c r="E285" s="2" t="s">
        <v>713</v>
      </c>
      <c r="F285" s="2">
        <v>11</v>
      </c>
      <c r="G285" s="2" t="s">
        <v>106</v>
      </c>
      <c r="H285" s="2">
        <v>17</v>
      </c>
      <c r="I285" s="6">
        <f t="shared" si="98"/>
        <v>187</v>
      </c>
      <c r="J285" s="6">
        <f t="shared" si="102"/>
        <v>55.5</v>
      </c>
      <c r="K285" s="6">
        <f t="shared" si="103"/>
        <v>55</v>
      </c>
      <c r="L285" s="6">
        <f t="shared" si="99"/>
        <v>214</v>
      </c>
      <c r="M285" s="6">
        <f t="shared" si="104"/>
        <v>13</v>
      </c>
      <c r="N285" s="6" t="b">
        <f t="shared" si="85"/>
        <v>0</v>
      </c>
      <c r="O285" s="6" t="b">
        <f t="shared" si="100"/>
        <v>1</v>
      </c>
      <c r="P285" s="6" t="str">
        <f t="shared" si="86"/>
        <v>C000104-bags</v>
      </c>
      <c r="Q285" s="7" t="str">
        <f t="shared" si="87"/>
        <v>T093684
11</v>
      </c>
      <c r="R285" s="6" t="b">
        <f t="shared" si="88"/>
        <v>0</v>
      </c>
      <c r="S285" s="6" t="str">
        <f t="shared" si="89"/>
        <v>16</v>
      </c>
      <c r="T285" s="6" t="str">
        <f t="shared" si="90"/>
        <v>BAGS</v>
      </c>
      <c r="U285" s="6" t="str">
        <f t="shared" si="91"/>
        <v>bags</v>
      </c>
      <c r="V285" s="6">
        <f t="shared" si="92"/>
        <v>2</v>
      </c>
      <c r="W285" s="6" t="str">
        <f t="shared" si="93"/>
        <v>T093684 11</v>
      </c>
      <c r="X285" s="6" t="str">
        <f t="shared" si="94"/>
        <v>S55255</v>
      </c>
      <c r="Y285" s="6" t="str">
        <f t="shared" si="95"/>
        <v>T09</v>
      </c>
      <c r="Z285" s="6" t="str">
        <f t="shared" si="96"/>
        <v>684</v>
      </c>
      <c r="AA285" s="6">
        <f t="shared" si="101"/>
        <v>2</v>
      </c>
      <c r="AB285" s="6">
        <f t="shared" si="97"/>
        <v>4</v>
      </c>
      <c r="AC285" s="6"/>
      <c r="AD285" s="23"/>
    </row>
    <row r="286" spans="1:30" ht="30" x14ac:dyDescent="0.25">
      <c r="A286" s="2" t="s">
        <v>240</v>
      </c>
      <c r="B286" s="2" t="s">
        <v>1032</v>
      </c>
      <c r="C286" s="2" t="s">
        <v>1033</v>
      </c>
      <c r="D286" s="2" t="s">
        <v>574</v>
      </c>
      <c r="E286" s="2" t="s">
        <v>1034</v>
      </c>
      <c r="F286" s="2">
        <v>6</v>
      </c>
      <c r="G286" s="2" t="s">
        <v>402</v>
      </c>
      <c r="H286" s="2">
        <v>20</v>
      </c>
      <c r="I286" s="6">
        <f t="shared" si="98"/>
        <v>120</v>
      </c>
      <c r="J286" s="6">
        <f t="shared" si="102"/>
        <v>169.5</v>
      </c>
      <c r="K286" s="6">
        <f t="shared" si="103"/>
        <v>162</v>
      </c>
      <c r="L286" s="6">
        <f t="shared" si="99"/>
        <v>101.5</v>
      </c>
      <c r="M286" s="6">
        <f t="shared" si="104"/>
        <v>5</v>
      </c>
      <c r="N286" s="6" t="b">
        <f t="shared" si="85"/>
        <v>0</v>
      </c>
      <c r="O286" s="6" t="b">
        <f t="shared" si="100"/>
        <v>1</v>
      </c>
      <c r="P286" s="6" t="str">
        <f t="shared" si="86"/>
        <v>C003452-pack</v>
      </c>
      <c r="Q286" s="7" t="str">
        <f t="shared" si="87"/>
        <v>T061273
6</v>
      </c>
      <c r="R286" s="6" t="b">
        <f t="shared" si="88"/>
        <v>0</v>
      </c>
      <c r="S286" s="6" t="str">
        <f t="shared" si="89"/>
        <v>25</v>
      </c>
      <c r="T286" s="6" t="str">
        <f t="shared" si="90"/>
        <v>PACK</v>
      </c>
      <c r="U286" s="6" t="str">
        <f t="shared" si="91"/>
        <v>pack</v>
      </c>
      <c r="V286" s="6">
        <f t="shared" si="92"/>
        <v>2</v>
      </c>
      <c r="W286" s="6" t="str">
        <f t="shared" si="93"/>
        <v>T061273 6</v>
      </c>
      <c r="X286" s="6" t="str">
        <f t="shared" si="94"/>
        <v>S5591</v>
      </c>
      <c r="Y286" s="6" t="str">
        <f t="shared" si="95"/>
        <v>T06</v>
      </c>
      <c r="Z286" s="6" t="str">
        <f t="shared" si="96"/>
        <v>273</v>
      </c>
      <c r="AA286" s="6">
        <f t="shared" si="101"/>
        <v>2</v>
      </c>
      <c r="AB286" s="6">
        <f t="shared" si="97"/>
        <v>4</v>
      </c>
      <c r="AC286" s="6"/>
      <c r="AD286" s="23"/>
    </row>
    <row r="287" spans="1:30" ht="30" x14ac:dyDescent="0.25">
      <c r="A287" s="2" t="s">
        <v>14</v>
      </c>
      <c r="B287" s="2" t="s">
        <v>1035</v>
      </c>
      <c r="C287" s="2" t="s">
        <v>1036</v>
      </c>
      <c r="D287" s="2" t="s">
        <v>1037</v>
      </c>
      <c r="E287" s="2" t="s">
        <v>1038</v>
      </c>
      <c r="F287" s="2">
        <v>5</v>
      </c>
      <c r="G287" s="2" t="s">
        <v>35</v>
      </c>
      <c r="H287" s="2">
        <v>6.75</v>
      </c>
      <c r="I287" s="6">
        <f t="shared" si="98"/>
        <v>33.75</v>
      </c>
      <c r="J287" s="6">
        <f t="shared" si="102"/>
        <v>426</v>
      </c>
      <c r="K287" s="6">
        <f t="shared" si="103"/>
        <v>424</v>
      </c>
      <c r="L287" s="6">
        <f t="shared" si="99"/>
        <v>984.5</v>
      </c>
      <c r="M287" s="6">
        <f t="shared" si="104"/>
        <v>58</v>
      </c>
      <c r="N287" s="6" t="b">
        <f t="shared" si="85"/>
        <v>0</v>
      </c>
      <c r="O287" s="6" t="b">
        <f t="shared" si="100"/>
        <v>1</v>
      </c>
      <c r="P287" s="6" t="str">
        <f t="shared" si="86"/>
        <v>C007030-cans</v>
      </c>
      <c r="Q287" s="7" t="str">
        <f t="shared" si="87"/>
        <v>T096751
5</v>
      </c>
      <c r="R287" s="6" t="b">
        <f t="shared" si="88"/>
        <v>0</v>
      </c>
      <c r="S287" s="6" t="str">
        <f t="shared" si="89"/>
        <v>00</v>
      </c>
      <c r="T287" s="6" t="str">
        <f t="shared" si="90"/>
        <v>CANS</v>
      </c>
      <c r="U287" s="6" t="str">
        <f t="shared" si="91"/>
        <v>cans</v>
      </c>
      <c r="V287" s="6">
        <f t="shared" si="92"/>
        <v>2</v>
      </c>
      <c r="W287" s="6" t="str">
        <f t="shared" si="93"/>
        <v>T096751 5</v>
      </c>
      <c r="X287" s="6" t="str">
        <f t="shared" si="94"/>
        <v>S55599</v>
      </c>
      <c r="Y287" s="6" t="str">
        <f t="shared" si="95"/>
        <v>T09</v>
      </c>
      <c r="Z287" s="6" t="str">
        <f t="shared" si="96"/>
        <v>751</v>
      </c>
      <c r="AA287" s="6">
        <f t="shared" si="101"/>
        <v>2</v>
      </c>
      <c r="AB287" s="6">
        <f t="shared" si="97"/>
        <v>4</v>
      </c>
      <c r="AC287" s="6"/>
      <c r="AD287" s="23"/>
    </row>
    <row r="288" spans="1:30" ht="30" x14ac:dyDescent="0.25">
      <c r="A288" s="2" t="s">
        <v>307</v>
      </c>
      <c r="B288" s="2" t="s">
        <v>1039</v>
      </c>
      <c r="C288" s="2" t="s">
        <v>1040</v>
      </c>
      <c r="D288" s="2" t="s">
        <v>592</v>
      </c>
      <c r="E288" s="2" t="s">
        <v>1041</v>
      </c>
      <c r="F288" s="2">
        <v>6</v>
      </c>
      <c r="G288" s="2" t="s">
        <v>13</v>
      </c>
      <c r="H288" s="2">
        <v>19</v>
      </c>
      <c r="I288" s="6">
        <f t="shared" si="98"/>
        <v>114</v>
      </c>
      <c r="J288" s="6">
        <f t="shared" si="102"/>
        <v>183</v>
      </c>
      <c r="K288" s="6">
        <f t="shared" si="103"/>
        <v>183</v>
      </c>
      <c r="L288" s="6">
        <f t="shared" si="99"/>
        <v>1523</v>
      </c>
      <c r="M288" s="6">
        <f t="shared" si="104"/>
        <v>78</v>
      </c>
      <c r="N288" s="6" t="b">
        <f t="shared" si="85"/>
        <v>0</v>
      </c>
      <c r="O288" s="6" t="b">
        <f t="shared" si="100"/>
        <v>1</v>
      </c>
      <c r="P288" s="6" t="str">
        <f t="shared" si="86"/>
        <v>C008553-ct</v>
      </c>
      <c r="Q288" s="7" t="str">
        <f t="shared" si="87"/>
        <v>T021130
6</v>
      </c>
      <c r="R288" s="6" t="b">
        <f t="shared" si="88"/>
        <v>0</v>
      </c>
      <c r="S288" s="6" t="str">
        <f t="shared" si="89"/>
        <v>18</v>
      </c>
      <c r="T288" s="6" t="str">
        <f t="shared" si="90"/>
        <v>CT</v>
      </c>
      <c r="U288" s="6" t="str">
        <f t="shared" si="91"/>
        <v>ct</v>
      </c>
      <c r="V288" s="6">
        <f t="shared" si="92"/>
        <v>2</v>
      </c>
      <c r="W288" s="6" t="str">
        <f t="shared" si="93"/>
        <v>T021130 6</v>
      </c>
      <c r="X288" s="6" t="str">
        <f t="shared" si="94"/>
        <v>S55654</v>
      </c>
      <c r="Y288" s="6" t="str">
        <f t="shared" si="95"/>
        <v>T02</v>
      </c>
      <c r="Z288" s="6" t="str">
        <f t="shared" si="96"/>
        <v>130</v>
      </c>
      <c r="AA288" s="6">
        <f t="shared" si="101"/>
        <v>2</v>
      </c>
      <c r="AB288" s="6">
        <f t="shared" si="97"/>
        <v>2</v>
      </c>
      <c r="AC288" s="6"/>
      <c r="AD288" s="23"/>
    </row>
    <row r="289" spans="1:30" ht="30" x14ac:dyDescent="0.25">
      <c r="A289" s="2" t="s">
        <v>101</v>
      </c>
      <c r="B289" s="2" t="s">
        <v>1042</v>
      </c>
      <c r="C289" s="2" t="s">
        <v>1043</v>
      </c>
      <c r="D289" s="2" t="s">
        <v>1044</v>
      </c>
      <c r="E289" s="2" t="s">
        <v>1045</v>
      </c>
      <c r="F289" s="2">
        <v>11</v>
      </c>
      <c r="G289" s="2" t="s">
        <v>60</v>
      </c>
      <c r="H289" s="2">
        <v>22</v>
      </c>
      <c r="I289" s="6">
        <f t="shared" si="98"/>
        <v>242</v>
      </c>
      <c r="J289" s="6">
        <f t="shared" si="102"/>
        <v>28</v>
      </c>
      <c r="K289" s="6">
        <f t="shared" si="103"/>
        <v>28</v>
      </c>
      <c r="L289" s="6">
        <f t="shared" si="99"/>
        <v>421.5</v>
      </c>
      <c r="M289" s="6">
        <f t="shared" si="104"/>
        <v>24</v>
      </c>
      <c r="N289" s="6" t="b">
        <f t="shared" si="85"/>
        <v>1</v>
      </c>
      <c r="O289" s="6" t="b">
        <f t="shared" si="100"/>
        <v>1</v>
      </c>
      <c r="P289" s="6" t="str">
        <f t="shared" si="86"/>
        <v>C009164-bottles</v>
      </c>
      <c r="Q289" s="7" t="str">
        <f t="shared" si="87"/>
        <v>T065710
11</v>
      </c>
      <c r="R289" s="6" t="b">
        <f t="shared" si="88"/>
        <v>0</v>
      </c>
      <c r="S289" s="6" t="str">
        <f t="shared" si="89"/>
        <v>05</v>
      </c>
      <c r="T289" s="6" t="str">
        <f t="shared" si="90"/>
        <v>BOTTLES</v>
      </c>
      <c r="U289" s="6" t="str">
        <f t="shared" si="91"/>
        <v>bottles</v>
      </c>
      <c r="V289" s="6">
        <f t="shared" si="92"/>
        <v>2</v>
      </c>
      <c r="W289" s="6" t="str">
        <f t="shared" si="93"/>
        <v>T065710 11</v>
      </c>
      <c r="X289" s="6" t="str">
        <f t="shared" si="94"/>
        <v>S55498</v>
      </c>
      <c r="Y289" s="6" t="str">
        <f t="shared" si="95"/>
        <v>T06</v>
      </c>
      <c r="Z289" s="6" t="str">
        <f t="shared" si="96"/>
        <v>710</v>
      </c>
      <c r="AA289" s="6">
        <f t="shared" si="101"/>
        <v>2</v>
      </c>
      <c r="AB289" s="6">
        <f t="shared" si="97"/>
        <v>7</v>
      </c>
      <c r="AC289" s="6"/>
      <c r="AD289" s="23"/>
    </row>
    <row r="290" spans="1:30" ht="30" x14ac:dyDescent="0.25">
      <c r="A290" s="2" t="s">
        <v>224</v>
      </c>
      <c r="B290" s="2" t="s">
        <v>1046</v>
      </c>
      <c r="C290" s="2" t="s">
        <v>1047</v>
      </c>
      <c r="D290" s="2" t="s">
        <v>1048</v>
      </c>
      <c r="E290" s="2" t="s">
        <v>382</v>
      </c>
      <c r="F290" s="2">
        <v>9</v>
      </c>
      <c r="G290" s="2" t="s">
        <v>35</v>
      </c>
      <c r="H290" s="2">
        <v>16</v>
      </c>
      <c r="I290" s="6">
        <f t="shared" si="98"/>
        <v>144</v>
      </c>
      <c r="J290" s="6">
        <f t="shared" si="102"/>
        <v>118</v>
      </c>
      <c r="K290" s="6">
        <f t="shared" si="103"/>
        <v>115</v>
      </c>
      <c r="L290" s="6">
        <f t="shared" si="99"/>
        <v>977.75</v>
      </c>
      <c r="M290" s="6">
        <f t="shared" si="104"/>
        <v>57</v>
      </c>
      <c r="N290" s="6" t="b">
        <f t="shared" si="85"/>
        <v>0</v>
      </c>
      <c r="O290" s="6" t="b">
        <f t="shared" si="100"/>
        <v>1</v>
      </c>
      <c r="P290" s="6" t="str">
        <f t="shared" si="86"/>
        <v>C002790-cans</v>
      </c>
      <c r="Q290" s="7" t="str">
        <f t="shared" si="87"/>
        <v>T076789
9</v>
      </c>
      <c r="R290" s="6" t="b">
        <f t="shared" si="88"/>
        <v>0</v>
      </c>
      <c r="S290" s="6" t="str">
        <f t="shared" si="89"/>
        <v>03</v>
      </c>
      <c r="T290" s="6" t="str">
        <f t="shared" si="90"/>
        <v>CANS</v>
      </c>
      <c r="U290" s="6" t="str">
        <f t="shared" si="91"/>
        <v>cans</v>
      </c>
      <c r="V290" s="6">
        <f t="shared" si="92"/>
        <v>2</v>
      </c>
      <c r="W290" s="6" t="str">
        <f t="shared" si="93"/>
        <v>T076789 9</v>
      </c>
      <c r="X290" s="6" t="str">
        <f t="shared" si="94"/>
        <v>S55485</v>
      </c>
      <c r="Y290" s="6" t="str">
        <f t="shared" si="95"/>
        <v>T07</v>
      </c>
      <c r="Z290" s="6" t="str">
        <f t="shared" si="96"/>
        <v>789</v>
      </c>
      <c r="AA290" s="6">
        <f t="shared" si="101"/>
        <v>2</v>
      </c>
      <c r="AB290" s="6">
        <f t="shared" si="97"/>
        <v>4</v>
      </c>
      <c r="AC290" s="6"/>
      <c r="AD290" s="23"/>
    </row>
    <row r="291" spans="1:30" ht="30" x14ac:dyDescent="0.25">
      <c r="A291" s="2" t="s">
        <v>200</v>
      </c>
      <c r="B291" s="2" t="s">
        <v>1049</v>
      </c>
      <c r="C291" s="2" t="s">
        <v>1050</v>
      </c>
      <c r="D291" s="2" t="s">
        <v>393</v>
      </c>
      <c r="E291" s="2" t="s">
        <v>1051</v>
      </c>
      <c r="F291" s="2">
        <v>1</v>
      </c>
      <c r="G291" s="2" t="s">
        <v>167</v>
      </c>
      <c r="H291" s="2">
        <v>15</v>
      </c>
      <c r="I291" s="6">
        <f t="shared" si="98"/>
        <v>15</v>
      </c>
      <c r="J291" s="6">
        <f t="shared" si="102"/>
        <v>476.5</v>
      </c>
      <c r="K291" s="6">
        <f t="shared" si="103"/>
        <v>473</v>
      </c>
      <c r="L291" s="6">
        <f t="shared" si="99"/>
        <v>221.5</v>
      </c>
      <c r="M291" s="6">
        <f t="shared" si="104"/>
        <v>14</v>
      </c>
      <c r="N291" s="6" t="b">
        <f t="shared" si="85"/>
        <v>0</v>
      </c>
      <c r="O291" s="6" t="b">
        <f t="shared" si="100"/>
        <v>1</v>
      </c>
      <c r="P291" s="6" t="str">
        <f t="shared" si="86"/>
        <v>C000679-oz</v>
      </c>
      <c r="Q291" s="7" t="str">
        <f t="shared" si="87"/>
        <v>T047699
1</v>
      </c>
      <c r="R291" s="6" t="b">
        <f t="shared" si="88"/>
        <v>0</v>
      </c>
      <c r="S291" s="6" t="str">
        <f t="shared" si="89"/>
        <v>24</v>
      </c>
      <c r="T291" s="6" t="str">
        <f t="shared" si="90"/>
        <v>OZ</v>
      </c>
      <c r="U291" s="6" t="str">
        <f t="shared" si="91"/>
        <v>oz</v>
      </c>
      <c r="V291" s="6">
        <f t="shared" si="92"/>
        <v>2</v>
      </c>
      <c r="W291" s="6" t="str">
        <f t="shared" si="93"/>
        <v>T047699 1</v>
      </c>
      <c r="X291" s="6" t="str">
        <f t="shared" si="94"/>
        <v>S55586</v>
      </c>
      <c r="Y291" s="6" t="str">
        <f t="shared" si="95"/>
        <v>T04</v>
      </c>
      <c r="Z291" s="6" t="str">
        <f t="shared" si="96"/>
        <v>699</v>
      </c>
      <c r="AA291" s="6">
        <f t="shared" si="101"/>
        <v>2</v>
      </c>
      <c r="AB291" s="6">
        <f t="shared" si="97"/>
        <v>2</v>
      </c>
      <c r="AC291" s="6"/>
      <c r="AD291" s="23"/>
    </row>
    <row r="292" spans="1:30" ht="30" x14ac:dyDescent="0.25">
      <c r="A292" s="2" t="s">
        <v>743</v>
      </c>
      <c r="B292" s="2" t="s">
        <v>1052</v>
      </c>
      <c r="C292" s="2" t="s">
        <v>1053</v>
      </c>
      <c r="D292" s="2" t="s">
        <v>1054</v>
      </c>
      <c r="E292" s="2" t="s">
        <v>191</v>
      </c>
      <c r="F292" s="2">
        <v>1</v>
      </c>
      <c r="G292" s="2" t="s">
        <v>60</v>
      </c>
      <c r="H292" s="2">
        <v>23</v>
      </c>
      <c r="I292" s="6">
        <f t="shared" si="98"/>
        <v>23</v>
      </c>
      <c r="J292" s="6">
        <f t="shared" si="102"/>
        <v>456</v>
      </c>
      <c r="K292" s="6">
        <f t="shared" si="103"/>
        <v>456</v>
      </c>
      <c r="L292" s="6">
        <f t="shared" si="99"/>
        <v>399.5</v>
      </c>
      <c r="M292" s="6">
        <f t="shared" si="104"/>
        <v>23</v>
      </c>
      <c r="N292" s="6" t="b">
        <f t="shared" si="85"/>
        <v>1</v>
      </c>
      <c r="O292" s="6" t="b">
        <f t="shared" si="100"/>
        <v>1</v>
      </c>
      <c r="P292" s="6" t="str">
        <f t="shared" si="86"/>
        <v>C003455-bottles</v>
      </c>
      <c r="Q292" s="7" t="str">
        <f t="shared" si="87"/>
        <v>T078842
1</v>
      </c>
      <c r="R292" s="6" t="b">
        <f t="shared" si="88"/>
        <v>0</v>
      </c>
      <c r="S292" s="6" t="str">
        <f t="shared" si="89"/>
        <v>03</v>
      </c>
      <c r="T292" s="6" t="str">
        <f t="shared" si="90"/>
        <v>BOTTLES</v>
      </c>
      <c r="U292" s="6" t="str">
        <f t="shared" si="91"/>
        <v>bottles</v>
      </c>
      <c r="V292" s="6">
        <f t="shared" si="92"/>
        <v>2</v>
      </c>
      <c r="W292" s="6" t="str">
        <f t="shared" si="93"/>
        <v>T078842 1</v>
      </c>
      <c r="X292" s="6" t="str">
        <f t="shared" si="94"/>
        <v>S5537</v>
      </c>
      <c r="Y292" s="6" t="str">
        <f t="shared" si="95"/>
        <v>T07</v>
      </c>
      <c r="Z292" s="6" t="str">
        <f t="shared" si="96"/>
        <v>842</v>
      </c>
      <c r="AA292" s="6">
        <f t="shared" si="101"/>
        <v>2</v>
      </c>
      <c r="AB292" s="6">
        <f t="shared" si="97"/>
        <v>7</v>
      </c>
      <c r="AC292" s="6"/>
      <c r="AD292" s="23"/>
    </row>
    <row r="293" spans="1:30" ht="30" x14ac:dyDescent="0.25">
      <c r="A293" s="2" t="s">
        <v>8</v>
      </c>
      <c r="B293" s="2" t="s">
        <v>1055</v>
      </c>
      <c r="C293" s="2" t="s">
        <v>1056</v>
      </c>
      <c r="D293" s="2" t="s">
        <v>89</v>
      </c>
      <c r="E293" s="2" t="s">
        <v>1057</v>
      </c>
      <c r="F293" s="2">
        <v>9</v>
      </c>
      <c r="G293" s="2" t="s">
        <v>35</v>
      </c>
      <c r="H293" s="2">
        <v>6.75</v>
      </c>
      <c r="I293" s="6">
        <f t="shared" si="98"/>
        <v>60.75</v>
      </c>
      <c r="J293" s="6">
        <f t="shared" si="102"/>
        <v>335.5</v>
      </c>
      <c r="K293" s="6">
        <f t="shared" si="103"/>
        <v>335</v>
      </c>
      <c r="L293" s="6">
        <f t="shared" si="99"/>
        <v>961.75</v>
      </c>
      <c r="M293" s="6">
        <f t="shared" si="104"/>
        <v>56</v>
      </c>
      <c r="N293" s="6" t="b">
        <f t="shared" si="85"/>
        <v>0</v>
      </c>
      <c r="O293" s="6" t="b">
        <f t="shared" si="100"/>
        <v>0</v>
      </c>
      <c r="P293" s="6" t="str">
        <f t="shared" si="86"/>
        <v>C000196-cans</v>
      </c>
      <c r="Q293" s="7" t="str">
        <f t="shared" si="87"/>
        <v>T070229
9</v>
      </c>
      <c r="R293" s="6" t="b">
        <f t="shared" si="88"/>
        <v>0</v>
      </c>
      <c r="S293" s="6" t="str">
        <f t="shared" si="89"/>
        <v>02</v>
      </c>
      <c r="T293" s="6" t="str">
        <f t="shared" si="90"/>
        <v>CANS</v>
      </c>
      <c r="U293" s="6" t="str">
        <f t="shared" si="91"/>
        <v>cans</v>
      </c>
      <c r="V293" s="6">
        <f t="shared" si="92"/>
        <v>2</v>
      </c>
      <c r="W293" s="6" t="str">
        <f t="shared" si="93"/>
        <v>T070229 9</v>
      </c>
      <c r="X293" s="6" t="str">
        <f t="shared" si="94"/>
        <v>S55368</v>
      </c>
      <c r="Y293" s="6" t="str">
        <f t="shared" si="95"/>
        <v>T07</v>
      </c>
      <c r="Z293" s="6" t="str">
        <f t="shared" si="96"/>
        <v>229</v>
      </c>
      <c r="AA293" s="6">
        <f t="shared" si="101"/>
        <v>2</v>
      </c>
      <c r="AB293" s="6">
        <f t="shared" si="97"/>
        <v>4</v>
      </c>
      <c r="AC293" s="6"/>
      <c r="AD293" s="23"/>
    </row>
    <row r="294" spans="1:30" ht="30" x14ac:dyDescent="0.25">
      <c r="A294" s="2" t="s">
        <v>162</v>
      </c>
      <c r="B294" s="2" t="s">
        <v>1058</v>
      </c>
      <c r="C294" s="2" t="s">
        <v>1059</v>
      </c>
      <c r="D294" s="2" t="s">
        <v>378</v>
      </c>
      <c r="E294" s="2" t="s">
        <v>1060</v>
      </c>
      <c r="F294" s="2">
        <v>3</v>
      </c>
      <c r="G294" s="2" t="s">
        <v>13</v>
      </c>
      <c r="H294" s="2">
        <v>33</v>
      </c>
      <c r="I294" s="6">
        <f t="shared" si="98"/>
        <v>99</v>
      </c>
      <c r="J294" s="6">
        <f t="shared" si="102"/>
        <v>219</v>
      </c>
      <c r="K294" s="6">
        <f t="shared" si="103"/>
        <v>218</v>
      </c>
      <c r="L294" s="6">
        <f t="shared" si="99"/>
        <v>1504</v>
      </c>
      <c r="M294" s="6">
        <f t="shared" si="104"/>
        <v>77</v>
      </c>
      <c r="N294" s="6" t="b">
        <f t="shared" si="85"/>
        <v>1</v>
      </c>
      <c r="O294" s="6" t="b">
        <f t="shared" si="100"/>
        <v>1</v>
      </c>
      <c r="P294" s="6" t="str">
        <f t="shared" si="86"/>
        <v>C007134-ct</v>
      </c>
      <c r="Q294" s="7" t="str">
        <f t="shared" si="87"/>
        <v>T092666
3</v>
      </c>
      <c r="R294" s="6" t="b">
        <f t="shared" si="88"/>
        <v>0</v>
      </c>
      <c r="S294" s="6" t="str">
        <f t="shared" si="89"/>
        <v>26</v>
      </c>
      <c r="T294" s="6" t="str">
        <f t="shared" si="90"/>
        <v>CT</v>
      </c>
      <c r="U294" s="6" t="str">
        <f t="shared" si="91"/>
        <v>ct</v>
      </c>
      <c r="V294" s="6">
        <f t="shared" si="92"/>
        <v>2</v>
      </c>
      <c r="W294" s="6" t="str">
        <f t="shared" si="93"/>
        <v>T092666 3</v>
      </c>
      <c r="X294" s="6" t="str">
        <f t="shared" si="94"/>
        <v>S55452</v>
      </c>
      <c r="Y294" s="6" t="str">
        <f t="shared" si="95"/>
        <v>T09</v>
      </c>
      <c r="Z294" s="6" t="str">
        <f t="shared" si="96"/>
        <v>666</v>
      </c>
      <c r="AA294" s="6">
        <f t="shared" si="101"/>
        <v>2</v>
      </c>
      <c r="AB294" s="6">
        <f t="shared" si="97"/>
        <v>2</v>
      </c>
      <c r="AC294" s="6"/>
      <c r="AD294" s="23"/>
    </row>
    <row r="295" spans="1:30" ht="30" x14ac:dyDescent="0.25">
      <c r="A295" s="2" t="s">
        <v>519</v>
      </c>
      <c r="B295" s="2" t="s">
        <v>1061</v>
      </c>
      <c r="C295" s="2" t="s">
        <v>1062</v>
      </c>
      <c r="D295" s="2" t="s">
        <v>1063</v>
      </c>
      <c r="E295" s="2" t="s">
        <v>1064</v>
      </c>
      <c r="F295" s="2">
        <v>6</v>
      </c>
      <c r="G295" s="2" t="s">
        <v>13</v>
      </c>
      <c r="H295" s="2">
        <v>16.5</v>
      </c>
      <c r="I295" s="6">
        <f t="shared" si="98"/>
        <v>99</v>
      </c>
      <c r="J295" s="6">
        <f t="shared" si="102"/>
        <v>219</v>
      </c>
      <c r="K295" s="6">
        <f t="shared" si="103"/>
        <v>218</v>
      </c>
      <c r="L295" s="6">
        <f t="shared" si="99"/>
        <v>1471</v>
      </c>
      <c r="M295" s="6">
        <f t="shared" si="104"/>
        <v>76</v>
      </c>
      <c r="N295" s="6" t="b">
        <f t="shared" si="85"/>
        <v>0</v>
      </c>
      <c r="O295" s="6" t="b">
        <f t="shared" si="100"/>
        <v>1</v>
      </c>
      <c r="P295" s="6" t="str">
        <f t="shared" si="86"/>
        <v>C000005-ct</v>
      </c>
      <c r="Q295" s="7" t="str">
        <f t="shared" si="87"/>
        <v>T016851
6</v>
      </c>
      <c r="R295" s="6" t="b">
        <f t="shared" si="88"/>
        <v>0</v>
      </c>
      <c r="S295" s="6" t="str">
        <f t="shared" si="89"/>
        <v>10</v>
      </c>
      <c r="T295" s="6" t="str">
        <f t="shared" si="90"/>
        <v>CT</v>
      </c>
      <c r="U295" s="6" t="str">
        <f t="shared" si="91"/>
        <v>ct</v>
      </c>
      <c r="V295" s="6">
        <f t="shared" si="92"/>
        <v>2</v>
      </c>
      <c r="W295" s="6" t="str">
        <f t="shared" si="93"/>
        <v>T016851 6</v>
      </c>
      <c r="X295" s="6" t="str">
        <f t="shared" si="94"/>
        <v>S55365</v>
      </c>
      <c r="Y295" s="6" t="str">
        <f t="shared" si="95"/>
        <v>T01</v>
      </c>
      <c r="Z295" s="6" t="str">
        <f t="shared" si="96"/>
        <v>851</v>
      </c>
      <c r="AA295" s="6">
        <f t="shared" si="101"/>
        <v>2</v>
      </c>
      <c r="AB295" s="6">
        <f t="shared" si="97"/>
        <v>2</v>
      </c>
      <c r="AC295" s="6"/>
      <c r="AD295" s="23"/>
    </row>
    <row r="296" spans="1:30" ht="30" x14ac:dyDescent="0.25">
      <c r="A296" s="2" t="s">
        <v>459</v>
      </c>
      <c r="B296" s="2" t="s">
        <v>1065</v>
      </c>
      <c r="C296" s="2" t="s">
        <v>1066</v>
      </c>
      <c r="D296" s="2" t="s">
        <v>267</v>
      </c>
      <c r="E296" s="2" t="s">
        <v>1067</v>
      </c>
      <c r="F296" s="2">
        <v>5</v>
      </c>
      <c r="G296" s="2" t="s">
        <v>269</v>
      </c>
      <c r="H296" s="2">
        <v>13</v>
      </c>
      <c r="I296" s="6">
        <f t="shared" si="98"/>
        <v>65</v>
      </c>
      <c r="J296" s="6">
        <f t="shared" si="102"/>
        <v>321.5</v>
      </c>
      <c r="K296" s="6">
        <f t="shared" si="103"/>
        <v>320</v>
      </c>
      <c r="L296" s="6">
        <f t="shared" si="99"/>
        <v>136</v>
      </c>
      <c r="M296" s="6">
        <f t="shared" si="104"/>
        <v>10</v>
      </c>
      <c r="N296" s="6" t="b">
        <f t="shared" si="85"/>
        <v>0</v>
      </c>
      <c r="O296" s="6" t="b">
        <f t="shared" si="100"/>
        <v>1</v>
      </c>
      <c r="P296" s="6" t="str">
        <f t="shared" si="86"/>
        <v>C007681-ct.</v>
      </c>
      <c r="Q296" s="7" t="str">
        <f t="shared" si="87"/>
        <v>T064686
5</v>
      </c>
      <c r="R296" s="6" t="b">
        <f t="shared" si="88"/>
        <v>0</v>
      </c>
      <c r="S296" s="6" t="str">
        <f t="shared" si="89"/>
        <v>18</v>
      </c>
      <c r="T296" s="6" t="str">
        <f t="shared" si="90"/>
        <v>CT.</v>
      </c>
      <c r="U296" s="6" t="str">
        <f t="shared" si="91"/>
        <v>ct.</v>
      </c>
      <c r="V296" s="6">
        <f t="shared" si="92"/>
        <v>2</v>
      </c>
      <c r="W296" s="6" t="str">
        <f t="shared" si="93"/>
        <v>T064686 5</v>
      </c>
      <c r="X296" s="6" t="str">
        <f t="shared" si="94"/>
        <v>S55245</v>
      </c>
      <c r="Y296" s="6" t="str">
        <f t="shared" si="95"/>
        <v>T06</v>
      </c>
      <c r="Z296" s="6" t="str">
        <f t="shared" si="96"/>
        <v>686</v>
      </c>
      <c r="AA296" s="6">
        <f t="shared" si="101"/>
        <v>2</v>
      </c>
      <c r="AB296" s="6">
        <f t="shared" si="97"/>
        <v>3</v>
      </c>
      <c r="AC296" s="6"/>
      <c r="AD296" s="23"/>
    </row>
    <row r="297" spans="1:30" ht="30" x14ac:dyDescent="0.25">
      <c r="A297" s="2" t="s">
        <v>121</v>
      </c>
      <c r="B297" s="2" t="s">
        <v>1068</v>
      </c>
      <c r="C297" s="2" t="s">
        <v>1069</v>
      </c>
      <c r="D297" s="2" t="s">
        <v>1070</v>
      </c>
      <c r="E297" s="2" t="s">
        <v>1071</v>
      </c>
      <c r="F297" s="2">
        <v>1</v>
      </c>
      <c r="G297" s="2" t="s">
        <v>1072</v>
      </c>
      <c r="H297" s="2">
        <v>16</v>
      </c>
      <c r="I297" s="6">
        <f t="shared" si="98"/>
        <v>16</v>
      </c>
      <c r="J297" s="6">
        <f t="shared" si="102"/>
        <v>471</v>
      </c>
      <c r="K297" s="6">
        <f t="shared" si="103"/>
        <v>470</v>
      </c>
      <c r="L297" s="6">
        <f t="shared" si="99"/>
        <v>197</v>
      </c>
      <c r="M297" s="6">
        <f t="shared" si="104"/>
        <v>12</v>
      </c>
      <c r="N297" s="6" t="b">
        <f t="shared" si="85"/>
        <v>0</v>
      </c>
      <c r="O297" s="6" t="b">
        <f t="shared" si="100"/>
        <v>1</v>
      </c>
      <c r="P297" s="6" t="str">
        <f t="shared" si="86"/>
        <v>C004646-Bags</v>
      </c>
      <c r="Q297" s="7" t="str">
        <f t="shared" si="87"/>
        <v>T023553
1</v>
      </c>
      <c r="R297" s="6" t="b">
        <f t="shared" si="88"/>
        <v>0</v>
      </c>
      <c r="S297" s="6" t="str">
        <f t="shared" si="89"/>
        <v>16</v>
      </c>
      <c r="T297" s="6" t="str">
        <f t="shared" si="90"/>
        <v>BAGS</v>
      </c>
      <c r="U297" s="6" t="str">
        <f t="shared" si="91"/>
        <v>bags</v>
      </c>
      <c r="V297" s="6">
        <f t="shared" si="92"/>
        <v>2</v>
      </c>
      <c r="W297" s="6" t="str">
        <f t="shared" si="93"/>
        <v>T023553 1</v>
      </c>
      <c r="X297" s="6" t="str">
        <f t="shared" si="94"/>
        <v>S55185</v>
      </c>
      <c r="Y297" s="6" t="str">
        <f t="shared" si="95"/>
        <v>T02</v>
      </c>
      <c r="Z297" s="6" t="str">
        <f t="shared" si="96"/>
        <v>553</v>
      </c>
      <c r="AA297" s="6">
        <f t="shared" si="101"/>
        <v>2</v>
      </c>
      <c r="AB297" s="6">
        <f t="shared" si="97"/>
        <v>4</v>
      </c>
      <c r="AC297" s="6"/>
      <c r="AD297" s="23"/>
    </row>
    <row r="298" spans="1:30" ht="30" x14ac:dyDescent="0.25">
      <c r="A298" s="2" t="s">
        <v>240</v>
      </c>
      <c r="B298" s="2" t="s">
        <v>1073</v>
      </c>
      <c r="C298" s="2" t="s">
        <v>1074</v>
      </c>
      <c r="D298" s="2" t="s">
        <v>233</v>
      </c>
      <c r="E298" s="2" t="s">
        <v>1075</v>
      </c>
      <c r="F298" s="2">
        <v>10</v>
      </c>
      <c r="G298" s="2" t="s">
        <v>35</v>
      </c>
      <c r="H298" s="2">
        <v>6.75</v>
      </c>
      <c r="I298" s="6">
        <f t="shared" si="98"/>
        <v>67.5</v>
      </c>
      <c r="J298" s="6">
        <f t="shared" si="102"/>
        <v>311.5</v>
      </c>
      <c r="K298" s="6">
        <f t="shared" si="103"/>
        <v>309</v>
      </c>
      <c r="L298" s="6">
        <f t="shared" si="99"/>
        <v>955</v>
      </c>
      <c r="M298" s="6">
        <f t="shared" si="104"/>
        <v>55</v>
      </c>
      <c r="N298" s="6" t="b">
        <f t="shared" si="85"/>
        <v>0</v>
      </c>
      <c r="O298" s="6" t="b">
        <f t="shared" si="100"/>
        <v>0</v>
      </c>
      <c r="P298" s="6" t="str">
        <f t="shared" si="86"/>
        <v>C003506-cans</v>
      </c>
      <c r="Q298" s="7" t="str">
        <f t="shared" si="87"/>
        <v>T093723
10</v>
      </c>
      <c r="R298" s="6" t="b">
        <f t="shared" si="88"/>
        <v>0</v>
      </c>
      <c r="S298" s="6" t="str">
        <f t="shared" si="89"/>
        <v>00</v>
      </c>
      <c r="T298" s="6" t="str">
        <f t="shared" si="90"/>
        <v>CANS</v>
      </c>
      <c r="U298" s="6" t="str">
        <f t="shared" si="91"/>
        <v>cans</v>
      </c>
      <c r="V298" s="6">
        <f t="shared" si="92"/>
        <v>2</v>
      </c>
      <c r="W298" s="6" t="str">
        <f t="shared" si="93"/>
        <v>T093723 10</v>
      </c>
      <c r="X298" s="6" t="str">
        <f t="shared" si="94"/>
        <v>S55122</v>
      </c>
      <c r="Y298" s="6" t="str">
        <f t="shared" si="95"/>
        <v>T09</v>
      </c>
      <c r="Z298" s="6" t="str">
        <f t="shared" si="96"/>
        <v>723</v>
      </c>
      <c r="AA298" s="6">
        <f t="shared" si="101"/>
        <v>2</v>
      </c>
      <c r="AB298" s="6">
        <f t="shared" si="97"/>
        <v>4</v>
      </c>
      <c r="AC298" s="6"/>
      <c r="AD298" s="23"/>
    </row>
    <row r="299" spans="1:30" ht="30" x14ac:dyDescent="0.25">
      <c r="A299" s="2" t="s">
        <v>96</v>
      </c>
      <c r="B299" s="2" t="s">
        <v>1076</v>
      </c>
      <c r="C299" s="2" t="s">
        <v>1077</v>
      </c>
      <c r="D299" s="2" t="s">
        <v>414</v>
      </c>
      <c r="E299" s="2" t="s">
        <v>1078</v>
      </c>
      <c r="F299" s="2">
        <v>1</v>
      </c>
      <c r="G299" s="2" t="s">
        <v>407</v>
      </c>
      <c r="H299" s="2">
        <v>15</v>
      </c>
      <c r="I299" s="6">
        <f t="shared" si="98"/>
        <v>15</v>
      </c>
      <c r="J299" s="6">
        <f t="shared" si="102"/>
        <v>476.5</v>
      </c>
      <c r="K299" s="6">
        <f t="shared" si="103"/>
        <v>473</v>
      </c>
      <c r="L299" s="6">
        <f t="shared" si="99"/>
        <v>92</v>
      </c>
      <c r="M299" s="6">
        <f t="shared" si="104"/>
        <v>6</v>
      </c>
      <c r="N299" s="6" t="b">
        <f t="shared" si="85"/>
        <v>0</v>
      </c>
      <c r="O299" s="6" t="b">
        <f t="shared" si="100"/>
        <v>1</v>
      </c>
      <c r="P299" s="6" t="str">
        <f t="shared" si="86"/>
        <v>C003635-pk</v>
      </c>
      <c r="Q299" s="7" t="str">
        <f t="shared" si="87"/>
        <v>T018877
1</v>
      </c>
      <c r="R299" s="6" t="b">
        <f t="shared" si="88"/>
        <v>0</v>
      </c>
      <c r="S299" s="6" t="str">
        <f t="shared" si="89"/>
        <v>23</v>
      </c>
      <c r="T299" s="6" t="str">
        <f t="shared" si="90"/>
        <v>PK</v>
      </c>
      <c r="U299" s="6" t="str">
        <f t="shared" si="91"/>
        <v>pk</v>
      </c>
      <c r="V299" s="6">
        <f t="shared" si="92"/>
        <v>2</v>
      </c>
      <c r="W299" s="6" t="str">
        <f t="shared" si="93"/>
        <v>T018877 1</v>
      </c>
      <c r="X299" s="6" t="str">
        <f t="shared" si="94"/>
        <v>S55494</v>
      </c>
      <c r="Y299" s="6" t="str">
        <f t="shared" si="95"/>
        <v>T01</v>
      </c>
      <c r="Z299" s="6" t="str">
        <f t="shared" si="96"/>
        <v>877</v>
      </c>
      <c r="AA299" s="6">
        <f t="shared" si="101"/>
        <v>2</v>
      </c>
      <c r="AB299" s="6">
        <f t="shared" si="97"/>
        <v>2</v>
      </c>
      <c r="AC299" s="6"/>
      <c r="AD299" s="23"/>
    </row>
    <row r="300" spans="1:30" ht="30" x14ac:dyDescent="0.25">
      <c r="A300" s="2" t="s">
        <v>14</v>
      </c>
      <c r="B300" s="2" t="s">
        <v>1079</v>
      </c>
      <c r="C300" s="2" t="s">
        <v>1080</v>
      </c>
      <c r="D300" s="2" t="s">
        <v>1081</v>
      </c>
      <c r="E300" s="2" t="s">
        <v>1082</v>
      </c>
      <c r="F300" s="2">
        <v>1</v>
      </c>
      <c r="G300" s="2" t="s">
        <v>13</v>
      </c>
      <c r="H300" s="2">
        <v>15</v>
      </c>
      <c r="I300" s="6">
        <f t="shared" si="98"/>
        <v>15</v>
      </c>
      <c r="J300" s="6">
        <f t="shared" si="102"/>
        <v>476.5</v>
      </c>
      <c r="K300" s="6">
        <f t="shared" si="103"/>
        <v>473</v>
      </c>
      <c r="L300" s="6">
        <f t="shared" si="99"/>
        <v>1454.5</v>
      </c>
      <c r="M300" s="6">
        <f t="shared" si="104"/>
        <v>75</v>
      </c>
      <c r="N300" s="6" t="b">
        <f t="shared" si="85"/>
        <v>0</v>
      </c>
      <c r="O300" s="6" t="b">
        <f t="shared" si="100"/>
        <v>1</v>
      </c>
      <c r="P300" s="6" t="str">
        <f t="shared" si="86"/>
        <v>C004565-ct</v>
      </c>
      <c r="Q300" s="7" t="str">
        <f t="shared" si="87"/>
        <v>T055051
1</v>
      </c>
      <c r="R300" s="6" t="b">
        <f t="shared" si="88"/>
        <v>0</v>
      </c>
      <c r="S300" s="6" t="str">
        <f t="shared" si="89"/>
        <v>12</v>
      </c>
      <c r="T300" s="6" t="str">
        <f t="shared" si="90"/>
        <v>CT</v>
      </c>
      <c r="U300" s="6" t="str">
        <f t="shared" si="91"/>
        <v>ct</v>
      </c>
      <c r="V300" s="6">
        <f t="shared" si="92"/>
        <v>2</v>
      </c>
      <c r="W300" s="6" t="str">
        <f t="shared" si="93"/>
        <v>T055051 1</v>
      </c>
      <c r="X300" s="6" t="str">
        <f t="shared" si="94"/>
        <v>S55393</v>
      </c>
      <c r="Y300" s="6" t="str">
        <f t="shared" si="95"/>
        <v>T05</v>
      </c>
      <c r="Z300" s="6" t="str">
        <f t="shared" si="96"/>
        <v>051</v>
      </c>
      <c r="AA300" s="6">
        <f t="shared" si="101"/>
        <v>2</v>
      </c>
      <c r="AB300" s="6">
        <f t="shared" si="97"/>
        <v>2</v>
      </c>
      <c r="AC300" s="6"/>
      <c r="AD300" s="23"/>
    </row>
    <row r="301" spans="1:30" ht="30" x14ac:dyDescent="0.25">
      <c r="A301" s="2" t="s">
        <v>66</v>
      </c>
      <c r="B301" s="2" t="s">
        <v>1083</v>
      </c>
      <c r="C301" s="2" t="s">
        <v>1084</v>
      </c>
      <c r="D301" s="2" t="s">
        <v>661</v>
      </c>
      <c r="E301" s="2" t="s">
        <v>1085</v>
      </c>
      <c r="F301" s="2">
        <v>2</v>
      </c>
      <c r="G301" s="2" t="s">
        <v>407</v>
      </c>
      <c r="H301" s="2">
        <v>12</v>
      </c>
      <c r="I301" s="6">
        <f t="shared" si="98"/>
        <v>24</v>
      </c>
      <c r="J301" s="6">
        <f t="shared" si="102"/>
        <v>453</v>
      </c>
      <c r="K301" s="6">
        <f t="shared" si="103"/>
        <v>451</v>
      </c>
      <c r="L301" s="6">
        <f t="shared" si="99"/>
        <v>77</v>
      </c>
      <c r="M301" s="6">
        <f t="shared" si="104"/>
        <v>5</v>
      </c>
      <c r="N301" s="6" t="b">
        <f t="shared" si="85"/>
        <v>0</v>
      </c>
      <c r="O301" s="6" t="b">
        <f t="shared" si="100"/>
        <v>1</v>
      </c>
      <c r="P301" s="6" t="str">
        <f t="shared" si="86"/>
        <v>C000111-pk</v>
      </c>
      <c r="Q301" s="7" t="str">
        <f t="shared" si="87"/>
        <v>T076327
2</v>
      </c>
      <c r="R301" s="6" t="b">
        <f t="shared" si="88"/>
        <v>0</v>
      </c>
      <c r="S301" s="6" t="str">
        <f t="shared" si="89"/>
        <v>24</v>
      </c>
      <c r="T301" s="6" t="str">
        <f t="shared" si="90"/>
        <v>PK</v>
      </c>
      <c r="U301" s="6" t="str">
        <f t="shared" si="91"/>
        <v>pk</v>
      </c>
      <c r="V301" s="6">
        <f t="shared" si="92"/>
        <v>2</v>
      </c>
      <c r="W301" s="6" t="str">
        <f t="shared" si="93"/>
        <v>T076327 2</v>
      </c>
      <c r="X301" s="6" t="str">
        <f t="shared" si="94"/>
        <v>S55162</v>
      </c>
      <c r="Y301" s="6" t="str">
        <f t="shared" si="95"/>
        <v>T07</v>
      </c>
      <c r="Z301" s="6" t="str">
        <f t="shared" si="96"/>
        <v>327</v>
      </c>
      <c r="AA301" s="6">
        <f t="shared" si="101"/>
        <v>2</v>
      </c>
      <c r="AB301" s="6">
        <f t="shared" si="97"/>
        <v>2</v>
      </c>
      <c r="AC301" s="6"/>
      <c r="AD301" s="23"/>
    </row>
    <row r="302" spans="1:30" ht="30" x14ac:dyDescent="0.25">
      <c r="A302" s="2" t="s">
        <v>14</v>
      </c>
      <c r="B302" s="2" t="s">
        <v>1086</v>
      </c>
      <c r="C302" s="2" t="s">
        <v>1087</v>
      </c>
      <c r="D302" s="2" t="s">
        <v>243</v>
      </c>
      <c r="E302" s="2" t="s">
        <v>1088</v>
      </c>
      <c r="F302" s="2">
        <v>3</v>
      </c>
      <c r="G302" s="2" t="s">
        <v>245</v>
      </c>
      <c r="H302" s="2">
        <v>12</v>
      </c>
      <c r="I302" s="6">
        <f t="shared" si="98"/>
        <v>36</v>
      </c>
      <c r="J302" s="6">
        <f t="shared" si="102"/>
        <v>417.5</v>
      </c>
      <c r="K302" s="6">
        <f t="shared" si="103"/>
        <v>416</v>
      </c>
      <c r="L302" s="6">
        <f t="shared" si="99"/>
        <v>24</v>
      </c>
      <c r="M302" s="6">
        <f t="shared" si="104"/>
        <v>2</v>
      </c>
      <c r="N302" s="6" t="b">
        <f t="shared" si="85"/>
        <v>0</v>
      </c>
      <c r="O302" s="6" t="b">
        <f t="shared" si="100"/>
        <v>1</v>
      </c>
      <c r="P302" s="6" t="str">
        <f t="shared" si="86"/>
        <v>C005112-tins</v>
      </c>
      <c r="Q302" s="7" t="str">
        <f t="shared" si="87"/>
        <v>T00836
3</v>
      </c>
      <c r="R302" s="6" t="b">
        <f t="shared" si="88"/>
        <v>0</v>
      </c>
      <c r="S302" s="6" t="str">
        <f t="shared" si="89"/>
        <v>23</v>
      </c>
      <c r="T302" s="6" t="str">
        <f t="shared" si="90"/>
        <v>TINS</v>
      </c>
      <c r="U302" s="6" t="str">
        <f t="shared" si="91"/>
        <v>tins</v>
      </c>
      <c r="V302" s="6">
        <f t="shared" si="92"/>
        <v>2</v>
      </c>
      <c r="W302" s="6" t="str">
        <f t="shared" si="93"/>
        <v>T00836 3</v>
      </c>
      <c r="X302" s="6" t="str">
        <f t="shared" si="94"/>
        <v>S55633</v>
      </c>
      <c r="Y302" s="6" t="str">
        <f t="shared" si="95"/>
        <v>T00</v>
      </c>
      <c r="Z302" s="6" t="str">
        <f t="shared" si="96"/>
        <v>836</v>
      </c>
      <c r="AA302" s="6">
        <f t="shared" si="101"/>
        <v>2</v>
      </c>
      <c r="AB302" s="6">
        <f t="shared" si="97"/>
        <v>4</v>
      </c>
      <c r="AC302" s="6"/>
      <c r="AD302" s="23"/>
    </row>
    <row r="303" spans="1:30" ht="30" x14ac:dyDescent="0.25">
      <c r="A303" s="2" t="s">
        <v>743</v>
      </c>
      <c r="B303" s="2" t="s">
        <v>1089</v>
      </c>
      <c r="C303" s="2" t="s">
        <v>1090</v>
      </c>
      <c r="D303" s="2" t="s">
        <v>548</v>
      </c>
      <c r="E303" s="2" t="s">
        <v>1091</v>
      </c>
      <c r="F303" s="2">
        <v>7</v>
      </c>
      <c r="G303" s="2" t="s">
        <v>35</v>
      </c>
      <c r="H303" s="2">
        <v>8</v>
      </c>
      <c r="I303" s="6">
        <f t="shared" si="98"/>
        <v>56</v>
      </c>
      <c r="J303" s="6">
        <f t="shared" si="102"/>
        <v>360.5</v>
      </c>
      <c r="K303" s="6">
        <f t="shared" si="103"/>
        <v>357</v>
      </c>
      <c r="L303" s="6">
        <f t="shared" si="99"/>
        <v>948.25</v>
      </c>
      <c r="M303" s="6">
        <f t="shared" si="104"/>
        <v>54</v>
      </c>
      <c r="N303" s="6" t="b">
        <f t="shared" si="85"/>
        <v>0</v>
      </c>
      <c r="O303" s="6" t="b">
        <f t="shared" si="100"/>
        <v>1</v>
      </c>
      <c r="P303" s="6" t="str">
        <f t="shared" si="86"/>
        <v>C004541-cans</v>
      </c>
      <c r="Q303" s="7" t="str">
        <f t="shared" si="87"/>
        <v>T039796
7</v>
      </c>
      <c r="R303" s="6" t="b">
        <f t="shared" si="88"/>
        <v>0</v>
      </c>
      <c r="S303" s="6" t="str">
        <f t="shared" si="89"/>
        <v>04</v>
      </c>
      <c r="T303" s="6" t="str">
        <f t="shared" si="90"/>
        <v>CANS</v>
      </c>
      <c r="U303" s="6" t="str">
        <f t="shared" si="91"/>
        <v>cans</v>
      </c>
      <c r="V303" s="6">
        <f t="shared" si="92"/>
        <v>2</v>
      </c>
      <c r="W303" s="6" t="str">
        <f t="shared" si="93"/>
        <v>T039796 7</v>
      </c>
      <c r="X303" s="6" t="str">
        <f t="shared" si="94"/>
        <v>S55719</v>
      </c>
      <c r="Y303" s="6" t="str">
        <f t="shared" si="95"/>
        <v>T03</v>
      </c>
      <c r="Z303" s="6" t="str">
        <f t="shared" si="96"/>
        <v>796</v>
      </c>
      <c r="AA303" s="6">
        <f t="shared" si="101"/>
        <v>2</v>
      </c>
      <c r="AB303" s="6">
        <f t="shared" si="97"/>
        <v>4</v>
      </c>
      <c r="AC303" s="6"/>
      <c r="AD303" s="23"/>
    </row>
    <row r="304" spans="1:30" ht="30" x14ac:dyDescent="0.25">
      <c r="A304" s="2" t="s">
        <v>55</v>
      </c>
      <c r="B304" s="2" t="s">
        <v>372</v>
      </c>
      <c r="C304" s="2" t="s">
        <v>1092</v>
      </c>
      <c r="D304" s="2" t="s">
        <v>603</v>
      </c>
      <c r="E304" s="2" t="s">
        <v>228</v>
      </c>
      <c r="F304" s="2">
        <v>6</v>
      </c>
      <c r="G304" s="2" t="s">
        <v>407</v>
      </c>
      <c r="H304" s="2">
        <v>21</v>
      </c>
      <c r="I304" s="6">
        <f t="shared" si="98"/>
        <v>126</v>
      </c>
      <c r="J304" s="6">
        <f t="shared" si="102"/>
        <v>157</v>
      </c>
      <c r="K304" s="6">
        <f t="shared" si="103"/>
        <v>154</v>
      </c>
      <c r="L304" s="6">
        <f t="shared" si="99"/>
        <v>65</v>
      </c>
      <c r="M304" s="6">
        <f t="shared" si="104"/>
        <v>4</v>
      </c>
      <c r="N304" s="6" t="b">
        <f t="shared" si="85"/>
        <v>1</v>
      </c>
      <c r="O304" s="6" t="b">
        <f t="shared" si="100"/>
        <v>1</v>
      </c>
      <c r="P304" s="6" t="str">
        <f t="shared" si="86"/>
        <v>C001890-pk</v>
      </c>
      <c r="Q304" s="7" t="str">
        <f t="shared" si="87"/>
        <v>T016001
6</v>
      </c>
      <c r="R304" s="6" t="b">
        <f t="shared" si="88"/>
        <v>0</v>
      </c>
      <c r="S304" s="6" t="str">
        <f t="shared" si="89"/>
        <v>25</v>
      </c>
      <c r="T304" s="6" t="str">
        <f t="shared" si="90"/>
        <v>PK</v>
      </c>
      <c r="U304" s="6" t="str">
        <f t="shared" si="91"/>
        <v>pk</v>
      </c>
      <c r="V304" s="6">
        <f t="shared" si="92"/>
        <v>2</v>
      </c>
      <c r="W304" s="6" t="str">
        <f t="shared" si="93"/>
        <v>T016001 6</v>
      </c>
      <c r="X304" s="6" t="str">
        <f t="shared" si="94"/>
        <v>S55716</v>
      </c>
      <c r="Y304" s="6" t="str">
        <f t="shared" si="95"/>
        <v>T01</v>
      </c>
      <c r="Z304" s="6" t="str">
        <f t="shared" si="96"/>
        <v>001</v>
      </c>
      <c r="AA304" s="6">
        <f t="shared" si="101"/>
        <v>2</v>
      </c>
      <c r="AB304" s="6">
        <f t="shared" si="97"/>
        <v>2</v>
      </c>
      <c r="AC304" s="6"/>
      <c r="AD304" s="23"/>
    </row>
    <row r="305" spans="1:30" ht="30" x14ac:dyDescent="0.25">
      <c r="A305" s="2" t="s">
        <v>743</v>
      </c>
      <c r="B305" s="2" t="s">
        <v>1093</v>
      </c>
      <c r="C305" s="2" t="s">
        <v>1094</v>
      </c>
      <c r="D305" s="2" t="s">
        <v>212</v>
      </c>
      <c r="E305" s="2" t="s">
        <v>542</v>
      </c>
      <c r="F305" s="2">
        <v>9</v>
      </c>
      <c r="G305" s="2" t="s">
        <v>13</v>
      </c>
      <c r="H305" s="2">
        <v>45</v>
      </c>
      <c r="I305" s="6">
        <f t="shared" si="98"/>
        <v>405</v>
      </c>
      <c r="J305" s="6">
        <f t="shared" si="102"/>
        <v>7</v>
      </c>
      <c r="K305" s="6">
        <f t="shared" si="103"/>
        <v>7</v>
      </c>
      <c r="L305" s="6">
        <f t="shared" si="99"/>
        <v>1439.5</v>
      </c>
      <c r="M305" s="6">
        <f t="shared" si="104"/>
        <v>74</v>
      </c>
      <c r="N305" s="6" t="b">
        <f t="shared" si="85"/>
        <v>1</v>
      </c>
      <c r="O305" s="6" t="b">
        <f t="shared" si="100"/>
        <v>1</v>
      </c>
      <c r="P305" s="6" t="str">
        <f t="shared" si="86"/>
        <v>C008249-ct</v>
      </c>
      <c r="Q305" s="7" t="str">
        <f t="shared" si="87"/>
        <v>T092806
9</v>
      </c>
      <c r="R305" s="6" t="b">
        <f t="shared" si="88"/>
        <v>0</v>
      </c>
      <c r="S305" s="6" t="str">
        <f t="shared" si="89"/>
        <v>12</v>
      </c>
      <c r="T305" s="6" t="str">
        <f t="shared" si="90"/>
        <v>CT</v>
      </c>
      <c r="U305" s="6" t="str">
        <f t="shared" si="91"/>
        <v>ct</v>
      </c>
      <c r="V305" s="6">
        <f t="shared" si="92"/>
        <v>2</v>
      </c>
      <c r="W305" s="6" t="str">
        <f t="shared" si="93"/>
        <v>T092806 9</v>
      </c>
      <c r="X305" s="6" t="str">
        <f t="shared" si="94"/>
        <v>S55551</v>
      </c>
      <c r="Y305" s="6" t="str">
        <f t="shared" si="95"/>
        <v>T09</v>
      </c>
      <c r="Z305" s="6" t="str">
        <f t="shared" si="96"/>
        <v>806</v>
      </c>
      <c r="AA305" s="6">
        <f t="shared" si="101"/>
        <v>2</v>
      </c>
      <c r="AB305" s="6">
        <f t="shared" si="97"/>
        <v>2</v>
      </c>
      <c r="AC305" s="6"/>
      <c r="AD305" s="23"/>
    </row>
    <row r="306" spans="1:30" ht="30" x14ac:dyDescent="0.25">
      <c r="A306" s="2" t="s">
        <v>116</v>
      </c>
      <c r="B306" s="2" t="s">
        <v>1095</v>
      </c>
      <c r="C306" s="2" t="s">
        <v>1096</v>
      </c>
      <c r="D306" s="2" t="s">
        <v>975</v>
      </c>
      <c r="E306" s="2" t="s">
        <v>1097</v>
      </c>
      <c r="F306" s="2">
        <v>5</v>
      </c>
      <c r="G306" s="2" t="s">
        <v>13</v>
      </c>
      <c r="H306" s="2">
        <v>17</v>
      </c>
      <c r="I306" s="6">
        <f t="shared" si="98"/>
        <v>85</v>
      </c>
      <c r="J306" s="6">
        <f t="shared" si="102"/>
        <v>258</v>
      </c>
      <c r="K306" s="6">
        <f t="shared" si="103"/>
        <v>257</v>
      </c>
      <c r="L306" s="6">
        <f t="shared" si="99"/>
        <v>1394.5</v>
      </c>
      <c r="M306" s="6">
        <f t="shared" si="104"/>
        <v>73</v>
      </c>
      <c r="N306" s="6" t="b">
        <f t="shared" si="85"/>
        <v>0</v>
      </c>
      <c r="O306" s="6" t="b">
        <f t="shared" si="100"/>
        <v>1</v>
      </c>
      <c r="P306" s="6" t="str">
        <f t="shared" si="86"/>
        <v>C007549-ct</v>
      </c>
      <c r="Q306" s="7" t="str">
        <f t="shared" si="87"/>
        <v>T093438
5</v>
      </c>
      <c r="R306" s="6" t="b">
        <f t="shared" si="88"/>
        <v>0</v>
      </c>
      <c r="S306" s="6" t="str">
        <f t="shared" si="89"/>
        <v>22</v>
      </c>
      <c r="T306" s="6" t="str">
        <f t="shared" si="90"/>
        <v>CT</v>
      </c>
      <c r="U306" s="6" t="str">
        <f t="shared" si="91"/>
        <v>ct</v>
      </c>
      <c r="V306" s="6">
        <f t="shared" si="92"/>
        <v>2</v>
      </c>
      <c r="W306" s="6" t="str">
        <f t="shared" si="93"/>
        <v>T093438 5</v>
      </c>
      <c r="X306" s="6" t="str">
        <f t="shared" si="94"/>
        <v>S55593</v>
      </c>
      <c r="Y306" s="6" t="str">
        <f t="shared" si="95"/>
        <v>T09</v>
      </c>
      <c r="Z306" s="6" t="str">
        <f t="shared" si="96"/>
        <v>438</v>
      </c>
      <c r="AA306" s="6">
        <f t="shared" si="101"/>
        <v>2</v>
      </c>
      <c r="AB306" s="6">
        <f t="shared" si="97"/>
        <v>2</v>
      </c>
      <c r="AC306" s="6"/>
      <c r="AD306" s="23"/>
    </row>
    <row r="307" spans="1:30" ht="30" x14ac:dyDescent="0.25">
      <c r="A307" s="2" t="s">
        <v>125</v>
      </c>
      <c r="B307" s="2" t="s">
        <v>1098</v>
      </c>
      <c r="C307" s="2" t="s">
        <v>1099</v>
      </c>
      <c r="D307" s="2" t="s">
        <v>476</v>
      </c>
      <c r="E307" s="2" t="s">
        <v>1100</v>
      </c>
      <c r="F307" s="2">
        <v>5</v>
      </c>
      <c r="G307" s="2" t="s">
        <v>13</v>
      </c>
      <c r="H307" s="2">
        <v>32</v>
      </c>
      <c r="I307" s="6">
        <f t="shared" si="98"/>
        <v>160</v>
      </c>
      <c r="J307" s="6">
        <f t="shared" si="102"/>
        <v>90.5</v>
      </c>
      <c r="K307" s="6">
        <f t="shared" si="103"/>
        <v>84</v>
      </c>
      <c r="L307" s="6">
        <f t="shared" si="99"/>
        <v>1377.5</v>
      </c>
      <c r="M307" s="6">
        <f t="shared" si="104"/>
        <v>72</v>
      </c>
      <c r="N307" s="6" t="b">
        <f t="shared" si="85"/>
        <v>1</v>
      </c>
      <c r="O307" s="6" t="b">
        <f t="shared" si="100"/>
        <v>1</v>
      </c>
      <c r="P307" s="6" t="str">
        <f t="shared" si="86"/>
        <v>C005685-ct</v>
      </c>
      <c r="Q307" s="7" t="str">
        <f t="shared" si="87"/>
        <v>T05277
5</v>
      </c>
      <c r="R307" s="6" t="b">
        <f t="shared" si="88"/>
        <v>0</v>
      </c>
      <c r="S307" s="6" t="str">
        <f t="shared" si="89"/>
        <v>13</v>
      </c>
      <c r="T307" s="6" t="str">
        <f t="shared" si="90"/>
        <v>CT</v>
      </c>
      <c r="U307" s="6" t="str">
        <f t="shared" si="91"/>
        <v>ct</v>
      </c>
      <c r="V307" s="6">
        <f t="shared" si="92"/>
        <v>2</v>
      </c>
      <c r="W307" s="6" t="str">
        <f t="shared" si="93"/>
        <v>T05277 5</v>
      </c>
      <c r="X307" s="6" t="str">
        <f t="shared" si="94"/>
        <v>S55247</v>
      </c>
      <c r="Y307" s="6" t="str">
        <f t="shared" si="95"/>
        <v>T05</v>
      </c>
      <c r="Z307" s="6" t="str">
        <f t="shared" si="96"/>
        <v>277</v>
      </c>
      <c r="AA307" s="6">
        <f t="shared" si="101"/>
        <v>2</v>
      </c>
      <c r="AB307" s="6">
        <f t="shared" si="97"/>
        <v>2</v>
      </c>
      <c r="AC307" s="6"/>
      <c r="AD307" s="23"/>
    </row>
    <row r="308" spans="1:30" ht="30" x14ac:dyDescent="0.25">
      <c r="A308" s="2" t="s">
        <v>218</v>
      </c>
      <c r="B308" s="2" t="s">
        <v>1101</v>
      </c>
      <c r="C308" s="2" t="s">
        <v>1102</v>
      </c>
      <c r="D308" s="2" t="s">
        <v>233</v>
      </c>
      <c r="E308" s="2" t="s">
        <v>1103</v>
      </c>
      <c r="F308" s="2">
        <v>5</v>
      </c>
      <c r="G308" s="2" t="s">
        <v>35</v>
      </c>
      <c r="H308" s="2">
        <v>6.75</v>
      </c>
      <c r="I308" s="6">
        <f t="shared" si="98"/>
        <v>33.75</v>
      </c>
      <c r="J308" s="6">
        <f t="shared" si="102"/>
        <v>426</v>
      </c>
      <c r="K308" s="6">
        <f t="shared" si="103"/>
        <v>424</v>
      </c>
      <c r="L308" s="6">
        <f t="shared" si="99"/>
        <v>940.25</v>
      </c>
      <c r="M308" s="6">
        <f t="shared" si="104"/>
        <v>53</v>
      </c>
      <c r="N308" s="6" t="b">
        <f t="shared" si="85"/>
        <v>0</v>
      </c>
      <c r="O308" s="6" t="b">
        <f t="shared" si="100"/>
        <v>1</v>
      </c>
      <c r="P308" s="6" t="str">
        <f t="shared" si="86"/>
        <v>C001656-cans</v>
      </c>
      <c r="Q308" s="7" t="str">
        <f t="shared" si="87"/>
        <v>T085875
5</v>
      </c>
      <c r="R308" s="6" t="b">
        <f t="shared" si="88"/>
        <v>0</v>
      </c>
      <c r="S308" s="6" t="str">
        <f t="shared" si="89"/>
        <v>00</v>
      </c>
      <c r="T308" s="6" t="str">
        <f t="shared" si="90"/>
        <v>CANS</v>
      </c>
      <c r="U308" s="6" t="str">
        <f t="shared" si="91"/>
        <v>cans</v>
      </c>
      <c r="V308" s="6">
        <f t="shared" si="92"/>
        <v>2</v>
      </c>
      <c r="W308" s="6" t="str">
        <f t="shared" si="93"/>
        <v>T085875 5</v>
      </c>
      <c r="X308" s="6" t="str">
        <f t="shared" si="94"/>
        <v>S55695</v>
      </c>
      <c r="Y308" s="6" t="str">
        <f t="shared" si="95"/>
        <v>T08</v>
      </c>
      <c r="Z308" s="6" t="str">
        <f t="shared" si="96"/>
        <v>875</v>
      </c>
      <c r="AA308" s="6">
        <f t="shared" si="101"/>
        <v>2</v>
      </c>
      <c r="AB308" s="6">
        <f t="shared" si="97"/>
        <v>4</v>
      </c>
      <c r="AC308" s="6"/>
      <c r="AD308" s="23"/>
    </row>
    <row r="309" spans="1:30" ht="30" x14ac:dyDescent="0.25">
      <c r="A309" s="2" t="s">
        <v>125</v>
      </c>
      <c r="B309" s="2" t="s">
        <v>1104</v>
      </c>
      <c r="C309" s="2" t="s">
        <v>1105</v>
      </c>
      <c r="D309" s="2" t="s">
        <v>414</v>
      </c>
      <c r="E309" s="2" t="s">
        <v>1106</v>
      </c>
      <c r="F309" s="2">
        <v>6</v>
      </c>
      <c r="G309" s="2" t="s">
        <v>407</v>
      </c>
      <c r="H309" s="2">
        <v>15</v>
      </c>
      <c r="I309" s="6">
        <f t="shared" si="98"/>
        <v>90</v>
      </c>
      <c r="J309" s="6">
        <f t="shared" si="102"/>
        <v>245</v>
      </c>
      <c r="K309" s="6">
        <f t="shared" si="103"/>
        <v>239</v>
      </c>
      <c r="L309" s="6">
        <f t="shared" si="99"/>
        <v>44</v>
      </c>
      <c r="M309" s="6">
        <f t="shared" si="104"/>
        <v>3</v>
      </c>
      <c r="N309" s="6" t="b">
        <f t="shared" si="85"/>
        <v>0</v>
      </c>
      <c r="O309" s="6" t="b">
        <f t="shared" si="100"/>
        <v>1</v>
      </c>
      <c r="P309" s="6" t="str">
        <f t="shared" si="86"/>
        <v>C003956-pk</v>
      </c>
      <c r="Q309" s="7" t="str">
        <f t="shared" si="87"/>
        <v>T014090
6</v>
      </c>
      <c r="R309" s="6" t="b">
        <f t="shared" si="88"/>
        <v>0</v>
      </c>
      <c r="S309" s="6" t="str">
        <f t="shared" si="89"/>
        <v>23</v>
      </c>
      <c r="T309" s="6" t="str">
        <f t="shared" si="90"/>
        <v>PK</v>
      </c>
      <c r="U309" s="6" t="str">
        <f t="shared" si="91"/>
        <v>pk</v>
      </c>
      <c r="V309" s="6">
        <f t="shared" si="92"/>
        <v>2</v>
      </c>
      <c r="W309" s="6" t="str">
        <f t="shared" si="93"/>
        <v>T014090 6</v>
      </c>
      <c r="X309" s="6" t="str">
        <f t="shared" si="94"/>
        <v>S55615</v>
      </c>
      <c r="Y309" s="6" t="str">
        <f t="shared" si="95"/>
        <v>T01</v>
      </c>
      <c r="Z309" s="6" t="str">
        <f t="shared" si="96"/>
        <v>090</v>
      </c>
      <c r="AA309" s="6">
        <f t="shared" si="101"/>
        <v>2</v>
      </c>
      <c r="AB309" s="6">
        <f t="shared" si="97"/>
        <v>2</v>
      </c>
      <c r="AC309" s="6"/>
      <c r="AD309" s="23"/>
    </row>
    <row r="310" spans="1:30" ht="30" x14ac:dyDescent="0.25">
      <c r="A310" s="2" t="s">
        <v>224</v>
      </c>
      <c r="B310" s="2" t="s">
        <v>1107</v>
      </c>
      <c r="C310" s="2" t="s">
        <v>1108</v>
      </c>
      <c r="D310" s="2" t="s">
        <v>975</v>
      </c>
      <c r="E310" s="2" t="s">
        <v>1109</v>
      </c>
      <c r="F310" s="2">
        <v>7</v>
      </c>
      <c r="G310" s="2" t="s">
        <v>13</v>
      </c>
      <c r="H310" s="2">
        <v>17</v>
      </c>
      <c r="I310" s="6">
        <f t="shared" si="98"/>
        <v>119</v>
      </c>
      <c r="J310" s="6">
        <f t="shared" si="102"/>
        <v>179.5</v>
      </c>
      <c r="K310" s="6">
        <f t="shared" si="103"/>
        <v>178</v>
      </c>
      <c r="L310" s="6">
        <f t="shared" si="99"/>
        <v>1345.5</v>
      </c>
      <c r="M310" s="6">
        <f t="shared" si="104"/>
        <v>71</v>
      </c>
      <c r="N310" s="6" t="b">
        <f t="shared" si="85"/>
        <v>0</v>
      </c>
      <c r="O310" s="6" t="b">
        <f t="shared" si="100"/>
        <v>1</v>
      </c>
      <c r="P310" s="6" t="str">
        <f t="shared" si="86"/>
        <v>C003913-ct</v>
      </c>
      <c r="Q310" s="7" t="str">
        <f t="shared" si="87"/>
        <v>T070720
7</v>
      </c>
      <c r="R310" s="6" t="b">
        <f t="shared" si="88"/>
        <v>0</v>
      </c>
      <c r="S310" s="6" t="str">
        <f t="shared" si="89"/>
        <v>22</v>
      </c>
      <c r="T310" s="6" t="str">
        <f t="shared" si="90"/>
        <v>CT</v>
      </c>
      <c r="U310" s="6" t="str">
        <f t="shared" si="91"/>
        <v>ct</v>
      </c>
      <c r="V310" s="6">
        <f t="shared" si="92"/>
        <v>2</v>
      </c>
      <c r="W310" s="6" t="str">
        <f t="shared" si="93"/>
        <v>T070720 7</v>
      </c>
      <c r="X310" s="6" t="str">
        <f t="shared" si="94"/>
        <v>S55146</v>
      </c>
      <c r="Y310" s="6" t="str">
        <f t="shared" si="95"/>
        <v>T07</v>
      </c>
      <c r="Z310" s="6" t="str">
        <f t="shared" si="96"/>
        <v>720</v>
      </c>
      <c r="AA310" s="6">
        <f t="shared" si="101"/>
        <v>2</v>
      </c>
      <c r="AB310" s="6">
        <f t="shared" si="97"/>
        <v>2</v>
      </c>
      <c r="AC310" s="6"/>
      <c r="AD310" s="23"/>
    </row>
    <row r="311" spans="1:30" ht="30" x14ac:dyDescent="0.25">
      <c r="A311" s="2" t="s">
        <v>107</v>
      </c>
      <c r="B311" s="2" t="s">
        <v>1110</v>
      </c>
      <c r="C311" s="2" t="s">
        <v>1111</v>
      </c>
      <c r="D311" s="2" t="s">
        <v>1112</v>
      </c>
      <c r="E311" s="2" t="s">
        <v>1113</v>
      </c>
      <c r="F311" s="2">
        <v>6</v>
      </c>
      <c r="G311" s="2" t="s">
        <v>407</v>
      </c>
      <c r="H311" s="2">
        <v>14</v>
      </c>
      <c r="I311" s="6">
        <f t="shared" si="98"/>
        <v>84</v>
      </c>
      <c r="J311" s="6">
        <f t="shared" si="102"/>
        <v>263.5</v>
      </c>
      <c r="K311" s="6">
        <f t="shared" si="103"/>
        <v>260</v>
      </c>
      <c r="L311" s="6">
        <f t="shared" si="99"/>
        <v>29</v>
      </c>
      <c r="M311" s="6">
        <f t="shared" si="104"/>
        <v>2</v>
      </c>
      <c r="N311" s="6" t="b">
        <f t="shared" si="85"/>
        <v>0</v>
      </c>
      <c r="O311" s="6" t="b">
        <f t="shared" si="100"/>
        <v>1</v>
      </c>
      <c r="P311" s="6" t="str">
        <f t="shared" si="86"/>
        <v>C000236-pk</v>
      </c>
      <c r="Q311" s="7" t="str">
        <f t="shared" si="87"/>
        <v>T08358
6</v>
      </c>
      <c r="R311" s="6" t="b">
        <f t="shared" si="88"/>
        <v>0</v>
      </c>
      <c r="S311" s="6" t="str">
        <f t="shared" si="89"/>
        <v>23</v>
      </c>
      <c r="T311" s="6" t="str">
        <f t="shared" si="90"/>
        <v>PK</v>
      </c>
      <c r="U311" s="6" t="str">
        <f t="shared" si="91"/>
        <v>pk</v>
      </c>
      <c r="V311" s="6">
        <f t="shared" si="92"/>
        <v>2</v>
      </c>
      <c r="W311" s="6" t="str">
        <f t="shared" si="93"/>
        <v>T08358 6</v>
      </c>
      <c r="X311" s="6" t="str">
        <f t="shared" si="94"/>
        <v>S55374</v>
      </c>
      <c r="Y311" s="6" t="str">
        <f t="shared" si="95"/>
        <v>T08</v>
      </c>
      <c r="Z311" s="6" t="str">
        <f t="shared" si="96"/>
        <v>358</v>
      </c>
      <c r="AA311" s="6">
        <f t="shared" si="101"/>
        <v>2</v>
      </c>
      <c r="AB311" s="6">
        <f t="shared" si="97"/>
        <v>2</v>
      </c>
      <c r="AC311" s="6"/>
      <c r="AD311" s="23"/>
    </row>
    <row r="312" spans="1:30" ht="30" x14ac:dyDescent="0.25">
      <c r="A312" s="2" t="s">
        <v>8</v>
      </c>
      <c r="B312" s="2" t="s">
        <v>1114</v>
      </c>
      <c r="C312" s="2" t="s">
        <v>1115</v>
      </c>
      <c r="D312" s="2" t="s">
        <v>449</v>
      </c>
      <c r="E312" s="2" t="s">
        <v>704</v>
      </c>
      <c r="F312" s="2">
        <v>5</v>
      </c>
      <c r="G312" s="2" t="s">
        <v>269</v>
      </c>
      <c r="H312" s="2">
        <v>13</v>
      </c>
      <c r="I312" s="6">
        <f t="shared" si="98"/>
        <v>65</v>
      </c>
      <c r="J312" s="6">
        <f t="shared" si="102"/>
        <v>321.5</v>
      </c>
      <c r="K312" s="6">
        <f t="shared" si="103"/>
        <v>320</v>
      </c>
      <c r="L312" s="6">
        <f t="shared" si="99"/>
        <v>123</v>
      </c>
      <c r="M312" s="6">
        <f t="shared" si="104"/>
        <v>9</v>
      </c>
      <c r="N312" s="6" t="b">
        <f t="shared" si="85"/>
        <v>0</v>
      </c>
      <c r="O312" s="6" t="b">
        <f t="shared" si="100"/>
        <v>1</v>
      </c>
      <c r="P312" s="6" t="str">
        <f t="shared" si="86"/>
        <v>C001625-ct.</v>
      </c>
      <c r="Q312" s="7" t="str">
        <f t="shared" si="87"/>
        <v>T083023
5</v>
      </c>
      <c r="R312" s="6" t="b">
        <f t="shared" si="88"/>
        <v>0</v>
      </c>
      <c r="S312" s="6" t="str">
        <f t="shared" si="89"/>
        <v>18</v>
      </c>
      <c r="T312" s="6" t="str">
        <f t="shared" si="90"/>
        <v>CT.</v>
      </c>
      <c r="U312" s="6" t="str">
        <f t="shared" si="91"/>
        <v>ct.</v>
      </c>
      <c r="V312" s="6">
        <f t="shared" si="92"/>
        <v>2</v>
      </c>
      <c r="W312" s="6" t="str">
        <f t="shared" si="93"/>
        <v>T083023 5</v>
      </c>
      <c r="X312" s="6" t="str">
        <f t="shared" si="94"/>
        <v>S55677</v>
      </c>
      <c r="Y312" s="6" t="str">
        <f t="shared" si="95"/>
        <v>T08</v>
      </c>
      <c r="Z312" s="6" t="str">
        <f t="shared" si="96"/>
        <v>023</v>
      </c>
      <c r="AA312" s="6">
        <f t="shared" si="101"/>
        <v>2</v>
      </c>
      <c r="AB312" s="6">
        <f t="shared" si="97"/>
        <v>3</v>
      </c>
      <c r="AC312" s="6"/>
      <c r="AD312" s="23"/>
    </row>
    <row r="313" spans="1:30" ht="30" x14ac:dyDescent="0.25">
      <c r="A313" s="2" t="s">
        <v>168</v>
      </c>
      <c r="B313" s="2" t="s">
        <v>1116</v>
      </c>
      <c r="C313" s="2" t="s">
        <v>1117</v>
      </c>
      <c r="D313" s="2" t="s">
        <v>449</v>
      </c>
      <c r="E313" s="2" t="s">
        <v>953</v>
      </c>
      <c r="F313" s="2">
        <v>2</v>
      </c>
      <c r="G313" s="2" t="s">
        <v>269</v>
      </c>
      <c r="H313" s="2">
        <v>13</v>
      </c>
      <c r="I313" s="6">
        <f t="shared" si="98"/>
        <v>26</v>
      </c>
      <c r="J313" s="6">
        <f t="shared" si="102"/>
        <v>448.5</v>
      </c>
      <c r="K313" s="6">
        <f t="shared" si="103"/>
        <v>447</v>
      </c>
      <c r="L313" s="6">
        <f t="shared" si="99"/>
        <v>110</v>
      </c>
      <c r="M313" s="6">
        <f t="shared" si="104"/>
        <v>8</v>
      </c>
      <c r="N313" s="6" t="b">
        <f t="shared" si="85"/>
        <v>0</v>
      </c>
      <c r="O313" s="6" t="b">
        <f t="shared" si="100"/>
        <v>1</v>
      </c>
      <c r="P313" s="6" t="str">
        <f t="shared" si="86"/>
        <v>C008610-ct.</v>
      </c>
      <c r="Q313" s="7" t="str">
        <f t="shared" si="87"/>
        <v>T095386
2</v>
      </c>
      <c r="R313" s="6" t="b">
        <f t="shared" si="88"/>
        <v>0</v>
      </c>
      <c r="S313" s="6" t="str">
        <f t="shared" si="89"/>
        <v>18</v>
      </c>
      <c r="T313" s="6" t="str">
        <f t="shared" si="90"/>
        <v>CT.</v>
      </c>
      <c r="U313" s="6" t="str">
        <f t="shared" si="91"/>
        <v>ct.</v>
      </c>
      <c r="V313" s="6">
        <f t="shared" si="92"/>
        <v>2</v>
      </c>
      <c r="W313" s="6" t="str">
        <f t="shared" si="93"/>
        <v>T095386 2</v>
      </c>
      <c r="X313" s="6" t="str">
        <f t="shared" si="94"/>
        <v>S55373</v>
      </c>
      <c r="Y313" s="6" t="str">
        <f t="shared" si="95"/>
        <v>T09</v>
      </c>
      <c r="Z313" s="6" t="str">
        <f t="shared" si="96"/>
        <v>386</v>
      </c>
      <c r="AA313" s="6">
        <f t="shared" si="101"/>
        <v>2</v>
      </c>
      <c r="AB313" s="6">
        <f t="shared" si="97"/>
        <v>3</v>
      </c>
      <c r="AC313" s="6"/>
      <c r="AD313" s="23"/>
    </row>
    <row r="314" spans="1:30" ht="30" x14ac:dyDescent="0.25">
      <c r="A314" s="2" t="s">
        <v>125</v>
      </c>
      <c r="B314" s="2" t="s">
        <v>1118</v>
      </c>
      <c r="C314" s="2" t="s">
        <v>1119</v>
      </c>
      <c r="D314" s="2" t="s">
        <v>221</v>
      </c>
      <c r="E314" s="2" t="s">
        <v>1120</v>
      </c>
      <c r="F314" s="2">
        <v>3</v>
      </c>
      <c r="G314" s="2" t="s">
        <v>223</v>
      </c>
      <c r="H314" s="2">
        <v>19</v>
      </c>
      <c r="I314" s="6">
        <f t="shared" si="98"/>
        <v>57</v>
      </c>
      <c r="J314" s="6">
        <f t="shared" si="102"/>
        <v>355</v>
      </c>
      <c r="K314" s="6">
        <f t="shared" si="103"/>
        <v>354</v>
      </c>
      <c r="L314" s="6">
        <f t="shared" si="99"/>
        <v>19</v>
      </c>
      <c r="M314" s="6">
        <f t="shared" si="104"/>
        <v>1</v>
      </c>
      <c r="N314" s="6" t="b">
        <f t="shared" si="85"/>
        <v>0</v>
      </c>
      <c r="O314" s="6" t="b">
        <f t="shared" si="100"/>
        <v>1</v>
      </c>
      <c r="P314" s="6" t="str">
        <f t="shared" si="86"/>
        <v>C001357-cartons</v>
      </c>
      <c r="Q314" s="7" t="str">
        <f t="shared" si="87"/>
        <v>T036196
3</v>
      </c>
      <c r="R314" s="6" t="b">
        <f t="shared" si="88"/>
        <v>0</v>
      </c>
      <c r="S314" s="6" t="str">
        <f t="shared" si="89"/>
        <v>09</v>
      </c>
      <c r="T314" s="6" t="str">
        <f t="shared" si="90"/>
        <v>CARTONS</v>
      </c>
      <c r="U314" s="6" t="str">
        <f t="shared" si="91"/>
        <v>cartons</v>
      </c>
      <c r="V314" s="6">
        <f t="shared" si="92"/>
        <v>2</v>
      </c>
      <c r="W314" s="6" t="str">
        <f t="shared" si="93"/>
        <v>T036196 3</v>
      </c>
      <c r="X314" s="6" t="str">
        <f t="shared" si="94"/>
        <v>S55412</v>
      </c>
      <c r="Y314" s="6" t="str">
        <f t="shared" si="95"/>
        <v>T03</v>
      </c>
      <c r="Z314" s="6" t="str">
        <f t="shared" si="96"/>
        <v>196</v>
      </c>
      <c r="AA314" s="6">
        <f t="shared" si="101"/>
        <v>2</v>
      </c>
      <c r="AB314" s="6">
        <f t="shared" si="97"/>
        <v>7</v>
      </c>
      <c r="AC314" s="6"/>
      <c r="AD314" s="23"/>
    </row>
    <row r="315" spans="1:30" ht="30" x14ac:dyDescent="0.25">
      <c r="A315" s="2" t="s">
        <v>162</v>
      </c>
      <c r="B315" s="2" t="s">
        <v>1121</v>
      </c>
      <c r="C315" s="2" t="s">
        <v>1122</v>
      </c>
      <c r="D315" s="2" t="s">
        <v>277</v>
      </c>
      <c r="E315" s="2" t="s">
        <v>349</v>
      </c>
      <c r="F315" s="2">
        <v>8</v>
      </c>
      <c r="G315" s="2" t="s">
        <v>13</v>
      </c>
      <c r="H315" s="2">
        <v>15</v>
      </c>
      <c r="I315" s="6">
        <f t="shared" si="98"/>
        <v>120</v>
      </c>
      <c r="J315" s="6">
        <f t="shared" si="102"/>
        <v>169.5</v>
      </c>
      <c r="K315" s="6">
        <f t="shared" si="103"/>
        <v>162</v>
      </c>
      <c r="L315" s="6">
        <f t="shared" si="99"/>
        <v>1328.5</v>
      </c>
      <c r="M315" s="6">
        <f t="shared" si="104"/>
        <v>70</v>
      </c>
      <c r="N315" s="6" t="b">
        <f t="shared" si="85"/>
        <v>0</v>
      </c>
      <c r="O315" s="6" t="b">
        <f t="shared" si="100"/>
        <v>1</v>
      </c>
      <c r="P315" s="6" t="str">
        <f t="shared" si="86"/>
        <v>C001865-ct</v>
      </c>
      <c r="Q315" s="7" t="str">
        <f t="shared" si="87"/>
        <v>T070372
8</v>
      </c>
      <c r="R315" s="6" t="b">
        <f t="shared" si="88"/>
        <v>0</v>
      </c>
      <c r="S315" s="6" t="str">
        <f t="shared" si="89"/>
        <v>12</v>
      </c>
      <c r="T315" s="6" t="str">
        <f t="shared" si="90"/>
        <v>CT</v>
      </c>
      <c r="U315" s="6" t="str">
        <f t="shared" si="91"/>
        <v>ct</v>
      </c>
      <c r="V315" s="6">
        <f t="shared" si="92"/>
        <v>2</v>
      </c>
      <c r="W315" s="6" t="str">
        <f t="shared" si="93"/>
        <v>T070372 8</v>
      </c>
      <c r="X315" s="6" t="str">
        <f t="shared" si="94"/>
        <v>S55362</v>
      </c>
      <c r="Y315" s="6" t="str">
        <f t="shared" si="95"/>
        <v>T07</v>
      </c>
      <c r="Z315" s="6" t="str">
        <f t="shared" si="96"/>
        <v>372</v>
      </c>
      <c r="AA315" s="6">
        <f t="shared" si="101"/>
        <v>2</v>
      </c>
      <c r="AB315" s="6">
        <f t="shared" si="97"/>
        <v>2</v>
      </c>
      <c r="AC315" s="6"/>
      <c r="AD315" s="23"/>
    </row>
    <row r="316" spans="1:30" ht="30" x14ac:dyDescent="0.25">
      <c r="A316" s="2" t="s">
        <v>71</v>
      </c>
      <c r="B316" s="2" t="s">
        <v>1123</v>
      </c>
      <c r="C316" s="2" t="s">
        <v>1124</v>
      </c>
      <c r="D316" s="2" t="s">
        <v>207</v>
      </c>
      <c r="E316" s="2" t="s">
        <v>1125</v>
      </c>
      <c r="F316" s="2">
        <v>1</v>
      </c>
      <c r="G316" s="2" t="s">
        <v>35</v>
      </c>
      <c r="H316" s="2">
        <v>16</v>
      </c>
      <c r="I316" s="6">
        <f t="shared" si="98"/>
        <v>16</v>
      </c>
      <c r="J316" s="6">
        <f t="shared" si="102"/>
        <v>471</v>
      </c>
      <c r="K316" s="6">
        <f t="shared" si="103"/>
        <v>470</v>
      </c>
      <c r="L316" s="6">
        <f t="shared" si="99"/>
        <v>933.5</v>
      </c>
      <c r="M316" s="6">
        <f t="shared" si="104"/>
        <v>52</v>
      </c>
      <c r="N316" s="6" t="b">
        <f t="shared" si="85"/>
        <v>0</v>
      </c>
      <c r="O316" s="6" t="b">
        <f t="shared" si="100"/>
        <v>1</v>
      </c>
      <c r="P316" s="6" t="str">
        <f t="shared" si="86"/>
        <v>C002961-cans</v>
      </c>
      <c r="Q316" s="7" t="str">
        <f t="shared" si="87"/>
        <v>T09001
1</v>
      </c>
      <c r="R316" s="6" t="b">
        <f t="shared" si="88"/>
        <v>0</v>
      </c>
      <c r="S316" s="6" t="str">
        <f t="shared" si="89"/>
        <v>03</v>
      </c>
      <c r="T316" s="6" t="str">
        <f t="shared" si="90"/>
        <v>CANS</v>
      </c>
      <c r="U316" s="6" t="str">
        <f t="shared" si="91"/>
        <v>cans</v>
      </c>
      <c r="V316" s="6">
        <f t="shared" si="92"/>
        <v>2</v>
      </c>
      <c r="W316" s="6" t="str">
        <f t="shared" si="93"/>
        <v>T09001 1</v>
      </c>
      <c r="X316" s="6" t="str">
        <f t="shared" si="94"/>
        <v>S55156</v>
      </c>
      <c r="Y316" s="6" t="str">
        <f t="shared" si="95"/>
        <v>T09</v>
      </c>
      <c r="Z316" s="6" t="str">
        <f t="shared" si="96"/>
        <v>001</v>
      </c>
      <c r="AA316" s="6">
        <f t="shared" si="101"/>
        <v>2</v>
      </c>
      <c r="AB316" s="6">
        <f t="shared" si="97"/>
        <v>4</v>
      </c>
      <c r="AC316" s="6"/>
      <c r="AD316" s="23"/>
    </row>
    <row r="317" spans="1:30" ht="30" x14ac:dyDescent="0.25">
      <c r="A317" s="2" t="s">
        <v>101</v>
      </c>
      <c r="B317" s="2" t="s">
        <v>1126</v>
      </c>
      <c r="C317" s="2" t="s">
        <v>1127</v>
      </c>
      <c r="D317" s="2" t="s">
        <v>310</v>
      </c>
      <c r="E317" s="2" t="s">
        <v>1128</v>
      </c>
      <c r="F317" s="2">
        <v>4</v>
      </c>
      <c r="G317" s="2" t="s">
        <v>35</v>
      </c>
      <c r="H317" s="2">
        <v>40</v>
      </c>
      <c r="I317" s="6">
        <f t="shared" si="98"/>
        <v>160</v>
      </c>
      <c r="J317" s="6">
        <f t="shared" si="102"/>
        <v>90.5</v>
      </c>
      <c r="K317" s="6">
        <f t="shared" si="103"/>
        <v>84</v>
      </c>
      <c r="L317" s="6">
        <f t="shared" si="99"/>
        <v>917.5</v>
      </c>
      <c r="M317" s="6">
        <f t="shared" si="104"/>
        <v>51</v>
      </c>
      <c r="N317" s="6" t="b">
        <f t="shared" si="85"/>
        <v>1</v>
      </c>
      <c r="O317" s="6" t="b">
        <f t="shared" si="100"/>
        <v>1</v>
      </c>
      <c r="P317" s="6" t="str">
        <f t="shared" si="86"/>
        <v>C003323-cans</v>
      </c>
      <c r="Q317" s="7" t="str">
        <f t="shared" si="87"/>
        <v>T083040
4</v>
      </c>
      <c r="R317" s="6" t="b">
        <f t="shared" si="88"/>
        <v>0</v>
      </c>
      <c r="S317" s="6" t="str">
        <f t="shared" si="89"/>
        <v>05</v>
      </c>
      <c r="T317" s="6" t="str">
        <f t="shared" si="90"/>
        <v>CANS</v>
      </c>
      <c r="U317" s="6" t="str">
        <f t="shared" si="91"/>
        <v>cans</v>
      </c>
      <c r="V317" s="6">
        <f t="shared" si="92"/>
        <v>2</v>
      </c>
      <c r="W317" s="6" t="str">
        <f t="shared" si="93"/>
        <v>T083040 4</v>
      </c>
      <c r="X317" s="6" t="str">
        <f t="shared" si="94"/>
        <v>S5517</v>
      </c>
      <c r="Y317" s="6" t="str">
        <f t="shared" si="95"/>
        <v>T08</v>
      </c>
      <c r="Z317" s="6" t="str">
        <f t="shared" si="96"/>
        <v>040</v>
      </c>
      <c r="AA317" s="6">
        <f t="shared" si="101"/>
        <v>2</v>
      </c>
      <c r="AB317" s="6">
        <f t="shared" si="97"/>
        <v>4</v>
      </c>
      <c r="AC317" s="6"/>
      <c r="AD317" s="23"/>
    </row>
    <row r="318" spans="1:30" ht="30" x14ac:dyDescent="0.25">
      <c r="A318" s="2" t="s">
        <v>162</v>
      </c>
      <c r="B318" s="2" t="s">
        <v>1129</v>
      </c>
      <c r="C318" s="2" t="s">
        <v>1130</v>
      </c>
      <c r="D318" s="2" t="s">
        <v>913</v>
      </c>
      <c r="E318" s="2" t="s">
        <v>1131</v>
      </c>
      <c r="F318" s="2">
        <v>4</v>
      </c>
      <c r="G318" s="2" t="s">
        <v>35</v>
      </c>
      <c r="H318" s="2">
        <v>6.75</v>
      </c>
      <c r="I318" s="6">
        <f t="shared" si="98"/>
        <v>27</v>
      </c>
      <c r="J318" s="6">
        <f t="shared" si="102"/>
        <v>445.5</v>
      </c>
      <c r="K318" s="6">
        <f t="shared" si="103"/>
        <v>445</v>
      </c>
      <c r="L318" s="6">
        <f t="shared" si="99"/>
        <v>877.5</v>
      </c>
      <c r="M318" s="6">
        <f t="shared" si="104"/>
        <v>50</v>
      </c>
      <c r="N318" s="6" t="b">
        <f t="shared" si="85"/>
        <v>0</v>
      </c>
      <c r="O318" s="6" t="b">
        <f t="shared" si="100"/>
        <v>1</v>
      </c>
      <c r="P318" s="6" t="str">
        <f t="shared" si="86"/>
        <v>C008344-cans</v>
      </c>
      <c r="Q318" s="7" t="str">
        <f t="shared" si="87"/>
        <v>T050991
4</v>
      </c>
      <c r="R318" s="6" t="b">
        <f t="shared" si="88"/>
        <v>0</v>
      </c>
      <c r="S318" s="6" t="str">
        <f t="shared" si="89"/>
        <v>01</v>
      </c>
      <c r="T318" s="6" t="str">
        <f t="shared" si="90"/>
        <v>CANS</v>
      </c>
      <c r="U318" s="6" t="str">
        <f t="shared" si="91"/>
        <v>cans</v>
      </c>
      <c r="V318" s="6">
        <f t="shared" si="92"/>
        <v>2</v>
      </c>
      <c r="W318" s="6" t="str">
        <f t="shared" si="93"/>
        <v>T050991 4</v>
      </c>
      <c r="X318" s="6" t="str">
        <f t="shared" si="94"/>
        <v>S55137</v>
      </c>
      <c r="Y318" s="6" t="str">
        <f t="shared" si="95"/>
        <v>T05</v>
      </c>
      <c r="Z318" s="6" t="str">
        <f t="shared" si="96"/>
        <v>991</v>
      </c>
      <c r="AA318" s="6">
        <f t="shared" si="101"/>
        <v>2</v>
      </c>
      <c r="AB318" s="6">
        <f t="shared" si="97"/>
        <v>4</v>
      </c>
      <c r="AC318" s="6"/>
      <c r="AD318" s="23"/>
    </row>
    <row r="319" spans="1:30" ht="30" x14ac:dyDescent="0.25">
      <c r="A319" s="2" t="s">
        <v>218</v>
      </c>
      <c r="B319" s="2" t="s">
        <v>642</v>
      </c>
      <c r="C319" s="2" t="s">
        <v>1132</v>
      </c>
      <c r="D319" s="2" t="s">
        <v>1133</v>
      </c>
      <c r="E319" s="2" t="s">
        <v>150</v>
      </c>
      <c r="F319" s="2">
        <v>9</v>
      </c>
      <c r="G319" s="2" t="s">
        <v>167</v>
      </c>
      <c r="H319" s="2">
        <v>19</v>
      </c>
      <c r="I319" s="6">
        <f t="shared" si="98"/>
        <v>171</v>
      </c>
      <c r="J319" s="6">
        <f t="shared" si="102"/>
        <v>70.5</v>
      </c>
      <c r="K319" s="6">
        <f t="shared" si="103"/>
        <v>70</v>
      </c>
      <c r="L319" s="6">
        <f t="shared" si="99"/>
        <v>206.5</v>
      </c>
      <c r="M319" s="6">
        <f t="shared" si="104"/>
        <v>13</v>
      </c>
      <c r="N319" s="6" t="b">
        <f t="shared" si="85"/>
        <v>0</v>
      </c>
      <c r="O319" s="6" t="b">
        <f t="shared" si="100"/>
        <v>1</v>
      </c>
      <c r="P319" s="6" t="str">
        <f t="shared" si="86"/>
        <v>C001377-oz</v>
      </c>
      <c r="Q319" s="7" t="str">
        <f t="shared" si="87"/>
        <v>T058240
9</v>
      </c>
      <c r="R319" s="6" t="b">
        <f t="shared" si="88"/>
        <v>0</v>
      </c>
      <c r="S319" s="6" t="str">
        <f t="shared" si="89"/>
        <v>17</v>
      </c>
      <c r="T319" s="6" t="str">
        <f t="shared" si="90"/>
        <v>OZ</v>
      </c>
      <c r="U319" s="6" t="str">
        <f t="shared" si="91"/>
        <v>oz</v>
      </c>
      <c r="V319" s="6">
        <f t="shared" si="92"/>
        <v>2</v>
      </c>
      <c r="W319" s="6" t="str">
        <f t="shared" si="93"/>
        <v>T058240 9</v>
      </c>
      <c r="X319" s="6" t="str">
        <f t="shared" si="94"/>
        <v>S55462</v>
      </c>
      <c r="Y319" s="6" t="str">
        <f t="shared" si="95"/>
        <v>T05</v>
      </c>
      <c r="Z319" s="6" t="str">
        <f t="shared" si="96"/>
        <v>240</v>
      </c>
      <c r="AA319" s="6">
        <f t="shared" si="101"/>
        <v>2</v>
      </c>
      <c r="AB319" s="6">
        <f t="shared" si="97"/>
        <v>2</v>
      </c>
      <c r="AC319" s="6"/>
      <c r="AD319" s="23"/>
    </row>
    <row r="320" spans="1:30" ht="30" x14ac:dyDescent="0.25">
      <c r="A320" s="2" t="s">
        <v>137</v>
      </c>
      <c r="B320" s="2" t="s">
        <v>1134</v>
      </c>
      <c r="C320" s="2" t="s">
        <v>1135</v>
      </c>
      <c r="D320" s="2" t="s">
        <v>592</v>
      </c>
      <c r="E320" s="2" t="s">
        <v>1136</v>
      </c>
      <c r="F320" s="2">
        <v>9</v>
      </c>
      <c r="G320" s="2" t="s">
        <v>13</v>
      </c>
      <c r="H320" s="2">
        <v>19</v>
      </c>
      <c r="I320" s="6">
        <f t="shared" si="98"/>
        <v>171</v>
      </c>
      <c r="J320" s="6">
        <f t="shared" si="102"/>
        <v>70.5</v>
      </c>
      <c r="K320" s="6">
        <f t="shared" si="103"/>
        <v>70</v>
      </c>
      <c r="L320" s="6">
        <f t="shared" si="99"/>
        <v>1313.5</v>
      </c>
      <c r="M320" s="6">
        <f t="shared" si="104"/>
        <v>69</v>
      </c>
      <c r="N320" s="6" t="b">
        <f t="shared" si="85"/>
        <v>0</v>
      </c>
      <c r="O320" s="6" t="b">
        <f t="shared" si="100"/>
        <v>1</v>
      </c>
      <c r="P320" s="6" t="str">
        <f t="shared" si="86"/>
        <v>C005023-ct</v>
      </c>
      <c r="Q320" s="7" t="str">
        <f t="shared" si="87"/>
        <v>T015790
9</v>
      </c>
      <c r="R320" s="6" t="b">
        <f t="shared" si="88"/>
        <v>0</v>
      </c>
      <c r="S320" s="6" t="str">
        <f t="shared" si="89"/>
        <v>18</v>
      </c>
      <c r="T320" s="6" t="str">
        <f t="shared" si="90"/>
        <v>CT</v>
      </c>
      <c r="U320" s="6" t="str">
        <f t="shared" si="91"/>
        <v>ct</v>
      </c>
      <c r="V320" s="6">
        <f t="shared" si="92"/>
        <v>2</v>
      </c>
      <c r="W320" s="6" t="str">
        <f t="shared" si="93"/>
        <v>T015790 9</v>
      </c>
      <c r="X320" s="6" t="str">
        <f t="shared" si="94"/>
        <v>S55688</v>
      </c>
      <c r="Y320" s="6" t="str">
        <f t="shared" si="95"/>
        <v>T01</v>
      </c>
      <c r="Z320" s="6" t="str">
        <f t="shared" si="96"/>
        <v>790</v>
      </c>
      <c r="AA320" s="6">
        <f t="shared" si="101"/>
        <v>2</v>
      </c>
      <c r="AB320" s="6">
        <f t="shared" si="97"/>
        <v>2</v>
      </c>
      <c r="AC320" s="6"/>
      <c r="AD320" s="23"/>
    </row>
    <row r="321" spans="1:30" ht="30" x14ac:dyDescent="0.25">
      <c r="A321" s="2" t="s">
        <v>523</v>
      </c>
      <c r="B321" s="2" t="s">
        <v>1137</v>
      </c>
      <c r="C321" s="2" t="s">
        <v>1138</v>
      </c>
      <c r="D321" s="2" t="s">
        <v>1139</v>
      </c>
      <c r="E321" s="2" t="s">
        <v>1140</v>
      </c>
      <c r="F321" s="2">
        <v>3</v>
      </c>
      <c r="G321" s="2" t="s">
        <v>13</v>
      </c>
      <c r="H321" s="2">
        <v>16</v>
      </c>
      <c r="I321" s="6">
        <f t="shared" si="98"/>
        <v>48</v>
      </c>
      <c r="J321" s="6">
        <f t="shared" si="102"/>
        <v>382.5</v>
      </c>
      <c r="K321" s="6">
        <f t="shared" si="103"/>
        <v>379</v>
      </c>
      <c r="L321" s="6">
        <f t="shared" si="99"/>
        <v>1294.5</v>
      </c>
      <c r="M321" s="6">
        <f t="shared" si="104"/>
        <v>68</v>
      </c>
      <c r="N321" s="6" t="b">
        <f t="shared" si="85"/>
        <v>0</v>
      </c>
      <c r="O321" s="6" t="b">
        <f t="shared" si="100"/>
        <v>1</v>
      </c>
      <c r="P321" s="6" t="str">
        <f t="shared" si="86"/>
        <v>C003555-ct</v>
      </c>
      <c r="Q321" s="7" t="str">
        <f t="shared" si="87"/>
        <v>T018787
3</v>
      </c>
      <c r="R321" s="6" t="b">
        <f t="shared" si="88"/>
        <v>0</v>
      </c>
      <c r="S321" s="6" t="str">
        <f t="shared" si="89"/>
        <v>16</v>
      </c>
      <c r="T321" s="6" t="str">
        <f t="shared" si="90"/>
        <v>CT</v>
      </c>
      <c r="U321" s="6" t="str">
        <f t="shared" si="91"/>
        <v>ct</v>
      </c>
      <c r="V321" s="6">
        <f t="shared" si="92"/>
        <v>2</v>
      </c>
      <c r="W321" s="6" t="str">
        <f t="shared" si="93"/>
        <v>T018787 3</v>
      </c>
      <c r="X321" s="6" t="str">
        <f t="shared" si="94"/>
        <v>S55279</v>
      </c>
      <c r="Y321" s="6" t="str">
        <f t="shared" si="95"/>
        <v>T01</v>
      </c>
      <c r="Z321" s="6" t="str">
        <f t="shared" si="96"/>
        <v>787</v>
      </c>
      <c r="AA321" s="6">
        <f t="shared" si="101"/>
        <v>2</v>
      </c>
      <c r="AB321" s="6">
        <f t="shared" si="97"/>
        <v>2</v>
      </c>
      <c r="AC321" s="6"/>
      <c r="AD321" s="23"/>
    </row>
    <row r="322" spans="1:30" ht="30" x14ac:dyDescent="0.25">
      <c r="A322" s="2" t="s">
        <v>173</v>
      </c>
      <c r="B322" s="2" t="s">
        <v>1141</v>
      </c>
      <c r="C322" s="2" t="s">
        <v>1142</v>
      </c>
      <c r="D322" s="2" t="s">
        <v>1143</v>
      </c>
      <c r="E322" s="2" t="s">
        <v>1144</v>
      </c>
      <c r="F322" s="2">
        <v>7</v>
      </c>
      <c r="G322" s="2" t="s">
        <v>13</v>
      </c>
      <c r="H322" s="2">
        <v>18</v>
      </c>
      <c r="I322" s="6">
        <f t="shared" si="98"/>
        <v>126</v>
      </c>
      <c r="J322" s="6">
        <f t="shared" si="102"/>
        <v>157</v>
      </c>
      <c r="K322" s="6">
        <f t="shared" si="103"/>
        <v>154</v>
      </c>
      <c r="L322" s="6">
        <f t="shared" si="99"/>
        <v>1278.5</v>
      </c>
      <c r="M322" s="6">
        <f t="shared" si="104"/>
        <v>67</v>
      </c>
      <c r="N322" s="6" t="b">
        <f t="shared" si="85"/>
        <v>0</v>
      </c>
      <c r="O322" s="6" t="b">
        <f t="shared" si="100"/>
        <v>1</v>
      </c>
      <c r="P322" s="6" t="str">
        <f t="shared" si="86"/>
        <v>C006578-ct</v>
      </c>
      <c r="Q322" s="7" t="str">
        <f t="shared" si="87"/>
        <v>T094169
7</v>
      </c>
      <c r="R322" s="6" t="b">
        <f t="shared" si="88"/>
        <v>0</v>
      </c>
      <c r="S322" s="6" t="str">
        <f t="shared" si="89"/>
        <v>14</v>
      </c>
      <c r="T322" s="6" t="str">
        <f t="shared" si="90"/>
        <v>CT</v>
      </c>
      <c r="U322" s="6" t="str">
        <f t="shared" si="91"/>
        <v>ct</v>
      </c>
      <c r="V322" s="6">
        <f t="shared" si="92"/>
        <v>2</v>
      </c>
      <c r="W322" s="6" t="str">
        <f t="shared" si="93"/>
        <v>T094169 7</v>
      </c>
      <c r="X322" s="6" t="str">
        <f t="shared" si="94"/>
        <v>S55512</v>
      </c>
      <c r="Y322" s="6" t="str">
        <f t="shared" si="95"/>
        <v>T09</v>
      </c>
      <c r="Z322" s="6" t="str">
        <f t="shared" si="96"/>
        <v>169</v>
      </c>
      <c r="AA322" s="6">
        <f t="shared" si="101"/>
        <v>2</v>
      </c>
      <c r="AB322" s="6">
        <f t="shared" si="97"/>
        <v>2</v>
      </c>
      <c r="AC322" s="6"/>
      <c r="AD322" s="23"/>
    </row>
    <row r="323" spans="1:30" ht="30" x14ac:dyDescent="0.25">
      <c r="A323" s="2" t="s">
        <v>30</v>
      </c>
      <c r="B323" s="2" t="s">
        <v>1145</v>
      </c>
      <c r="C323" s="2" t="s">
        <v>1146</v>
      </c>
      <c r="D323" s="2" t="s">
        <v>703</v>
      </c>
      <c r="E323" s="2" t="s">
        <v>1147</v>
      </c>
      <c r="F323" s="2">
        <v>5</v>
      </c>
      <c r="G323" s="2" t="s">
        <v>35</v>
      </c>
      <c r="H323" s="2">
        <v>16.25</v>
      </c>
      <c r="I323" s="6">
        <f t="shared" si="98"/>
        <v>81.25</v>
      </c>
      <c r="J323" s="6">
        <f t="shared" si="102"/>
        <v>270</v>
      </c>
      <c r="K323" s="6">
        <f t="shared" si="103"/>
        <v>270</v>
      </c>
      <c r="L323" s="6">
        <f t="shared" si="99"/>
        <v>870.75</v>
      </c>
      <c r="M323" s="6">
        <f t="shared" si="104"/>
        <v>49</v>
      </c>
      <c r="N323" s="6" t="b">
        <f t="shared" si="85"/>
        <v>0</v>
      </c>
      <c r="O323" s="6" t="b">
        <f t="shared" si="100"/>
        <v>1</v>
      </c>
      <c r="P323" s="6" t="str">
        <f t="shared" si="86"/>
        <v>C002672-cans</v>
      </c>
      <c r="Q323" s="7" t="str">
        <f t="shared" si="87"/>
        <v>T033654
5</v>
      </c>
      <c r="R323" s="6" t="b">
        <f t="shared" si="88"/>
        <v>0</v>
      </c>
      <c r="S323" s="6" t="str">
        <f t="shared" si="89"/>
        <v>02</v>
      </c>
      <c r="T323" s="6" t="str">
        <f t="shared" si="90"/>
        <v>CANS</v>
      </c>
      <c r="U323" s="6" t="str">
        <f t="shared" si="91"/>
        <v>cans</v>
      </c>
      <c r="V323" s="6">
        <f t="shared" si="92"/>
        <v>2</v>
      </c>
      <c r="W323" s="6" t="str">
        <f t="shared" si="93"/>
        <v>T033654 5</v>
      </c>
      <c r="X323" s="6" t="str">
        <f t="shared" si="94"/>
        <v>S55371</v>
      </c>
      <c r="Y323" s="6" t="str">
        <f t="shared" si="95"/>
        <v>T03</v>
      </c>
      <c r="Z323" s="6" t="str">
        <f t="shared" si="96"/>
        <v>654</v>
      </c>
      <c r="AA323" s="6">
        <f t="shared" si="101"/>
        <v>2</v>
      </c>
      <c r="AB323" s="6">
        <f t="shared" si="97"/>
        <v>4</v>
      </c>
      <c r="AC323" s="6"/>
      <c r="AD323" s="23"/>
    </row>
    <row r="324" spans="1:30" ht="30" x14ac:dyDescent="0.25">
      <c r="A324" s="2" t="s">
        <v>137</v>
      </c>
      <c r="B324" s="2" t="s">
        <v>1148</v>
      </c>
      <c r="C324" s="2" t="s">
        <v>1149</v>
      </c>
      <c r="D324" s="2" t="s">
        <v>616</v>
      </c>
      <c r="E324" s="2" t="s">
        <v>1150</v>
      </c>
      <c r="F324" s="2">
        <v>10</v>
      </c>
      <c r="G324" s="2" t="s">
        <v>13</v>
      </c>
      <c r="H324" s="2">
        <v>18</v>
      </c>
      <c r="I324" s="6">
        <f t="shared" si="98"/>
        <v>180</v>
      </c>
      <c r="J324" s="6">
        <f t="shared" si="102"/>
        <v>61.5</v>
      </c>
      <c r="K324" s="6">
        <f t="shared" si="103"/>
        <v>60</v>
      </c>
      <c r="L324" s="6">
        <f t="shared" si="99"/>
        <v>1260.5</v>
      </c>
      <c r="M324" s="6">
        <f t="shared" si="104"/>
        <v>66</v>
      </c>
      <c r="N324" s="6" t="b">
        <f t="shared" si="85"/>
        <v>0</v>
      </c>
      <c r="O324" s="6" t="b">
        <f t="shared" si="100"/>
        <v>1</v>
      </c>
      <c r="P324" s="6" t="str">
        <f t="shared" si="86"/>
        <v>C006701-ct</v>
      </c>
      <c r="Q324" s="7" t="str">
        <f t="shared" si="87"/>
        <v>T078795
10</v>
      </c>
      <c r="R324" s="6" t="b">
        <f t="shared" si="88"/>
        <v>0</v>
      </c>
      <c r="S324" s="6" t="str">
        <f t="shared" si="89"/>
        <v>19</v>
      </c>
      <c r="T324" s="6" t="str">
        <f t="shared" si="90"/>
        <v>CT</v>
      </c>
      <c r="U324" s="6" t="str">
        <f t="shared" si="91"/>
        <v>ct</v>
      </c>
      <c r="V324" s="6">
        <f t="shared" si="92"/>
        <v>2</v>
      </c>
      <c r="W324" s="6" t="str">
        <f t="shared" si="93"/>
        <v>T078795 10</v>
      </c>
      <c r="X324" s="6" t="str">
        <f t="shared" si="94"/>
        <v>S55493</v>
      </c>
      <c r="Y324" s="6" t="str">
        <f t="shared" si="95"/>
        <v>T07</v>
      </c>
      <c r="Z324" s="6" t="str">
        <f t="shared" si="96"/>
        <v>795</v>
      </c>
      <c r="AA324" s="6">
        <f t="shared" si="101"/>
        <v>2</v>
      </c>
      <c r="AB324" s="6">
        <f t="shared" si="97"/>
        <v>2</v>
      </c>
      <c r="AC324" s="6"/>
      <c r="AD324" s="23"/>
    </row>
    <row r="325" spans="1:30" ht="30" x14ac:dyDescent="0.25">
      <c r="A325" s="2" t="s">
        <v>240</v>
      </c>
      <c r="B325" s="2" t="s">
        <v>1151</v>
      </c>
      <c r="C325" s="2" t="s">
        <v>1152</v>
      </c>
      <c r="D325" s="2" t="s">
        <v>600</v>
      </c>
      <c r="E325" s="2" t="s">
        <v>199</v>
      </c>
      <c r="F325" s="2">
        <v>5</v>
      </c>
      <c r="G325" s="2" t="s">
        <v>35</v>
      </c>
      <c r="H325" s="2">
        <v>40</v>
      </c>
      <c r="I325" s="6">
        <f t="shared" si="98"/>
        <v>200</v>
      </c>
      <c r="J325" s="6">
        <f t="shared" si="102"/>
        <v>48</v>
      </c>
      <c r="K325" s="6">
        <f t="shared" si="103"/>
        <v>46</v>
      </c>
      <c r="L325" s="6">
        <f t="shared" si="99"/>
        <v>854.5</v>
      </c>
      <c r="M325" s="6">
        <f t="shared" si="104"/>
        <v>48</v>
      </c>
      <c r="N325" s="6" t="b">
        <f t="shared" ref="N325:N388" si="105">AND(H325&gt;20,H325&lt;70)</f>
        <v>1</v>
      </c>
      <c r="O325" s="6" t="b">
        <f t="shared" si="100"/>
        <v>1</v>
      </c>
      <c r="P325" s="6" t="str">
        <f t="shared" ref="P325:P388" si="106">_xlfn.CONCAT(B325,"-",G325)</f>
        <v>C005152-cans</v>
      </c>
      <c r="Q325" s="7" t="str">
        <f t="shared" ref="Q325:Q388" si="107">_xlfn.CONCAT(C325,CHAR(10),F325)</f>
        <v>T098111
5</v>
      </c>
      <c r="R325" s="6" t="b">
        <f t="shared" ref="R325:R388" si="108">EXACT(D325,E325)</f>
        <v>0</v>
      </c>
      <c r="S325" s="6" t="str">
        <f t="shared" ref="S325:S388" si="109">MID(D325,4,2)</f>
        <v>06</v>
      </c>
      <c r="T325" s="6" t="str">
        <f t="shared" ref="T325:T388" si="110">UPPER(G325)</f>
        <v>CANS</v>
      </c>
      <c r="U325" s="6" t="str">
        <f t="shared" ref="U325:U388" si="111">LOWER(G325)</f>
        <v>cans</v>
      </c>
      <c r="V325" s="6">
        <f t="shared" ref="V325:V388" si="112">SEARCH("0",E325)</f>
        <v>2</v>
      </c>
      <c r="W325" s="6" t="str">
        <f t="shared" ref="W325:W388" si="113">_xlfn.TEXTJOIN(" ",TRUE,C325,F325)</f>
        <v>T098111 5</v>
      </c>
      <c r="X325" s="6" t="str">
        <f t="shared" ref="X325:X388" si="114">SUBSTITUTE(E325,"0","5")</f>
        <v>S55759</v>
      </c>
      <c r="Y325" s="6" t="str">
        <f t="shared" ref="Y325:Y388" si="115">LEFT(C325,3)</f>
        <v>T09</v>
      </c>
      <c r="Z325" s="6" t="str">
        <f t="shared" ref="Z325:Z388" si="116">RIGHT(C325,3)</f>
        <v>111</v>
      </c>
      <c r="AA325" s="6">
        <f t="shared" si="101"/>
        <v>2</v>
      </c>
      <c r="AB325" s="6">
        <f t="shared" ref="AB325:AB388" si="117">LEN(G325)</f>
        <v>4</v>
      </c>
      <c r="AC325" s="6"/>
      <c r="AD325" s="23"/>
    </row>
    <row r="326" spans="1:30" ht="30" x14ac:dyDescent="0.25">
      <c r="A326" s="2" t="s">
        <v>82</v>
      </c>
      <c r="B326" s="2" t="s">
        <v>1153</v>
      </c>
      <c r="C326" s="2" t="s">
        <v>1154</v>
      </c>
      <c r="D326" s="2" t="s">
        <v>237</v>
      </c>
      <c r="E326" s="2" t="s">
        <v>1155</v>
      </c>
      <c r="F326" s="2">
        <v>4</v>
      </c>
      <c r="G326" s="2" t="s">
        <v>239</v>
      </c>
      <c r="H326" s="2">
        <v>15</v>
      </c>
      <c r="I326" s="6">
        <f t="shared" ref="I326:I389" si="118">$F326*H326</f>
        <v>60</v>
      </c>
      <c r="J326" s="6">
        <f t="shared" si="102"/>
        <v>344.5</v>
      </c>
      <c r="K326" s="6">
        <f t="shared" si="103"/>
        <v>337</v>
      </c>
      <c r="L326" s="6">
        <f t="shared" ref="L326:L389" si="119">SUMIF(G326:G738,G326,H326:H821)</f>
        <v>75</v>
      </c>
      <c r="M326" s="6">
        <f t="shared" si="104"/>
        <v>5</v>
      </c>
      <c r="N326" s="6" t="b">
        <f t="shared" si="105"/>
        <v>0</v>
      </c>
      <c r="O326" s="6" t="b">
        <f t="shared" si="100"/>
        <v>1</v>
      </c>
      <c r="P326" s="6" t="str">
        <f t="shared" si="106"/>
        <v>C001720-lb</v>
      </c>
      <c r="Q326" s="7" t="str">
        <f t="shared" si="107"/>
        <v>T055754
4</v>
      </c>
      <c r="R326" s="6" t="b">
        <f t="shared" si="108"/>
        <v>0</v>
      </c>
      <c r="S326" s="6" t="str">
        <f t="shared" si="109"/>
        <v>22</v>
      </c>
      <c r="T326" s="6" t="str">
        <f t="shared" si="110"/>
        <v>LB</v>
      </c>
      <c r="U326" s="6" t="str">
        <f t="shared" si="111"/>
        <v>lb</v>
      </c>
      <c r="V326" s="6">
        <f t="shared" si="112"/>
        <v>2</v>
      </c>
      <c r="W326" s="6" t="str">
        <f t="shared" si="113"/>
        <v>T055754 4</v>
      </c>
      <c r="X326" s="6" t="str">
        <f t="shared" si="114"/>
        <v>S5585</v>
      </c>
      <c r="Y326" s="6" t="str">
        <f t="shared" si="115"/>
        <v>T05</v>
      </c>
      <c r="Z326" s="6" t="str">
        <f t="shared" si="116"/>
        <v>754</v>
      </c>
      <c r="AA326" s="6">
        <f t="shared" si="101"/>
        <v>2</v>
      </c>
      <c r="AB326" s="6">
        <f t="shared" si="117"/>
        <v>2</v>
      </c>
      <c r="AC326" s="6"/>
      <c r="AD326" s="23"/>
    </row>
    <row r="327" spans="1:30" ht="30" x14ac:dyDescent="0.25">
      <c r="A327" s="2" t="s">
        <v>339</v>
      </c>
      <c r="B327" s="2" t="s">
        <v>1156</v>
      </c>
      <c r="C327" s="2" t="s">
        <v>1157</v>
      </c>
      <c r="D327" s="2" t="s">
        <v>596</v>
      </c>
      <c r="E327" s="2" t="s">
        <v>1158</v>
      </c>
      <c r="F327" s="2">
        <v>10</v>
      </c>
      <c r="G327" s="2" t="s">
        <v>178</v>
      </c>
      <c r="H327" s="2">
        <v>16</v>
      </c>
      <c r="I327" s="6">
        <f t="shared" si="118"/>
        <v>160</v>
      </c>
      <c r="J327" s="6">
        <f t="shared" si="102"/>
        <v>90.5</v>
      </c>
      <c r="K327" s="6">
        <f t="shared" si="103"/>
        <v>84</v>
      </c>
      <c r="L327" s="6">
        <f t="shared" si="119"/>
        <v>62</v>
      </c>
      <c r="M327" s="6">
        <f t="shared" si="104"/>
        <v>4</v>
      </c>
      <c r="N327" s="6" t="b">
        <f t="shared" si="105"/>
        <v>0</v>
      </c>
      <c r="O327" s="6" t="b">
        <f t="shared" ref="O327:O390" si="120">OR(H327&gt;10,I327&lt;60)</f>
        <v>1</v>
      </c>
      <c r="P327" s="6" t="str">
        <f t="shared" si="106"/>
        <v>C006757-tubs</v>
      </c>
      <c r="Q327" s="7" t="str">
        <f t="shared" si="107"/>
        <v>T041781
10</v>
      </c>
      <c r="R327" s="6" t="b">
        <f t="shared" si="108"/>
        <v>0</v>
      </c>
      <c r="S327" s="6" t="str">
        <f t="shared" si="109"/>
        <v>10</v>
      </c>
      <c r="T327" s="6" t="str">
        <f t="shared" si="110"/>
        <v>TUBS</v>
      </c>
      <c r="U327" s="6" t="str">
        <f t="shared" si="111"/>
        <v>tubs</v>
      </c>
      <c r="V327" s="6">
        <f t="shared" si="112"/>
        <v>2</v>
      </c>
      <c r="W327" s="6" t="str">
        <f t="shared" si="113"/>
        <v>T041781 10</v>
      </c>
      <c r="X327" s="6" t="str">
        <f t="shared" si="114"/>
        <v>S55392</v>
      </c>
      <c r="Y327" s="6" t="str">
        <f t="shared" si="115"/>
        <v>T04</v>
      </c>
      <c r="Z327" s="6" t="str">
        <f t="shared" si="116"/>
        <v>781</v>
      </c>
      <c r="AA327" s="6">
        <f t="shared" si="101"/>
        <v>2</v>
      </c>
      <c r="AB327" s="6">
        <f t="shared" si="117"/>
        <v>4</v>
      </c>
      <c r="AC327" s="6"/>
      <c r="AD327" s="23"/>
    </row>
    <row r="328" spans="1:30" ht="30" x14ac:dyDescent="0.25">
      <c r="A328" s="2" t="s">
        <v>116</v>
      </c>
      <c r="B328" s="2" t="s">
        <v>1159</v>
      </c>
      <c r="C328" s="2" t="s">
        <v>1160</v>
      </c>
      <c r="D328" s="2" t="s">
        <v>198</v>
      </c>
      <c r="E328" s="2" t="s">
        <v>1161</v>
      </c>
      <c r="F328" s="2">
        <v>1</v>
      </c>
      <c r="G328" s="2" t="s">
        <v>60</v>
      </c>
      <c r="H328" s="2">
        <v>20</v>
      </c>
      <c r="I328" s="6">
        <f t="shared" si="118"/>
        <v>20</v>
      </c>
      <c r="J328" s="6">
        <f t="shared" si="102"/>
        <v>464</v>
      </c>
      <c r="K328" s="6">
        <f t="shared" si="103"/>
        <v>462</v>
      </c>
      <c r="L328" s="6">
        <f t="shared" si="119"/>
        <v>376.5</v>
      </c>
      <c r="M328" s="6">
        <f t="shared" si="104"/>
        <v>22</v>
      </c>
      <c r="N328" s="6" t="b">
        <f t="shared" si="105"/>
        <v>0</v>
      </c>
      <c r="O328" s="6" t="b">
        <f t="shared" si="120"/>
        <v>1</v>
      </c>
      <c r="P328" s="6" t="str">
        <f t="shared" si="106"/>
        <v>C004274-bottles</v>
      </c>
      <c r="Q328" s="7" t="str">
        <f t="shared" si="107"/>
        <v>T073065
1</v>
      </c>
      <c r="R328" s="6" t="b">
        <f t="shared" si="108"/>
        <v>0</v>
      </c>
      <c r="S328" s="6" t="str">
        <f t="shared" si="109"/>
        <v>06</v>
      </c>
      <c r="T328" s="6" t="str">
        <f t="shared" si="110"/>
        <v>BOTTLES</v>
      </c>
      <c r="U328" s="6" t="str">
        <f t="shared" si="111"/>
        <v>bottles</v>
      </c>
      <c r="V328" s="6">
        <f t="shared" si="112"/>
        <v>2</v>
      </c>
      <c r="W328" s="6" t="str">
        <f t="shared" si="113"/>
        <v>T073065 1</v>
      </c>
      <c r="X328" s="6" t="str">
        <f t="shared" si="114"/>
        <v>S55359</v>
      </c>
      <c r="Y328" s="6" t="str">
        <f t="shared" si="115"/>
        <v>T07</v>
      </c>
      <c r="Z328" s="6" t="str">
        <f t="shared" si="116"/>
        <v>065</v>
      </c>
      <c r="AA328" s="6">
        <f t="shared" ref="AA328:AA391" si="121">FIND("0",A328)</f>
        <v>2</v>
      </c>
      <c r="AB328" s="6">
        <f t="shared" si="117"/>
        <v>7</v>
      </c>
      <c r="AC328" s="6"/>
      <c r="AD328" s="23"/>
    </row>
    <row r="329" spans="1:30" ht="30" x14ac:dyDescent="0.25">
      <c r="A329" s="2" t="s">
        <v>20</v>
      </c>
      <c r="B329" s="2" t="s">
        <v>1162</v>
      </c>
      <c r="C329" s="2" t="s">
        <v>1163</v>
      </c>
      <c r="D329" s="2" t="s">
        <v>176</v>
      </c>
      <c r="E329" s="2" t="s">
        <v>1164</v>
      </c>
      <c r="F329" s="2">
        <v>7</v>
      </c>
      <c r="G329" s="2" t="s">
        <v>178</v>
      </c>
      <c r="H329" s="2">
        <v>15</v>
      </c>
      <c r="I329" s="6">
        <f t="shared" si="118"/>
        <v>105</v>
      </c>
      <c r="J329" s="6">
        <f t="shared" si="102"/>
        <v>202.5</v>
      </c>
      <c r="K329" s="6">
        <f t="shared" si="103"/>
        <v>199</v>
      </c>
      <c r="L329" s="6">
        <f t="shared" si="119"/>
        <v>46</v>
      </c>
      <c r="M329" s="6">
        <f t="shared" si="104"/>
        <v>3</v>
      </c>
      <c r="N329" s="6" t="b">
        <f t="shared" si="105"/>
        <v>0</v>
      </c>
      <c r="O329" s="6" t="b">
        <f t="shared" si="120"/>
        <v>1</v>
      </c>
      <c r="P329" s="6" t="str">
        <f t="shared" si="106"/>
        <v>C000869-tubs</v>
      </c>
      <c r="Q329" s="7" t="str">
        <f t="shared" si="107"/>
        <v>T024299
7</v>
      </c>
      <c r="R329" s="6" t="b">
        <f t="shared" si="108"/>
        <v>0</v>
      </c>
      <c r="S329" s="6" t="str">
        <f t="shared" si="109"/>
        <v>10</v>
      </c>
      <c r="T329" s="6" t="str">
        <f t="shared" si="110"/>
        <v>TUBS</v>
      </c>
      <c r="U329" s="6" t="str">
        <f t="shared" si="111"/>
        <v>tubs</v>
      </c>
      <c r="V329" s="6">
        <f t="shared" si="112"/>
        <v>2</v>
      </c>
      <c r="W329" s="6" t="str">
        <f t="shared" si="113"/>
        <v>T024299 7</v>
      </c>
      <c r="X329" s="6" t="str">
        <f t="shared" si="114"/>
        <v>S55634</v>
      </c>
      <c r="Y329" s="6" t="str">
        <f t="shared" si="115"/>
        <v>T02</v>
      </c>
      <c r="Z329" s="6" t="str">
        <f t="shared" si="116"/>
        <v>299</v>
      </c>
      <c r="AA329" s="6">
        <f t="shared" si="121"/>
        <v>2</v>
      </c>
      <c r="AB329" s="6">
        <f t="shared" si="117"/>
        <v>4</v>
      </c>
      <c r="AC329" s="6"/>
      <c r="AD329" s="23"/>
    </row>
    <row r="330" spans="1:30" ht="30" x14ac:dyDescent="0.25">
      <c r="A330" s="2" t="s">
        <v>107</v>
      </c>
      <c r="B330" s="2" t="s">
        <v>1165</v>
      </c>
      <c r="C330" s="2" t="s">
        <v>1166</v>
      </c>
      <c r="D330" s="2" t="s">
        <v>1167</v>
      </c>
      <c r="E330" s="2" t="s">
        <v>1168</v>
      </c>
      <c r="F330" s="2">
        <v>11</v>
      </c>
      <c r="G330" s="2" t="s">
        <v>35</v>
      </c>
      <c r="H330" s="2">
        <v>6.75</v>
      </c>
      <c r="I330" s="6">
        <f t="shared" si="118"/>
        <v>74.25</v>
      </c>
      <c r="J330" s="6">
        <f t="shared" si="102"/>
        <v>289.5</v>
      </c>
      <c r="K330" s="6">
        <f t="shared" si="103"/>
        <v>288</v>
      </c>
      <c r="L330" s="6">
        <f t="shared" si="119"/>
        <v>814.5</v>
      </c>
      <c r="M330" s="6">
        <f t="shared" si="104"/>
        <v>47</v>
      </c>
      <c r="N330" s="6" t="b">
        <f t="shared" si="105"/>
        <v>0</v>
      </c>
      <c r="O330" s="6" t="b">
        <f t="shared" si="120"/>
        <v>0</v>
      </c>
      <c r="P330" s="6" t="str">
        <f t="shared" si="106"/>
        <v>C007319-cans</v>
      </c>
      <c r="Q330" s="7" t="str">
        <f t="shared" si="107"/>
        <v>T011112
11</v>
      </c>
      <c r="R330" s="6" t="b">
        <f t="shared" si="108"/>
        <v>0</v>
      </c>
      <c r="S330" s="6" t="str">
        <f t="shared" si="109"/>
        <v>01</v>
      </c>
      <c r="T330" s="6" t="str">
        <f t="shared" si="110"/>
        <v>CANS</v>
      </c>
      <c r="U330" s="6" t="str">
        <f t="shared" si="111"/>
        <v>cans</v>
      </c>
      <c r="V330" s="6">
        <f t="shared" si="112"/>
        <v>2</v>
      </c>
      <c r="W330" s="6" t="str">
        <f t="shared" si="113"/>
        <v>T011112 11</v>
      </c>
      <c r="X330" s="6" t="str">
        <f t="shared" si="114"/>
        <v>S55272</v>
      </c>
      <c r="Y330" s="6" t="str">
        <f t="shared" si="115"/>
        <v>T01</v>
      </c>
      <c r="Z330" s="6" t="str">
        <f t="shared" si="116"/>
        <v>112</v>
      </c>
      <c r="AA330" s="6">
        <f t="shared" si="121"/>
        <v>2</v>
      </c>
      <c r="AB330" s="6">
        <f t="shared" si="117"/>
        <v>4</v>
      </c>
      <c r="AC330" s="6"/>
      <c r="AD330" s="23"/>
    </row>
    <row r="331" spans="1:30" ht="30" x14ac:dyDescent="0.25">
      <c r="A331" s="2" t="s">
        <v>71</v>
      </c>
      <c r="B331" s="2" t="s">
        <v>1169</v>
      </c>
      <c r="C331" s="2" t="s">
        <v>1170</v>
      </c>
      <c r="D331" s="2" t="s">
        <v>1171</v>
      </c>
      <c r="E331" s="2" t="s">
        <v>940</v>
      </c>
      <c r="F331" s="2">
        <v>3</v>
      </c>
      <c r="G331" s="2" t="s">
        <v>13</v>
      </c>
      <c r="H331" s="2">
        <v>44</v>
      </c>
      <c r="I331" s="6">
        <f t="shared" si="118"/>
        <v>132</v>
      </c>
      <c r="J331" s="6">
        <f t="shared" si="102"/>
        <v>139.5</v>
      </c>
      <c r="K331" s="6">
        <f t="shared" si="103"/>
        <v>137</v>
      </c>
      <c r="L331" s="6">
        <f t="shared" si="119"/>
        <v>1242.5</v>
      </c>
      <c r="M331" s="6">
        <f t="shared" si="104"/>
        <v>65</v>
      </c>
      <c r="N331" s="6" t="b">
        <f t="shared" si="105"/>
        <v>1</v>
      </c>
      <c r="O331" s="6" t="b">
        <f t="shared" si="120"/>
        <v>1</v>
      </c>
      <c r="P331" s="6" t="str">
        <f t="shared" si="106"/>
        <v>C008171-ct</v>
      </c>
      <c r="Q331" s="7" t="str">
        <f t="shared" si="107"/>
        <v>T080676
3</v>
      </c>
      <c r="R331" s="6" t="b">
        <f t="shared" si="108"/>
        <v>0</v>
      </c>
      <c r="S331" s="6" t="str">
        <f t="shared" si="109"/>
        <v>11</v>
      </c>
      <c r="T331" s="6" t="str">
        <f t="shared" si="110"/>
        <v>CT</v>
      </c>
      <c r="U331" s="6" t="str">
        <f t="shared" si="111"/>
        <v>ct</v>
      </c>
      <c r="V331" s="6">
        <f t="shared" si="112"/>
        <v>2</v>
      </c>
      <c r="W331" s="6" t="str">
        <f t="shared" si="113"/>
        <v>T080676 3</v>
      </c>
      <c r="X331" s="6" t="str">
        <f t="shared" si="114"/>
        <v>S55592</v>
      </c>
      <c r="Y331" s="6" t="str">
        <f t="shared" si="115"/>
        <v>T08</v>
      </c>
      <c r="Z331" s="6" t="str">
        <f t="shared" si="116"/>
        <v>676</v>
      </c>
      <c r="AA331" s="6">
        <f t="shared" si="121"/>
        <v>2</v>
      </c>
      <c r="AB331" s="6">
        <f t="shared" si="117"/>
        <v>2</v>
      </c>
      <c r="AC331" s="6"/>
      <c r="AD331" s="23"/>
    </row>
    <row r="332" spans="1:30" ht="30" x14ac:dyDescent="0.25">
      <c r="A332" s="2" t="s">
        <v>121</v>
      </c>
      <c r="B332" s="2" t="s">
        <v>1172</v>
      </c>
      <c r="C332" s="2" t="s">
        <v>1173</v>
      </c>
      <c r="D332" s="2" t="s">
        <v>165</v>
      </c>
      <c r="E332" s="2" t="s">
        <v>1174</v>
      </c>
      <c r="F332" s="2">
        <v>11</v>
      </c>
      <c r="G332" s="2" t="s">
        <v>167</v>
      </c>
      <c r="H332" s="2">
        <v>15</v>
      </c>
      <c r="I332" s="6">
        <f t="shared" si="118"/>
        <v>165</v>
      </c>
      <c r="J332" s="6">
        <f t="shared" ref="J332:J395" si="122">_xlfn.RANK.AVG(I332,$I$5:$I$500)</f>
        <v>79.5</v>
      </c>
      <c r="K332" s="6">
        <f t="shared" ref="K332:K395" si="123">_xlfn.RANK.EQ(I332,$I$5:$I$500)</f>
        <v>77</v>
      </c>
      <c r="L332" s="6">
        <f t="shared" si="119"/>
        <v>187.5</v>
      </c>
      <c r="M332" s="6">
        <f t="shared" ref="M332:M395" si="124">COUNTIF(G332:G744,G332)</f>
        <v>12</v>
      </c>
      <c r="N332" s="6" t="b">
        <f t="shared" si="105"/>
        <v>0</v>
      </c>
      <c r="O332" s="6" t="b">
        <f t="shared" si="120"/>
        <v>1</v>
      </c>
      <c r="P332" s="6" t="str">
        <f t="shared" si="106"/>
        <v>C001278-oz</v>
      </c>
      <c r="Q332" s="7" t="str">
        <f t="shared" si="107"/>
        <v>T063772
11</v>
      </c>
      <c r="R332" s="6" t="b">
        <f t="shared" si="108"/>
        <v>0</v>
      </c>
      <c r="S332" s="6" t="str">
        <f t="shared" si="109"/>
        <v>10</v>
      </c>
      <c r="T332" s="6" t="str">
        <f t="shared" si="110"/>
        <v>OZ</v>
      </c>
      <c r="U332" s="6" t="str">
        <f t="shared" si="111"/>
        <v>oz</v>
      </c>
      <c r="V332" s="6">
        <f t="shared" si="112"/>
        <v>2</v>
      </c>
      <c r="W332" s="6" t="str">
        <f t="shared" si="113"/>
        <v>T063772 11</v>
      </c>
      <c r="X332" s="6" t="str">
        <f t="shared" si="114"/>
        <v>S55128</v>
      </c>
      <c r="Y332" s="6" t="str">
        <f t="shared" si="115"/>
        <v>T06</v>
      </c>
      <c r="Z332" s="6" t="str">
        <f t="shared" si="116"/>
        <v>772</v>
      </c>
      <c r="AA332" s="6">
        <f t="shared" si="121"/>
        <v>2</v>
      </c>
      <c r="AB332" s="6">
        <f t="shared" si="117"/>
        <v>2</v>
      </c>
      <c r="AC332" s="6"/>
      <c r="AD332" s="23"/>
    </row>
    <row r="333" spans="1:30" ht="30" x14ac:dyDescent="0.25">
      <c r="A333" s="2" t="s">
        <v>146</v>
      </c>
      <c r="B333" s="2" t="s">
        <v>1175</v>
      </c>
      <c r="C333" s="2" t="s">
        <v>1176</v>
      </c>
      <c r="D333" s="2" t="s">
        <v>1177</v>
      </c>
      <c r="E333" s="2" t="s">
        <v>1178</v>
      </c>
      <c r="F333" s="2">
        <v>9</v>
      </c>
      <c r="G333" s="2" t="s">
        <v>13</v>
      </c>
      <c r="H333" s="2">
        <v>12.5</v>
      </c>
      <c r="I333" s="6">
        <f t="shared" si="118"/>
        <v>112.5</v>
      </c>
      <c r="J333" s="6">
        <f t="shared" si="122"/>
        <v>185</v>
      </c>
      <c r="K333" s="6">
        <f t="shared" si="123"/>
        <v>185</v>
      </c>
      <c r="L333" s="6">
        <f t="shared" si="119"/>
        <v>1198.5</v>
      </c>
      <c r="M333" s="6">
        <f t="shared" si="124"/>
        <v>64</v>
      </c>
      <c r="N333" s="6" t="b">
        <f t="shared" si="105"/>
        <v>0</v>
      </c>
      <c r="O333" s="6" t="b">
        <f t="shared" si="120"/>
        <v>1</v>
      </c>
      <c r="P333" s="6" t="str">
        <f t="shared" si="106"/>
        <v>C007272-ct</v>
      </c>
      <c r="Q333" s="7" t="str">
        <f t="shared" si="107"/>
        <v>T031469
9</v>
      </c>
      <c r="R333" s="6" t="b">
        <f t="shared" si="108"/>
        <v>0</v>
      </c>
      <c r="S333" s="6" t="str">
        <f t="shared" si="109"/>
        <v>14</v>
      </c>
      <c r="T333" s="6" t="str">
        <f t="shared" si="110"/>
        <v>CT</v>
      </c>
      <c r="U333" s="6" t="str">
        <f t="shared" si="111"/>
        <v>ct</v>
      </c>
      <c r="V333" s="6">
        <f t="shared" si="112"/>
        <v>2</v>
      </c>
      <c r="W333" s="6" t="str">
        <f t="shared" si="113"/>
        <v>T031469 9</v>
      </c>
      <c r="X333" s="6" t="str">
        <f t="shared" si="114"/>
        <v>S55344</v>
      </c>
      <c r="Y333" s="6" t="str">
        <f t="shared" si="115"/>
        <v>T03</v>
      </c>
      <c r="Z333" s="6" t="str">
        <f t="shared" si="116"/>
        <v>469</v>
      </c>
      <c r="AA333" s="6">
        <f t="shared" si="121"/>
        <v>2</v>
      </c>
      <c r="AB333" s="6">
        <f t="shared" si="117"/>
        <v>2</v>
      </c>
      <c r="AC333" s="6"/>
      <c r="AD333" s="23"/>
    </row>
    <row r="334" spans="1:30" ht="30" x14ac:dyDescent="0.25">
      <c r="A334" s="2" t="s">
        <v>307</v>
      </c>
      <c r="B334" s="2" t="s">
        <v>1179</v>
      </c>
      <c r="C334" s="2" t="s">
        <v>1180</v>
      </c>
      <c r="D334" s="2" t="s">
        <v>1181</v>
      </c>
      <c r="E334" s="2" t="s">
        <v>1128</v>
      </c>
      <c r="F334" s="2">
        <v>5</v>
      </c>
      <c r="G334" s="2" t="s">
        <v>13</v>
      </c>
      <c r="H334" s="2">
        <v>14</v>
      </c>
      <c r="I334" s="6">
        <f t="shared" si="118"/>
        <v>70</v>
      </c>
      <c r="J334" s="6">
        <f t="shared" si="122"/>
        <v>301.5</v>
      </c>
      <c r="K334" s="6">
        <f t="shared" si="123"/>
        <v>300</v>
      </c>
      <c r="L334" s="6">
        <f t="shared" si="119"/>
        <v>1186</v>
      </c>
      <c r="M334" s="6">
        <f t="shared" si="124"/>
        <v>63</v>
      </c>
      <c r="N334" s="6" t="b">
        <f t="shared" si="105"/>
        <v>0</v>
      </c>
      <c r="O334" s="6" t="b">
        <f t="shared" si="120"/>
        <v>1</v>
      </c>
      <c r="P334" s="6" t="str">
        <f t="shared" si="106"/>
        <v>C000821-ct</v>
      </c>
      <c r="Q334" s="7" t="str">
        <f t="shared" si="107"/>
        <v>T033931
5</v>
      </c>
      <c r="R334" s="6" t="b">
        <f t="shared" si="108"/>
        <v>0</v>
      </c>
      <c r="S334" s="6" t="str">
        <f t="shared" si="109"/>
        <v>10</v>
      </c>
      <c r="T334" s="6" t="str">
        <f t="shared" si="110"/>
        <v>CT</v>
      </c>
      <c r="U334" s="6" t="str">
        <f t="shared" si="111"/>
        <v>ct</v>
      </c>
      <c r="V334" s="6">
        <f t="shared" si="112"/>
        <v>2</v>
      </c>
      <c r="W334" s="6" t="str">
        <f t="shared" si="113"/>
        <v>T033931 5</v>
      </c>
      <c r="X334" s="6" t="str">
        <f t="shared" si="114"/>
        <v>S5517</v>
      </c>
      <c r="Y334" s="6" t="str">
        <f t="shared" si="115"/>
        <v>T03</v>
      </c>
      <c r="Z334" s="6" t="str">
        <f t="shared" si="116"/>
        <v>931</v>
      </c>
      <c r="AA334" s="6">
        <f t="shared" si="121"/>
        <v>2</v>
      </c>
      <c r="AB334" s="6">
        <f t="shared" si="117"/>
        <v>2</v>
      </c>
      <c r="AC334" s="6"/>
      <c r="AD334" s="23"/>
    </row>
    <row r="335" spans="1:30" ht="30" x14ac:dyDescent="0.25">
      <c r="A335" s="2" t="s">
        <v>61</v>
      </c>
      <c r="B335" s="2" t="s">
        <v>1182</v>
      </c>
      <c r="C335" s="2" t="s">
        <v>1183</v>
      </c>
      <c r="D335" s="2" t="s">
        <v>281</v>
      </c>
      <c r="E335" s="2" t="s">
        <v>1184</v>
      </c>
      <c r="F335" s="2">
        <v>10</v>
      </c>
      <c r="G335" s="2" t="s">
        <v>13</v>
      </c>
      <c r="H335" s="2">
        <v>35</v>
      </c>
      <c r="I335" s="6">
        <f t="shared" si="118"/>
        <v>350</v>
      </c>
      <c r="J335" s="6">
        <f t="shared" si="122"/>
        <v>13</v>
      </c>
      <c r="K335" s="6">
        <f t="shared" si="123"/>
        <v>13</v>
      </c>
      <c r="L335" s="6">
        <f t="shared" si="119"/>
        <v>1172</v>
      </c>
      <c r="M335" s="6">
        <f t="shared" si="124"/>
        <v>62</v>
      </c>
      <c r="N335" s="6" t="b">
        <f t="shared" si="105"/>
        <v>1</v>
      </c>
      <c r="O335" s="6" t="b">
        <f t="shared" si="120"/>
        <v>1</v>
      </c>
      <c r="P335" s="6" t="str">
        <f t="shared" si="106"/>
        <v>C001332-ct</v>
      </c>
      <c r="Q335" s="7" t="str">
        <f t="shared" si="107"/>
        <v>T05979
10</v>
      </c>
      <c r="R335" s="6" t="b">
        <f t="shared" si="108"/>
        <v>0</v>
      </c>
      <c r="S335" s="6" t="str">
        <f t="shared" si="109"/>
        <v>18</v>
      </c>
      <c r="T335" s="6" t="str">
        <f t="shared" si="110"/>
        <v>CT</v>
      </c>
      <c r="U335" s="6" t="str">
        <f t="shared" si="111"/>
        <v>ct</v>
      </c>
      <c r="V335" s="6">
        <f t="shared" si="112"/>
        <v>2</v>
      </c>
      <c r="W335" s="6" t="str">
        <f t="shared" si="113"/>
        <v>T05979 10</v>
      </c>
      <c r="X335" s="6" t="str">
        <f t="shared" si="114"/>
        <v>S55431</v>
      </c>
      <c r="Y335" s="6" t="str">
        <f t="shared" si="115"/>
        <v>T05</v>
      </c>
      <c r="Z335" s="6" t="str">
        <f t="shared" si="116"/>
        <v>979</v>
      </c>
      <c r="AA335" s="6">
        <f t="shared" si="121"/>
        <v>2</v>
      </c>
      <c r="AB335" s="6">
        <f t="shared" si="117"/>
        <v>2</v>
      </c>
      <c r="AC335" s="6"/>
      <c r="AD335" s="23"/>
    </row>
    <row r="336" spans="1:30" ht="30" x14ac:dyDescent="0.25">
      <c r="A336" s="2" t="s">
        <v>8</v>
      </c>
      <c r="B336" s="2" t="s">
        <v>1185</v>
      </c>
      <c r="C336" s="2" t="s">
        <v>1186</v>
      </c>
      <c r="D336" s="2" t="s">
        <v>194</v>
      </c>
      <c r="E336" s="2" t="s">
        <v>1187</v>
      </c>
      <c r="F336" s="2">
        <v>4</v>
      </c>
      <c r="G336" s="2" t="s">
        <v>13</v>
      </c>
      <c r="H336" s="2">
        <v>9</v>
      </c>
      <c r="I336" s="6">
        <f t="shared" si="118"/>
        <v>36</v>
      </c>
      <c r="J336" s="6">
        <f t="shared" si="122"/>
        <v>417.5</v>
      </c>
      <c r="K336" s="6">
        <f t="shared" si="123"/>
        <v>416</v>
      </c>
      <c r="L336" s="6">
        <f t="shared" si="119"/>
        <v>1137</v>
      </c>
      <c r="M336" s="6">
        <f t="shared" si="124"/>
        <v>61</v>
      </c>
      <c r="N336" s="6" t="b">
        <f t="shared" si="105"/>
        <v>0</v>
      </c>
      <c r="O336" s="6" t="b">
        <f t="shared" si="120"/>
        <v>1</v>
      </c>
      <c r="P336" s="6" t="str">
        <f t="shared" si="106"/>
        <v>C003410-ct</v>
      </c>
      <c r="Q336" s="7" t="str">
        <f t="shared" si="107"/>
        <v>T044675
4</v>
      </c>
      <c r="R336" s="6" t="b">
        <f t="shared" si="108"/>
        <v>0</v>
      </c>
      <c r="S336" s="6" t="str">
        <f t="shared" si="109"/>
        <v>12</v>
      </c>
      <c r="T336" s="6" t="str">
        <f t="shared" si="110"/>
        <v>CT</v>
      </c>
      <c r="U336" s="6" t="str">
        <f t="shared" si="111"/>
        <v>ct</v>
      </c>
      <c r="V336" s="6">
        <f t="shared" si="112"/>
        <v>2</v>
      </c>
      <c r="W336" s="6" t="str">
        <f t="shared" si="113"/>
        <v>T044675 4</v>
      </c>
      <c r="X336" s="6" t="str">
        <f t="shared" si="114"/>
        <v>S55188</v>
      </c>
      <c r="Y336" s="6" t="str">
        <f t="shared" si="115"/>
        <v>T04</v>
      </c>
      <c r="Z336" s="6" t="str">
        <f t="shared" si="116"/>
        <v>675</v>
      </c>
      <c r="AA336" s="6">
        <f t="shared" si="121"/>
        <v>2</v>
      </c>
      <c r="AB336" s="6">
        <f t="shared" si="117"/>
        <v>2</v>
      </c>
      <c r="AC336" s="6"/>
      <c r="AD336" s="23"/>
    </row>
    <row r="337" spans="1:30" ht="30" x14ac:dyDescent="0.25">
      <c r="A337" s="2" t="s">
        <v>162</v>
      </c>
      <c r="B337" s="2" t="s">
        <v>1188</v>
      </c>
      <c r="C337" s="2" t="s">
        <v>1189</v>
      </c>
      <c r="D337" s="2" t="s">
        <v>1143</v>
      </c>
      <c r="E337" s="2" t="s">
        <v>1190</v>
      </c>
      <c r="F337" s="2">
        <v>4</v>
      </c>
      <c r="G337" s="2" t="s">
        <v>13</v>
      </c>
      <c r="H337" s="2">
        <v>18</v>
      </c>
      <c r="I337" s="6">
        <f t="shared" si="118"/>
        <v>72</v>
      </c>
      <c r="J337" s="6">
        <f t="shared" si="122"/>
        <v>295.5</v>
      </c>
      <c r="K337" s="6">
        <f t="shared" si="123"/>
        <v>292</v>
      </c>
      <c r="L337" s="6">
        <f t="shared" si="119"/>
        <v>1128</v>
      </c>
      <c r="M337" s="6">
        <f t="shared" si="124"/>
        <v>60</v>
      </c>
      <c r="N337" s="6" t="b">
        <f t="shared" si="105"/>
        <v>0</v>
      </c>
      <c r="O337" s="6" t="b">
        <f t="shared" si="120"/>
        <v>1</v>
      </c>
      <c r="P337" s="6" t="str">
        <f t="shared" si="106"/>
        <v>C005453-ct</v>
      </c>
      <c r="Q337" s="7" t="str">
        <f t="shared" si="107"/>
        <v>T090694
4</v>
      </c>
      <c r="R337" s="6" t="b">
        <f t="shared" si="108"/>
        <v>0</v>
      </c>
      <c r="S337" s="6" t="str">
        <f t="shared" si="109"/>
        <v>14</v>
      </c>
      <c r="T337" s="6" t="str">
        <f t="shared" si="110"/>
        <v>CT</v>
      </c>
      <c r="U337" s="6" t="str">
        <f t="shared" si="111"/>
        <v>ct</v>
      </c>
      <c r="V337" s="6">
        <f t="shared" si="112"/>
        <v>2</v>
      </c>
      <c r="W337" s="6" t="str">
        <f t="shared" si="113"/>
        <v>T090694 4</v>
      </c>
      <c r="X337" s="6" t="str">
        <f t="shared" si="114"/>
        <v>S55546</v>
      </c>
      <c r="Y337" s="6" t="str">
        <f t="shared" si="115"/>
        <v>T09</v>
      </c>
      <c r="Z337" s="6" t="str">
        <f t="shared" si="116"/>
        <v>694</v>
      </c>
      <c r="AA337" s="6">
        <f t="shared" si="121"/>
        <v>2</v>
      </c>
      <c r="AB337" s="6">
        <f t="shared" si="117"/>
        <v>2</v>
      </c>
      <c r="AC337" s="6"/>
      <c r="AD337" s="23"/>
    </row>
    <row r="338" spans="1:30" ht="30" x14ac:dyDescent="0.25">
      <c r="A338" s="2" t="s">
        <v>224</v>
      </c>
      <c r="B338" s="2" t="s">
        <v>1191</v>
      </c>
      <c r="C338" s="2" t="s">
        <v>1192</v>
      </c>
      <c r="D338" s="2" t="s">
        <v>144</v>
      </c>
      <c r="E338" s="2" t="s">
        <v>1193</v>
      </c>
      <c r="F338" s="2">
        <v>7</v>
      </c>
      <c r="G338" s="2" t="s">
        <v>13</v>
      </c>
      <c r="H338" s="2">
        <v>42</v>
      </c>
      <c r="I338" s="6">
        <f t="shared" si="118"/>
        <v>294</v>
      </c>
      <c r="J338" s="6">
        <f t="shared" si="122"/>
        <v>20</v>
      </c>
      <c r="K338" s="6">
        <f t="shared" si="123"/>
        <v>20</v>
      </c>
      <c r="L338" s="6">
        <f t="shared" si="119"/>
        <v>1110</v>
      </c>
      <c r="M338" s="6">
        <f t="shared" si="124"/>
        <v>59</v>
      </c>
      <c r="N338" s="6" t="b">
        <f t="shared" si="105"/>
        <v>1</v>
      </c>
      <c r="O338" s="6" t="b">
        <f t="shared" si="120"/>
        <v>1</v>
      </c>
      <c r="P338" s="6" t="str">
        <f t="shared" si="106"/>
        <v>C004840-ct</v>
      </c>
      <c r="Q338" s="7" t="str">
        <f t="shared" si="107"/>
        <v>T071290
7</v>
      </c>
      <c r="R338" s="6" t="b">
        <f t="shared" si="108"/>
        <v>0</v>
      </c>
      <c r="S338" s="6" t="str">
        <f t="shared" si="109"/>
        <v>11</v>
      </c>
      <c r="T338" s="6" t="str">
        <f t="shared" si="110"/>
        <v>CT</v>
      </c>
      <c r="U338" s="6" t="str">
        <f t="shared" si="111"/>
        <v>ct</v>
      </c>
      <c r="V338" s="6">
        <f t="shared" si="112"/>
        <v>2</v>
      </c>
      <c r="W338" s="6" t="str">
        <f t="shared" si="113"/>
        <v>T071290 7</v>
      </c>
      <c r="X338" s="6" t="str">
        <f t="shared" si="114"/>
        <v>S5575</v>
      </c>
      <c r="Y338" s="6" t="str">
        <f t="shared" si="115"/>
        <v>T07</v>
      </c>
      <c r="Z338" s="6" t="str">
        <f t="shared" si="116"/>
        <v>290</v>
      </c>
      <c r="AA338" s="6">
        <f t="shared" si="121"/>
        <v>2</v>
      </c>
      <c r="AB338" s="6">
        <f t="shared" si="117"/>
        <v>2</v>
      </c>
      <c r="AC338" s="6"/>
      <c r="AD338" s="23"/>
    </row>
    <row r="339" spans="1:30" ht="30" x14ac:dyDescent="0.25">
      <c r="A339" s="2" t="s">
        <v>200</v>
      </c>
      <c r="B339" s="2" t="s">
        <v>1194</v>
      </c>
      <c r="C339" s="2" t="s">
        <v>1195</v>
      </c>
      <c r="D339" s="2" t="s">
        <v>1196</v>
      </c>
      <c r="E339" s="2" t="s">
        <v>1197</v>
      </c>
      <c r="F339" s="2">
        <v>11</v>
      </c>
      <c r="G339" s="2" t="s">
        <v>35</v>
      </c>
      <c r="H339" s="2">
        <v>6.75</v>
      </c>
      <c r="I339" s="6">
        <f t="shared" si="118"/>
        <v>74.25</v>
      </c>
      <c r="J339" s="6">
        <f t="shared" si="122"/>
        <v>289.5</v>
      </c>
      <c r="K339" s="6">
        <f t="shared" si="123"/>
        <v>288</v>
      </c>
      <c r="L339" s="6">
        <f t="shared" si="119"/>
        <v>807.75</v>
      </c>
      <c r="M339" s="6">
        <f t="shared" si="124"/>
        <v>46</v>
      </c>
      <c r="N339" s="6" t="b">
        <f t="shared" si="105"/>
        <v>0</v>
      </c>
      <c r="O339" s="6" t="b">
        <f t="shared" si="120"/>
        <v>0</v>
      </c>
      <c r="P339" s="6" t="str">
        <f t="shared" si="106"/>
        <v>C000308-cans</v>
      </c>
      <c r="Q339" s="7" t="str">
        <f t="shared" si="107"/>
        <v>T019349
11</v>
      </c>
      <c r="R339" s="6" t="b">
        <f t="shared" si="108"/>
        <v>0</v>
      </c>
      <c r="S339" s="6" t="str">
        <f t="shared" si="109"/>
        <v>01</v>
      </c>
      <c r="T339" s="6" t="str">
        <f t="shared" si="110"/>
        <v>CANS</v>
      </c>
      <c r="U339" s="6" t="str">
        <f t="shared" si="111"/>
        <v>cans</v>
      </c>
      <c r="V339" s="6">
        <f t="shared" si="112"/>
        <v>2</v>
      </c>
      <c r="W339" s="6" t="str">
        <f t="shared" si="113"/>
        <v>T019349 11</v>
      </c>
      <c r="X339" s="6" t="str">
        <f t="shared" si="114"/>
        <v>S55532</v>
      </c>
      <c r="Y339" s="6" t="str">
        <f t="shared" si="115"/>
        <v>T01</v>
      </c>
      <c r="Z339" s="6" t="str">
        <f t="shared" si="116"/>
        <v>349</v>
      </c>
      <c r="AA339" s="6">
        <f t="shared" si="121"/>
        <v>2</v>
      </c>
      <c r="AB339" s="6">
        <f t="shared" si="117"/>
        <v>4</v>
      </c>
      <c r="AC339" s="6"/>
      <c r="AD339" s="23"/>
    </row>
    <row r="340" spans="1:30" ht="30" x14ac:dyDescent="0.25">
      <c r="A340" s="2" t="s">
        <v>209</v>
      </c>
      <c r="B340" s="2" t="s">
        <v>1198</v>
      </c>
      <c r="C340" s="2" t="s">
        <v>1199</v>
      </c>
      <c r="D340" s="2" t="s">
        <v>703</v>
      </c>
      <c r="E340" s="2" t="s">
        <v>1200</v>
      </c>
      <c r="F340" s="2">
        <v>2</v>
      </c>
      <c r="G340" s="2" t="s">
        <v>35</v>
      </c>
      <c r="H340" s="2">
        <v>16.25</v>
      </c>
      <c r="I340" s="6">
        <f t="shared" si="118"/>
        <v>32.5</v>
      </c>
      <c r="J340" s="6">
        <f t="shared" si="122"/>
        <v>430.5</v>
      </c>
      <c r="K340" s="6">
        <f t="shared" si="123"/>
        <v>429</v>
      </c>
      <c r="L340" s="6">
        <f t="shared" si="119"/>
        <v>801</v>
      </c>
      <c r="M340" s="6">
        <f t="shared" si="124"/>
        <v>45</v>
      </c>
      <c r="N340" s="6" t="b">
        <f t="shared" si="105"/>
        <v>0</v>
      </c>
      <c r="O340" s="6" t="b">
        <f t="shared" si="120"/>
        <v>1</v>
      </c>
      <c r="P340" s="6" t="str">
        <f t="shared" si="106"/>
        <v>C006171-cans</v>
      </c>
      <c r="Q340" s="7" t="str">
        <f t="shared" si="107"/>
        <v>T038745
2</v>
      </c>
      <c r="R340" s="6" t="b">
        <f t="shared" si="108"/>
        <v>0</v>
      </c>
      <c r="S340" s="6" t="str">
        <f t="shared" si="109"/>
        <v>02</v>
      </c>
      <c r="T340" s="6" t="str">
        <f t="shared" si="110"/>
        <v>CANS</v>
      </c>
      <c r="U340" s="6" t="str">
        <f t="shared" si="111"/>
        <v>cans</v>
      </c>
      <c r="V340" s="6">
        <f t="shared" si="112"/>
        <v>2</v>
      </c>
      <c r="W340" s="6" t="str">
        <f t="shared" si="113"/>
        <v>T038745 2</v>
      </c>
      <c r="X340" s="6" t="str">
        <f t="shared" si="114"/>
        <v>S55351</v>
      </c>
      <c r="Y340" s="6" t="str">
        <f t="shared" si="115"/>
        <v>T03</v>
      </c>
      <c r="Z340" s="6" t="str">
        <f t="shared" si="116"/>
        <v>745</v>
      </c>
      <c r="AA340" s="6">
        <f t="shared" si="121"/>
        <v>2</v>
      </c>
      <c r="AB340" s="6">
        <f t="shared" si="117"/>
        <v>4</v>
      </c>
      <c r="AC340" s="6"/>
      <c r="AD340" s="23"/>
    </row>
    <row r="341" spans="1:30" ht="30" x14ac:dyDescent="0.25">
      <c r="A341" s="2" t="s">
        <v>359</v>
      </c>
      <c r="B341" s="2" t="s">
        <v>1201</v>
      </c>
      <c r="C341" s="2" t="s">
        <v>1202</v>
      </c>
      <c r="D341" s="2" t="s">
        <v>975</v>
      </c>
      <c r="E341" s="2" t="s">
        <v>1203</v>
      </c>
      <c r="F341" s="2">
        <v>6</v>
      </c>
      <c r="G341" s="2" t="s">
        <v>13</v>
      </c>
      <c r="H341" s="2">
        <v>17</v>
      </c>
      <c r="I341" s="6">
        <f t="shared" si="118"/>
        <v>102</v>
      </c>
      <c r="J341" s="6">
        <f t="shared" si="122"/>
        <v>210.5</v>
      </c>
      <c r="K341" s="6">
        <f t="shared" si="123"/>
        <v>210</v>
      </c>
      <c r="L341" s="6">
        <f t="shared" si="119"/>
        <v>1068</v>
      </c>
      <c r="M341" s="6">
        <f t="shared" si="124"/>
        <v>58</v>
      </c>
      <c r="N341" s="6" t="b">
        <f t="shared" si="105"/>
        <v>0</v>
      </c>
      <c r="O341" s="6" t="b">
        <f t="shared" si="120"/>
        <v>1</v>
      </c>
      <c r="P341" s="6" t="str">
        <f t="shared" si="106"/>
        <v>C000624-ct</v>
      </c>
      <c r="Q341" s="7" t="str">
        <f t="shared" si="107"/>
        <v>T013797
6</v>
      </c>
      <c r="R341" s="6" t="b">
        <f t="shared" si="108"/>
        <v>0</v>
      </c>
      <c r="S341" s="6" t="str">
        <f t="shared" si="109"/>
        <v>22</v>
      </c>
      <c r="T341" s="6" t="str">
        <f t="shared" si="110"/>
        <v>CT</v>
      </c>
      <c r="U341" s="6" t="str">
        <f t="shared" si="111"/>
        <v>ct</v>
      </c>
      <c r="V341" s="6">
        <f t="shared" si="112"/>
        <v>2</v>
      </c>
      <c r="W341" s="6" t="str">
        <f t="shared" si="113"/>
        <v>T013797 6</v>
      </c>
      <c r="X341" s="6" t="str">
        <f t="shared" si="114"/>
        <v>S55184</v>
      </c>
      <c r="Y341" s="6" t="str">
        <f t="shared" si="115"/>
        <v>T01</v>
      </c>
      <c r="Z341" s="6" t="str">
        <f t="shared" si="116"/>
        <v>797</v>
      </c>
      <c r="AA341" s="6">
        <f t="shared" si="121"/>
        <v>2</v>
      </c>
      <c r="AB341" s="6">
        <f t="shared" si="117"/>
        <v>2</v>
      </c>
      <c r="AC341" s="6"/>
      <c r="AD341" s="23"/>
    </row>
    <row r="342" spans="1:30" ht="30" x14ac:dyDescent="0.25">
      <c r="A342" s="2" t="s">
        <v>82</v>
      </c>
      <c r="B342" s="2" t="s">
        <v>1204</v>
      </c>
      <c r="C342" s="2" t="s">
        <v>1205</v>
      </c>
      <c r="D342" s="2" t="s">
        <v>1048</v>
      </c>
      <c r="E342" s="2" t="s">
        <v>256</v>
      </c>
      <c r="F342" s="2">
        <v>2</v>
      </c>
      <c r="G342" s="2" t="s">
        <v>35</v>
      </c>
      <c r="H342" s="2">
        <v>16</v>
      </c>
      <c r="I342" s="6">
        <f t="shared" si="118"/>
        <v>32</v>
      </c>
      <c r="J342" s="6">
        <f t="shared" si="122"/>
        <v>435</v>
      </c>
      <c r="K342" s="6">
        <f t="shared" si="123"/>
        <v>433</v>
      </c>
      <c r="L342" s="6">
        <f t="shared" si="119"/>
        <v>784.75</v>
      </c>
      <c r="M342" s="6">
        <f t="shared" si="124"/>
        <v>44</v>
      </c>
      <c r="N342" s="6" t="b">
        <f t="shared" si="105"/>
        <v>0</v>
      </c>
      <c r="O342" s="6" t="b">
        <f t="shared" si="120"/>
        <v>1</v>
      </c>
      <c r="P342" s="6" t="str">
        <f t="shared" si="106"/>
        <v>C001232-cans</v>
      </c>
      <c r="Q342" s="7" t="str">
        <f t="shared" si="107"/>
        <v>T027823
2</v>
      </c>
      <c r="R342" s="6" t="b">
        <f t="shared" si="108"/>
        <v>0</v>
      </c>
      <c r="S342" s="6" t="str">
        <f t="shared" si="109"/>
        <v>03</v>
      </c>
      <c r="T342" s="6" t="str">
        <f t="shared" si="110"/>
        <v>CANS</v>
      </c>
      <c r="U342" s="6" t="str">
        <f t="shared" si="111"/>
        <v>cans</v>
      </c>
      <c r="V342" s="6">
        <f t="shared" si="112"/>
        <v>2</v>
      </c>
      <c r="W342" s="6" t="str">
        <f t="shared" si="113"/>
        <v>T027823 2</v>
      </c>
      <c r="X342" s="6" t="str">
        <f t="shared" si="114"/>
        <v>S55291</v>
      </c>
      <c r="Y342" s="6" t="str">
        <f t="shared" si="115"/>
        <v>T02</v>
      </c>
      <c r="Z342" s="6" t="str">
        <f t="shared" si="116"/>
        <v>823</v>
      </c>
      <c r="AA342" s="6">
        <f t="shared" si="121"/>
        <v>2</v>
      </c>
      <c r="AB342" s="6">
        <f t="shared" si="117"/>
        <v>4</v>
      </c>
      <c r="AC342" s="6"/>
      <c r="AD342" s="23"/>
    </row>
    <row r="343" spans="1:30" ht="30" x14ac:dyDescent="0.25">
      <c r="A343" s="2" t="s">
        <v>283</v>
      </c>
      <c r="B343" s="2" t="s">
        <v>1206</v>
      </c>
      <c r="C343" s="2" t="s">
        <v>1207</v>
      </c>
      <c r="D343" s="2" t="s">
        <v>668</v>
      </c>
      <c r="E343" s="2" t="s">
        <v>1208</v>
      </c>
      <c r="F343" s="2">
        <v>5</v>
      </c>
      <c r="G343" s="2" t="s">
        <v>19</v>
      </c>
      <c r="H343" s="2">
        <v>26</v>
      </c>
      <c r="I343" s="6">
        <f t="shared" si="118"/>
        <v>130</v>
      </c>
      <c r="J343" s="6">
        <f t="shared" si="122"/>
        <v>145</v>
      </c>
      <c r="K343" s="6">
        <f t="shared" si="123"/>
        <v>143</v>
      </c>
      <c r="L343" s="6">
        <f t="shared" si="119"/>
        <v>26</v>
      </c>
      <c r="M343" s="6">
        <f t="shared" si="124"/>
        <v>1</v>
      </c>
      <c r="N343" s="6" t="b">
        <f t="shared" si="105"/>
        <v>1</v>
      </c>
      <c r="O343" s="6" t="b">
        <f t="shared" si="120"/>
        <v>1</v>
      </c>
      <c r="P343" s="6" t="str">
        <f t="shared" si="106"/>
        <v>C006164-rolls</v>
      </c>
      <c r="Q343" s="7" t="str">
        <f t="shared" si="107"/>
        <v>T089465
5</v>
      </c>
      <c r="R343" s="6" t="b">
        <f t="shared" si="108"/>
        <v>0</v>
      </c>
      <c r="S343" s="6" t="str">
        <f t="shared" si="109"/>
        <v>24</v>
      </c>
      <c r="T343" s="6" t="str">
        <f t="shared" si="110"/>
        <v>ROLLS</v>
      </c>
      <c r="U343" s="6" t="str">
        <f t="shared" si="111"/>
        <v>rolls</v>
      </c>
      <c r="V343" s="6">
        <f t="shared" si="112"/>
        <v>2</v>
      </c>
      <c r="W343" s="6" t="str">
        <f t="shared" si="113"/>
        <v>T089465 5</v>
      </c>
      <c r="X343" s="6" t="str">
        <f t="shared" si="114"/>
        <v>S55121</v>
      </c>
      <c r="Y343" s="6" t="str">
        <f t="shared" si="115"/>
        <v>T08</v>
      </c>
      <c r="Z343" s="6" t="str">
        <f t="shared" si="116"/>
        <v>465</v>
      </c>
      <c r="AA343" s="6">
        <f t="shared" si="121"/>
        <v>2</v>
      </c>
      <c r="AB343" s="6">
        <f t="shared" si="117"/>
        <v>5</v>
      </c>
      <c r="AC343" s="6"/>
      <c r="AD343" s="23"/>
    </row>
    <row r="344" spans="1:30" ht="30" x14ac:dyDescent="0.25">
      <c r="A344" s="2" t="s">
        <v>168</v>
      </c>
      <c r="B344" s="2" t="s">
        <v>1209</v>
      </c>
      <c r="C344" s="2" t="s">
        <v>1210</v>
      </c>
      <c r="D344" s="2" t="s">
        <v>393</v>
      </c>
      <c r="E344" s="2" t="s">
        <v>1211</v>
      </c>
      <c r="F344" s="2">
        <v>3</v>
      </c>
      <c r="G344" s="2" t="s">
        <v>167</v>
      </c>
      <c r="H344" s="2">
        <v>15</v>
      </c>
      <c r="I344" s="6">
        <f t="shared" si="118"/>
        <v>45</v>
      </c>
      <c r="J344" s="6">
        <f t="shared" si="122"/>
        <v>396.5</v>
      </c>
      <c r="K344" s="6">
        <f t="shared" si="123"/>
        <v>394</v>
      </c>
      <c r="L344" s="6">
        <f t="shared" si="119"/>
        <v>172.5</v>
      </c>
      <c r="M344" s="6">
        <f t="shared" si="124"/>
        <v>11</v>
      </c>
      <c r="N344" s="6" t="b">
        <f t="shared" si="105"/>
        <v>0</v>
      </c>
      <c r="O344" s="6" t="b">
        <f t="shared" si="120"/>
        <v>1</v>
      </c>
      <c r="P344" s="6" t="str">
        <f t="shared" si="106"/>
        <v>C007612-oz</v>
      </c>
      <c r="Q344" s="7" t="str">
        <f t="shared" si="107"/>
        <v>T062563
3</v>
      </c>
      <c r="R344" s="6" t="b">
        <f t="shared" si="108"/>
        <v>0</v>
      </c>
      <c r="S344" s="6" t="str">
        <f t="shared" si="109"/>
        <v>24</v>
      </c>
      <c r="T344" s="6" t="str">
        <f t="shared" si="110"/>
        <v>OZ</v>
      </c>
      <c r="U344" s="6" t="str">
        <f t="shared" si="111"/>
        <v>oz</v>
      </c>
      <c r="V344" s="6">
        <f t="shared" si="112"/>
        <v>2</v>
      </c>
      <c r="W344" s="6" t="str">
        <f t="shared" si="113"/>
        <v>T062563 3</v>
      </c>
      <c r="X344" s="6" t="str">
        <f t="shared" si="114"/>
        <v>S55758</v>
      </c>
      <c r="Y344" s="6" t="str">
        <f t="shared" si="115"/>
        <v>T06</v>
      </c>
      <c r="Z344" s="6" t="str">
        <f t="shared" si="116"/>
        <v>563</v>
      </c>
      <c r="AA344" s="6">
        <f t="shared" si="121"/>
        <v>2</v>
      </c>
      <c r="AB344" s="6">
        <f t="shared" si="117"/>
        <v>2</v>
      </c>
      <c r="AC344" s="6"/>
      <c r="AD344" s="23"/>
    </row>
    <row r="345" spans="1:30" ht="30" x14ac:dyDescent="0.25">
      <c r="A345" s="2" t="s">
        <v>519</v>
      </c>
      <c r="B345" s="2" t="s">
        <v>1212</v>
      </c>
      <c r="C345" s="2" t="s">
        <v>1213</v>
      </c>
      <c r="D345" s="2" t="s">
        <v>596</v>
      </c>
      <c r="E345" s="2" t="s">
        <v>742</v>
      </c>
      <c r="F345" s="2">
        <v>7</v>
      </c>
      <c r="G345" s="2" t="s">
        <v>178</v>
      </c>
      <c r="H345" s="2">
        <v>16</v>
      </c>
      <c r="I345" s="6">
        <f t="shared" si="118"/>
        <v>112</v>
      </c>
      <c r="J345" s="6">
        <f t="shared" si="122"/>
        <v>188.5</v>
      </c>
      <c r="K345" s="6">
        <f t="shared" si="123"/>
        <v>186</v>
      </c>
      <c r="L345" s="6">
        <f t="shared" si="119"/>
        <v>31</v>
      </c>
      <c r="M345" s="6">
        <f t="shared" si="124"/>
        <v>2</v>
      </c>
      <c r="N345" s="6" t="b">
        <f t="shared" si="105"/>
        <v>0</v>
      </c>
      <c r="O345" s="6" t="b">
        <f t="shared" si="120"/>
        <v>1</v>
      </c>
      <c r="P345" s="6" t="str">
        <f t="shared" si="106"/>
        <v>C008768-tubs</v>
      </c>
      <c r="Q345" s="7" t="str">
        <f t="shared" si="107"/>
        <v>T042661
7</v>
      </c>
      <c r="R345" s="6" t="b">
        <f t="shared" si="108"/>
        <v>0</v>
      </c>
      <c r="S345" s="6" t="str">
        <f t="shared" si="109"/>
        <v>10</v>
      </c>
      <c r="T345" s="6" t="str">
        <f t="shared" si="110"/>
        <v>TUBS</v>
      </c>
      <c r="U345" s="6" t="str">
        <f t="shared" si="111"/>
        <v>tubs</v>
      </c>
      <c r="V345" s="6">
        <f t="shared" si="112"/>
        <v>2</v>
      </c>
      <c r="W345" s="6" t="str">
        <f t="shared" si="113"/>
        <v>T042661 7</v>
      </c>
      <c r="X345" s="6" t="str">
        <f t="shared" si="114"/>
        <v>S55243</v>
      </c>
      <c r="Y345" s="6" t="str">
        <f t="shared" si="115"/>
        <v>T04</v>
      </c>
      <c r="Z345" s="6" t="str">
        <f t="shared" si="116"/>
        <v>661</v>
      </c>
      <c r="AA345" s="6">
        <f t="shared" si="121"/>
        <v>2</v>
      </c>
      <c r="AB345" s="6">
        <f t="shared" si="117"/>
        <v>4</v>
      </c>
      <c r="AC345" s="6"/>
      <c r="AD345" s="23"/>
    </row>
    <row r="346" spans="1:30" ht="30" x14ac:dyDescent="0.25">
      <c r="A346" s="2" t="s">
        <v>121</v>
      </c>
      <c r="B346" s="2" t="s">
        <v>1214</v>
      </c>
      <c r="C346" s="2" t="s">
        <v>1215</v>
      </c>
      <c r="D346" s="2" t="s">
        <v>1216</v>
      </c>
      <c r="E346" s="2" t="s">
        <v>1217</v>
      </c>
      <c r="F346" s="2">
        <v>4</v>
      </c>
      <c r="G346" s="2" t="s">
        <v>35</v>
      </c>
      <c r="H346" s="2">
        <v>37</v>
      </c>
      <c r="I346" s="6">
        <f t="shared" si="118"/>
        <v>148</v>
      </c>
      <c r="J346" s="6">
        <f t="shared" si="122"/>
        <v>113</v>
      </c>
      <c r="K346" s="6">
        <f t="shared" si="123"/>
        <v>113</v>
      </c>
      <c r="L346" s="6">
        <f t="shared" si="119"/>
        <v>768.75</v>
      </c>
      <c r="M346" s="6">
        <f t="shared" si="124"/>
        <v>43</v>
      </c>
      <c r="N346" s="6" t="b">
        <f t="shared" si="105"/>
        <v>1</v>
      </c>
      <c r="O346" s="6" t="b">
        <f t="shared" si="120"/>
        <v>1</v>
      </c>
      <c r="P346" s="6" t="str">
        <f t="shared" si="106"/>
        <v>C006811-cans</v>
      </c>
      <c r="Q346" s="7" t="str">
        <f t="shared" si="107"/>
        <v>T059551
4</v>
      </c>
      <c r="R346" s="6" t="b">
        <f t="shared" si="108"/>
        <v>0</v>
      </c>
      <c r="S346" s="6" t="str">
        <f t="shared" si="109"/>
        <v>06</v>
      </c>
      <c r="T346" s="6" t="str">
        <f t="shared" si="110"/>
        <v>CANS</v>
      </c>
      <c r="U346" s="6" t="str">
        <f t="shared" si="111"/>
        <v>cans</v>
      </c>
      <c r="V346" s="6">
        <f t="shared" si="112"/>
        <v>2</v>
      </c>
      <c r="W346" s="6" t="str">
        <f t="shared" si="113"/>
        <v>T059551 4</v>
      </c>
      <c r="X346" s="6" t="str">
        <f t="shared" si="114"/>
        <v>S55235</v>
      </c>
      <c r="Y346" s="6" t="str">
        <f t="shared" si="115"/>
        <v>T05</v>
      </c>
      <c r="Z346" s="6" t="str">
        <f t="shared" si="116"/>
        <v>551</v>
      </c>
      <c r="AA346" s="6">
        <f t="shared" si="121"/>
        <v>2</v>
      </c>
      <c r="AB346" s="6">
        <f t="shared" si="117"/>
        <v>4</v>
      </c>
      <c r="AC346" s="6"/>
      <c r="AD346" s="23"/>
    </row>
    <row r="347" spans="1:30" ht="30" x14ac:dyDescent="0.25">
      <c r="A347" s="2" t="s">
        <v>162</v>
      </c>
      <c r="B347" s="2" t="s">
        <v>1218</v>
      </c>
      <c r="C347" s="2" t="s">
        <v>1219</v>
      </c>
      <c r="D347" s="2" t="s">
        <v>1139</v>
      </c>
      <c r="E347" s="2" t="s">
        <v>208</v>
      </c>
      <c r="F347" s="2">
        <v>8</v>
      </c>
      <c r="G347" s="2" t="s">
        <v>13</v>
      </c>
      <c r="H347" s="2">
        <v>16</v>
      </c>
      <c r="I347" s="6">
        <f t="shared" si="118"/>
        <v>128</v>
      </c>
      <c r="J347" s="6">
        <f t="shared" si="122"/>
        <v>150</v>
      </c>
      <c r="K347" s="6">
        <f t="shared" si="123"/>
        <v>148</v>
      </c>
      <c r="L347" s="6">
        <f t="shared" si="119"/>
        <v>1051</v>
      </c>
      <c r="M347" s="6">
        <f t="shared" si="124"/>
        <v>57</v>
      </c>
      <c r="N347" s="6" t="b">
        <f t="shared" si="105"/>
        <v>0</v>
      </c>
      <c r="O347" s="6" t="b">
        <f t="shared" si="120"/>
        <v>1</v>
      </c>
      <c r="P347" s="6" t="str">
        <f t="shared" si="106"/>
        <v>C003139-ct</v>
      </c>
      <c r="Q347" s="7" t="str">
        <f t="shared" si="107"/>
        <v>T057738
8</v>
      </c>
      <c r="R347" s="6" t="b">
        <f t="shared" si="108"/>
        <v>0</v>
      </c>
      <c r="S347" s="6" t="str">
        <f t="shared" si="109"/>
        <v>16</v>
      </c>
      <c r="T347" s="6" t="str">
        <f t="shared" si="110"/>
        <v>CT</v>
      </c>
      <c r="U347" s="6" t="str">
        <f t="shared" si="111"/>
        <v>ct</v>
      </c>
      <c r="V347" s="6">
        <f t="shared" si="112"/>
        <v>2</v>
      </c>
      <c r="W347" s="6" t="str">
        <f t="shared" si="113"/>
        <v>T057738 8</v>
      </c>
      <c r="X347" s="6" t="str">
        <f t="shared" si="114"/>
        <v>S55343</v>
      </c>
      <c r="Y347" s="6" t="str">
        <f t="shared" si="115"/>
        <v>T05</v>
      </c>
      <c r="Z347" s="6" t="str">
        <f t="shared" si="116"/>
        <v>738</v>
      </c>
      <c r="AA347" s="6">
        <f t="shared" si="121"/>
        <v>2</v>
      </c>
      <c r="AB347" s="6">
        <f t="shared" si="117"/>
        <v>2</v>
      </c>
      <c r="AC347" s="6"/>
      <c r="AD347" s="23"/>
    </row>
    <row r="348" spans="1:30" ht="30" x14ac:dyDescent="0.25">
      <c r="A348" s="2" t="s">
        <v>82</v>
      </c>
      <c r="B348" s="2" t="s">
        <v>1220</v>
      </c>
      <c r="C348" s="2" t="s">
        <v>1221</v>
      </c>
      <c r="D348" s="2" t="s">
        <v>640</v>
      </c>
      <c r="E348" s="2" t="s">
        <v>238</v>
      </c>
      <c r="F348" s="2">
        <v>11</v>
      </c>
      <c r="G348" s="2" t="s">
        <v>13</v>
      </c>
      <c r="H348" s="2">
        <v>17</v>
      </c>
      <c r="I348" s="6">
        <f t="shared" si="118"/>
        <v>187</v>
      </c>
      <c r="J348" s="6">
        <f t="shared" si="122"/>
        <v>55.5</v>
      </c>
      <c r="K348" s="6">
        <f t="shared" si="123"/>
        <v>55</v>
      </c>
      <c r="L348" s="6">
        <f t="shared" si="119"/>
        <v>1035</v>
      </c>
      <c r="M348" s="6">
        <f t="shared" si="124"/>
        <v>56</v>
      </c>
      <c r="N348" s="6" t="b">
        <f t="shared" si="105"/>
        <v>0</v>
      </c>
      <c r="O348" s="6" t="b">
        <f t="shared" si="120"/>
        <v>1</v>
      </c>
      <c r="P348" s="6" t="str">
        <f t="shared" si="106"/>
        <v>C007079-ct</v>
      </c>
      <c r="Q348" s="7" t="str">
        <f t="shared" si="107"/>
        <v>T091659
11</v>
      </c>
      <c r="R348" s="6" t="b">
        <f t="shared" si="108"/>
        <v>0</v>
      </c>
      <c r="S348" s="6" t="str">
        <f t="shared" si="109"/>
        <v>16</v>
      </c>
      <c r="T348" s="6" t="str">
        <f t="shared" si="110"/>
        <v>CT</v>
      </c>
      <c r="U348" s="6" t="str">
        <f t="shared" si="111"/>
        <v>ct</v>
      </c>
      <c r="V348" s="6">
        <f t="shared" si="112"/>
        <v>2</v>
      </c>
      <c r="W348" s="6" t="str">
        <f t="shared" si="113"/>
        <v>T091659 11</v>
      </c>
      <c r="X348" s="6" t="str">
        <f t="shared" si="114"/>
        <v>S55582</v>
      </c>
      <c r="Y348" s="6" t="str">
        <f t="shared" si="115"/>
        <v>T09</v>
      </c>
      <c r="Z348" s="6" t="str">
        <f t="shared" si="116"/>
        <v>659</v>
      </c>
      <c r="AA348" s="6">
        <f t="shared" si="121"/>
        <v>2</v>
      </c>
      <c r="AB348" s="6">
        <f t="shared" si="117"/>
        <v>2</v>
      </c>
      <c r="AC348" s="6"/>
      <c r="AD348" s="23"/>
    </row>
    <row r="349" spans="1:30" ht="30" x14ac:dyDescent="0.25">
      <c r="A349" s="2" t="s">
        <v>288</v>
      </c>
      <c r="B349" s="2" t="s">
        <v>1222</v>
      </c>
      <c r="C349" s="2" t="s">
        <v>1223</v>
      </c>
      <c r="D349" s="2" t="s">
        <v>1081</v>
      </c>
      <c r="E349" s="2" t="s">
        <v>1224</v>
      </c>
      <c r="F349" s="2">
        <v>11</v>
      </c>
      <c r="G349" s="2" t="s">
        <v>13</v>
      </c>
      <c r="H349" s="2">
        <v>15</v>
      </c>
      <c r="I349" s="6">
        <f t="shared" si="118"/>
        <v>165</v>
      </c>
      <c r="J349" s="6">
        <f t="shared" si="122"/>
        <v>79.5</v>
      </c>
      <c r="K349" s="6">
        <f t="shared" si="123"/>
        <v>77</v>
      </c>
      <c r="L349" s="6">
        <f t="shared" si="119"/>
        <v>1018</v>
      </c>
      <c r="M349" s="6">
        <f t="shared" si="124"/>
        <v>55</v>
      </c>
      <c r="N349" s="6" t="b">
        <f t="shared" si="105"/>
        <v>0</v>
      </c>
      <c r="O349" s="6" t="b">
        <f t="shared" si="120"/>
        <v>1</v>
      </c>
      <c r="P349" s="6" t="str">
        <f t="shared" si="106"/>
        <v>C004632-ct</v>
      </c>
      <c r="Q349" s="7" t="str">
        <f t="shared" si="107"/>
        <v>T046946
11</v>
      </c>
      <c r="R349" s="6" t="b">
        <f t="shared" si="108"/>
        <v>0</v>
      </c>
      <c r="S349" s="6" t="str">
        <f t="shared" si="109"/>
        <v>12</v>
      </c>
      <c r="T349" s="6" t="str">
        <f t="shared" si="110"/>
        <v>CT</v>
      </c>
      <c r="U349" s="6" t="str">
        <f t="shared" si="111"/>
        <v>ct</v>
      </c>
      <c r="V349" s="6">
        <f t="shared" si="112"/>
        <v>2</v>
      </c>
      <c r="W349" s="6" t="str">
        <f t="shared" si="113"/>
        <v>T046946 11</v>
      </c>
      <c r="X349" s="6" t="str">
        <f t="shared" si="114"/>
        <v>S55684</v>
      </c>
      <c r="Y349" s="6" t="str">
        <f t="shared" si="115"/>
        <v>T04</v>
      </c>
      <c r="Z349" s="6" t="str">
        <f t="shared" si="116"/>
        <v>946</v>
      </c>
      <c r="AA349" s="6">
        <f t="shared" si="121"/>
        <v>2</v>
      </c>
      <c r="AB349" s="6">
        <f t="shared" si="117"/>
        <v>2</v>
      </c>
      <c r="AC349" s="6"/>
      <c r="AD349" s="23"/>
    </row>
    <row r="350" spans="1:30" ht="30" x14ac:dyDescent="0.25">
      <c r="A350" s="2" t="s">
        <v>107</v>
      </c>
      <c r="B350" s="2" t="s">
        <v>1225</v>
      </c>
      <c r="C350" s="2" t="s">
        <v>1226</v>
      </c>
      <c r="D350" s="2" t="s">
        <v>1227</v>
      </c>
      <c r="E350" s="2" t="s">
        <v>327</v>
      </c>
      <c r="F350" s="2">
        <v>4</v>
      </c>
      <c r="G350" s="2" t="s">
        <v>402</v>
      </c>
      <c r="H350" s="2">
        <v>26</v>
      </c>
      <c r="I350" s="6">
        <f t="shared" si="118"/>
        <v>104</v>
      </c>
      <c r="J350" s="6">
        <f t="shared" si="122"/>
        <v>207.5</v>
      </c>
      <c r="K350" s="6">
        <f t="shared" si="123"/>
        <v>207</v>
      </c>
      <c r="L350" s="6">
        <f t="shared" si="119"/>
        <v>81.5</v>
      </c>
      <c r="M350" s="6">
        <f t="shared" si="124"/>
        <v>4</v>
      </c>
      <c r="N350" s="6" t="b">
        <f t="shared" si="105"/>
        <v>1</v>
      </c>
      <c r="O350" s="6" t="b">
        <f t="shared" si="120"/>
        <v>1</v>
      </c>
      <c r="P350" s="6" t="str">
        <f t="shared" si="106"/>
        <v>C007752-pack</v>
      </c>
      <c r="Q350" s="7" t="str">
        <f t="shared" si="107"/>
        <v>T05232
4</v>
      </c>
      <c r="R350" s="6" t="b">
        <f t="shared" si="108"/>
        <v>0</v>
      </c>
      <c r="S350" s="6" t="str">
        <f t="shared" si="109"/>
        <v>25</v>
      </c>
      <c r="T350" s="6" t="str">
        <f t="shared" si="110"/>
        <v>PACK</v>
      </c>
      <c r="U350" s="6" t="str">
        <f t="shared" si="111"/>
        <v>pack</v>
      </c>
      <c r="V350" s="6">
        <f t="shared" si="112"/>
        <v>2</v>
      </c>
      <c r="W350" s="6" t="str">
        <f t="shared" si="113"/>
        <v>T05232 4</v>
      </c>
      <c r="X350" s="6" t="str">
        <f t="shared" si="114"/>
        <v>S55324</v>
      </c>
      <c r="Y350" s="6" t="str">
        <f t="shared" si="115"/>
        <v>T05</v>
      </c>
      <c r="Z350" s="6" t="str">
        <f t="shared" si="116"/>
        <v>232</v>
      </c>
      <c r="AA350" s="6">
        <f t="shared" si="121"/>
        <v>2</v>
      </c>
      <c r="AB350" s="6">
        <f t="shared" si="117"/>
        <v>4</v>
      </c>
      <c r="AC350" s="6"/>
      <c r="AD350" s="23"/>
    </row>
    <row r="351" spans="1:30" ht="30" x14ac:dyDescent="0.25">
      <c r="A351" s="2" t="s">
        <v>107</v>
      </c>
      <c r="B351" s="2" t="s">
        <v>1228</v>
      </c>
      <c r="C351" s="2" t="s">
        <v>1229</v>
      </c>
      <c r="D351" s="2" t="s">
        <v>237</v>
      </c>
      <c r="E351" s="2" t="s">
        <v>1230</v>
      </c>
      <c r="F351" s="2">
        <v>5</v>
      </c>
      <c r="G351" s="2" t="s">
        <v>239</v>
      </c>
      <c r="H351" s="2">
        <v>15</v>
      </c>
      <c r="I351" s="6">
        <f t="shared" si="118"/>
        <v>75</v>
      </c>
      <c r="J351" s="6">
        <f t="shared" si="122"/>
        <v>285</v>
      </c>
      <c r="K351" s="6">
        <f t="shared" si="123"/>
        <v>283</v>
      </c>
      <c r="L351" s="6">
        <f t="shared" si="119"/>
        <v>60</v>
      </c>
      <c r="M351" s="6">
        <f t="shared" si="124"/>
        <v>4</v>
      </c>
      <c r="N351" s="6" t="b">
        <f t="shared" si="105"/>
        <v>0</v>
      </c>
      <c r="O351" s="6" t="b">
        <f t="shared" si="120"/>
        <v>1</v>
      </c>
      <c r="P351" s="6" t="str">
        <f t="shared" si="106"/>
        <v>C001501-lb</v>
      </c>
      <c r="Q351" s="7" t="str">
        <f t="shared" si="107"/>
        <v>T074523
5</v>
      </c>
      <c r="R351" s="6" t="b">
        <f t="shared" si="108"/>
        <v>0</v>
      </c>
      <c r="S351" s="6" t="str">
        <f t="shared" si="109"/>
        <v>22</v>
      </c>
      <c r="T351" s="6" t="str">
        <f t="shared" si="110"/>
        <v>LB</v>
      </c>
      <c r="U351" s="6" t="str">
        <f t="shared" si="111"/>
        <v>lb</v>
      </c>
      <c r="V351" s="6">
        <f t="shared" si="112"/>
        <v>2</v>
      </c>
      <c r="W351" s="6" t="str">
        <f t="shared" si="113"/>
        <v>T074523 5</v>
      </c>
      <c r="X351" s="6" t="str">
        <f t="shared" si="114"/>
        <v>S55159</v>
      </c>
      <c r="Y351" s="6" t="str">
        <f t="shared" si="115"/>
        <v>T07</v>
      </c>
      <c r="Z351" s="6" t="str">
        <f t="shared" si="116"/>
        <v>523</v>
      </c>
      <c r="AA351" s="6">
        <f t="shared" si="121"/>
        <v>2</v>
      </c>
      <c r="AB351" s="6">
        <f t="shared" si="117"/>
        <v>2</v>
      </c>
      <c r="AC351" s="6"/>
      <c r="AD351" s="23"/>
    </row>
    <row r="352" spans="1:30" ht="30" x14ac:dyDescent="0.25">
      <c r="A352" s="2" t="s">
        <v>743</v>
      </c>
      <c r="B352" s="2" t="s">
        <v>1231</v>
      </c>
      <c r="C352" s="2" t="s">
        <v>1232</v>
      </c>
      <c r="D352" s="2" t="s">
        <v>895</v>
      </c>
      <c r="E352" s="2" t="s">
        <v>1233</v>
      </c>
      <c r="F352" s="2">
        <v>10</v>
      </c>
      <c r="G352" s="2" t="s">
        <v>60</v>
      </c>
      <c r="H352" s="2">
        <v>9</v>
      </c>
      <c r="I352" s="6">
        <f t="shared" si="118"/>
        <v>90</v>
      </c>
      <c r="J352" s="6">
        <f t="shared" si="122"/>
        <v>245</v>
      </c>
      <c r="K352" s="6">
        <f t="shared" si="123"/>
        <v>239</v>
      </c>
      <c r="L352" s="6">
        <f t="shared" si="119"/>
        <v>356.5</v>
      </c>
      <c r="M352" s="6">
        <f t="shared" si="124"/>
        <v>21</v>
      </c>
      <c r="N352" s="6" t="b">
        <f t="shared" si="105"/>
        <v>0</v>
      </c>
      <c r="O352" s="6" t="b">
        <f t="shared" si="120"/>
        <v>0</v>
      </c>
      <c r="P352" s="6" t="str">
        <f t="shared" si="106"/>
        <v>C000339-bottles</v>
      </c>
      <c r="Q352" s="7" t="str">
        <f t="shared" si="107"/>
        <v>T089384
10</v>
      </c>
      <c r="R352" s="6" t="b">
        <f t="shared" si="108"/>
        <v>0</v>
      </c>
      <c r="S352" s="6" t="str">
        <f t="shared" si="109"/>
        <v>08</v>
      </c>
      <c r="T352" s="6" t="str">
        <f t="shared" si="110"/>
        <v>BOTTLES</v>
      </c>
      <c r="U352" s="6" t="str">
        <f t="shared" si="111"/>
        <v>bottles</v>
      </c>
      <c r="V352" s="6">
        <f t="shared" si="112"/>
        <v>2</v>
      </c>
      <c r="W352" s="6" t="str">
        <f t="shared" si="113"/>
        <v>T089384 10</v>
      </c>
      <c r="X352" s="6" t="str">
        <f t="shared" si="114"/>
        <v>S55611</v>
      </c>
      <c r="Y352" s="6" t="str">
        <f t="shared" si="115"/>
        <v>T08</v>
      </c>
      <c r="Z352" s="6" t="str">
        <f t="shared" si="116"/>
        <v>384</v>
      </c>
      <c r="AA352" s="6">
        <f t="shared" si="121"/>
        <v>2</v>
      </c>
      <c r="AB352" s="6">
        <f t="shared" si="117"/>
        <v>7</v>
      </c>
      <c r="AC352" s="6"/>
      <c r="AD352" s="23"/>
    </row>
    <row r="353" spans="1:30" ht="30" x14ac:dyDescent="0.25">
      <c r="A353" s="2" t="s">
        <v>743</v>
      </c>
      <c r="B353" s="2" t="s">
        <v>1234</v>
      </c>
      <c r="C353" s="2" t="s">
        <v>1235</v>
      </c>
      <c r="D353" s="2" t="s">
        <v>1236</v>
      </c>
      <c r="E353" s="2" t="s">
        <v>1237</v>
      </c>
      <c r="F353" s="2">
        <v>4</v>
      </c>
      <c r="G353" s="2" t="s">
        <v>269</v>
      </c>
      <c r="H353" s="2">
        <v>12</v>
      </c>
      <c r="I353" s="6">
        <f t="shared" si="118"/>
        <v>48</v>
      </c>
      <c r="J353" s="6">
        <f t="shared" si="122"/>
        <v>382.5</v>
      </c>
      <c r="K353" s="6">
        <f t="shared" si="123"/>
        <v>379</v>
      </c>
      <c r="L353" s="6">
        <f t="shared" si="119"/>
        <v>97</v>
      </c>
      <c r="M353" s="6">
        <f t="shared" si="124"/>
        <v>7</v>
      </c>
      <c r="N353" s="6" t="b">
        <f t="shared" si="105"/>
        <v>0</v>
      </c>
      <c r="O353" s="6" t="b">
        <f t="shared" si="120"/>
        <v>1</v>
      </c>
      <c r="P353" s="6" t="str">
        <f t="shared" si="106"/>
        <v>C005675-ct.</v>
      </c>
      <c r="Q353" s="7" t="str">
        <f t="shared" si="107"/>
        <v>T080151
4</v>
      </c>
      <c r="R353" s="6" t="b">
        <f t="shared" si="108"/>
        <v>0</v>
      </c>
      <c r="S353" s="6" t="str">
        <f t="shared" si="109"/>
        <v>20</v>
      </c>
      <c r="T353" s="6" t="str">
        <f t="shared" si="110"/>
        <v>CT.</v>
      </c>
      <c r="U353" s="6" t="str">
        <f t="shared" si="111"/>
        <v>ct.</v>
      </c>
      <c r="V353" s="6">
        <f t="shared" si="112"/>
        <v>2</v>
      </c>
      <c r="W353" s="6" t="str">
        <f t="shared" si="113"/>
        <v>T080151 4</v>
      </c>
      <c r="X353" s="6" t="str">
        <f t="shared" si="114"/>
        <v>S55223</v>
      </c>
      <c r="Y353" s="6" t="str">
        <f t="shared" si="115"/>
        <v>T08</v>
      </c>
      <c r="Z353" s="6" t="str">
        <f t="shared" si="116"/>
        <v>151</v>
      </c>
      <c r="AA353" s="6">
        <f t="shared" si="121"/>
        <v>2</v>
      </c>
      <c r="AB353" s="6">
        <f t="shared" si="117"/>
        <v>3</v>
      </c>
      <c r="AC353" s="6"/>
      <c r="AD353" s="23"/>
    </row>
    <row r="354" spans="1:30" ht="30" x14ac:dyDescent="0.25">
      <c r="A354" s="2" t="s">
        <v>339</v>
      </c>
      <c r="B354" s="2" t="s">
        <v>1238</v>
      </c>
      <c r="C354" s="2" t="s">
        <v>1239</v>
      </c>
      <c r="D354" s="2" t="s">
        <v>305</v>
      </c>
      <c r="E354" s="2" t="s">
        <v>1120</v>
      </c>
      <c r="F354" s="2">
        <v>7</v>
      </c>
      <c r="G354" s="2" t="s">
        <v>35</v>
      </c>
      <c r="H354" s="2">
        <v>8</v>
      </c>
      <c r="I354" s="6">
        <f t="shared" si="118"/>
        <v>56</v>
      </c>
      <c r="J354" s="6">
        <f t="shared" si="122"/>
        <v>360.5</v>
      </c>
      <c r="K354" s="6">
        <f t="shared" si="123"/>
        <v>357</v>
      </c>
      <c r="L354" s="6">
        <f t="shared" si="119"/>
        <v>731.75</v>
      </c>
      <c r="M354" s="6">
        <f t="shared" si="124"/>
        <v>42</v>
      </c>
      <c r="N354" s="6" t="b">
        <f t="shared" si="105"/>
        <v>0</v>
      </c>
      <c r="O354" s="6" t="b">
        <f t="shared" si="120"/>
        <v>1</v>
      </c>
      <c r="P354" s="6" t="str">
        <f t="shared" si="106"/>
        <v>C005584-cans</v>
      </c>
      <c r="Q354" s="7" t="str">
        <f t="shared" si="107"/>
        <v>T068963
7</v>
      </c>
      <c r="R354" s="6" t="b">
        <f t="shared" si="108"/>
        <v>0</v>
      </c>
      <c r="S354" s="6" t="str">
        <f t="shared" si="109"/>
        <v>04</v>
      </c>
      <c r="T354" s="6" t="str">
        <f t="shared" si="110"/>
        <v>CANS</v>
      </c>
      <c r="U354" s="6" t="str">
        <f t="shared" si="111"/>
        <v>cans</v>
      </c>
      <c r="V354" s="6">
        <f t="shared" si="112"/>
        <v>2</v>
      </c>
      <c r="W354" s="6" t="str">
        <f t="shared" si="113"/>
        <v>T068963 7</v>
      </c>
      <c r="X354" s="6" t="str">
        <f t="shared" si="114"/>
        <v>S55412</v>
      </c>
      <c r="Y354" s="6" t="str">
        <f t="shared" si="115"/>
        <v>T06</v>
      </c>
      <c r="Z354" s="6" t="str">
        <f t="shared" si="116"/>
        <v>963</v>
      </c>
      <c r="AA354" s="6">
        <f t="shared" si="121"/>
        <v>2</v>
      </c>
      <c r="AB354" s="6">
        <f t="shared" si="117"/>
        <v>4</v>
      </c>
      <c r="AC354" s="6"/>
      <c r="AD354" s="23"/>
    </row>
    <row r="355" spans="1:30" ht="30" x14ac:dyDescent="0.25">
      <c r="A355" s="2" t="s">
        <v>71</v>
      </c>
      <c r="B355" s="2" t="s">
        <v>1240</v>
      </c>
      <c r="C355" s="2" t="s">
        <v>1241</v>
      </c>
      <c r="D355" s="2" t="s">
        <v>1242</v>
      </c>
      <c r="E355" s="2" t="s">
        <v>564</v>
      </c>
      <c r="F355" s="2">
        <v>11</v>
      </c>
      <c r="G355" s="2" t="s">
        <v>35</v>
      </c>
      <c r="H355" s="2">
        <v>40</v>
      </c>
      <c r="I355" s="6">
        <f t="shared" si="118"/>
        <v>440</v>
      </c>
      <c r="J355" s="6">
        <f t="shared" si="122"/>
        <v>3.5</v>
      </c>
      <c r="K355" s="6">
        <f t="shared" si="123"/>
        <v>2</v>
      </c>
      <c r="L355" s="6">
        <f t="shared" si="119"/>
        <v>723.75</v>
      </c>
      <c r="M355" s="6">
        <f t="shared" si="124"/>
        <v>41</v>
      </c>
      <c r="N355" s="6" t="b">
        <f t="shared" si="105"/>
        <v>1</v>
      </c>
      <c r="O355" s="6" t="b">
        <f t="shared" si="120"/>
        <v>1</v>
      </c>
      <c r="P355" s="6" t="str">
        <f t="shared" si="106"/>
        <v>C007097-cans</v>
      </c>
      <c r="Q355" s="7" t="str">
        <f t="shared" si="107"/>
        <v>T034021
11</v>
      </c>
      <c r="R355" s="6" t="b">
        <f t="shared" si="108"/>
        <v>0</v>
      </c>
      <c r="S355" s="6" t="str">
        <f t="shared" si="109"/>
        <v>05</v>
      </c>
      <c r="T355" s="6" t="str">
        <f t="shared" si="110"/>
        <v>CANS</v>
      </c>
      <c r="U355" s="6" t="str">
        <f t="shared" si="111"/>
        <v>cans</v>
      </c>
      <c r="V355" s="6">
        <f t="shared" si="112"/>
        <v>2</v>
      </c>
      <c r="W355" s="6" t="str">
        <f t="shared" si="113"/>
        <v>T034021 11</v>
      </c>
      <c r="X355" s="6" t="str">
        <f t="shared" si="114"/>
        <v>S55753</v>
      </c>
      <c r="Y355" s="6" t="str">
        <f t="shared" si="115"/>
        <v>T03</v>
      </c>
      <c r="Z355" s="6" t="str">
        <f t="shared" si="116"/>
        <v>021</v>
      </c>
      <c r="AA355" s="6">
        <f t="shared" si="121"/>
        <v>2</v>
      </c>
      <c r="AB355" s="6">
        <f t="shared" si="117"/>
        <v>4</v>
      </c>
      <c r="AC355" s="6"/>
      <c r="AD355" s="23"/>
    </row>
    <row r="356" spans="1:30" ht="30" x14ac:dyDescent="0.25">
      <c r="A356" s="2" t="s">
        <v>61</v>
      </c>
      <c r="B356" s="2" t="s">
        <v>1243</v>
      </c>
      <c r="C356" s="2" t="s">
        <v>1244</v>
      </c>
      <c r="D356" s="2" t="s">
        <v>517</v>
      </c>
      <c r="E356" s="2" t="s">
        <v>629</v>
      </c>
      <c r="F356" s="2">
        <v>10</v>
      </c>
      <c r="G356" s="2" t="s">
        <v>13</v>
      </c>
      <c r="H356" s="2">
        <v>20</v>
      </c>
      <c r="I356" s="6">
        <f t="shared" si="118"/>
        <v>200</v>
      </c>
      <c r="J356" s="6">
        <f t="shared" si="122"/>
        <v>48</v>
      </c>
      <c r="K356" s="6">
        <f t="shared" si="123"/>
        <v>46</v>
      </c>
      <c r="L356" s="6">
        <f t="shared" si="119"/>
        <v>1003</v>
      </c>
      <c r="M356" s="6">
        <f t="shared" si="124"/>
        <v>54</v>
      </c>
      <c r="N356" s="6" t="b">
        <f t="shared" si="105"/>
        <v>0</v>
      </c>
      <c r="O356" s="6" t="b">
        <f t="shared" si="120"/>
        <v>1</v>
      </c>
      <c r="P356" s="6" t="str">
        <f t="shared" si="106"/>
        <v>C001350-ct</v>
      </c>
      <c r="Q356" s="7" t="str">
        <f t="shared" si="107"/>
        <v>T050819
10</v>
      </c>
      <c r="R356" s="6" t="b">
        <f t="shared" si="108"/>
        <v>0</v>
      </c>
      <c r="S356" s="6" t="str">
        <f t="shared" si="109"/>
        <v>14</v>
      </c>
      <c r="T356" s="6" t="str">
        <f t="shared" si="110"/>
        <v>CT</v>
      </c>
      <c r="U356" s="6" t="str">
        <f t="shared" si="111"/>
        <v>ct</v>
      </c>
      <c r="V356" s="6">
        <f t="shared" si="112"/>
        <v>2</v>
      </c>
      <c r="W356" s="6" t="str">
        <f t="shared" si="113"/>
        <v>T050819 10</v>
      </c>
      <c r="X356" s="6" t="str">
        <f t="shared" si="114"/>
        <v>S55275</v>
      </c>
      <c r="Y356" s="6" t="str">
        <f t="shared" si="115"/>
        <v>T05</v>
      </c>
      <c r="Z356" s="6" t="str">
        <f t="shared" si="116"/>
        <v>819</v>
      </c>
      <c r="AA356" s="6">
        <f t="shared" si="121"/>
        <v>2</v>
      </c>
      <c r="AB356" s="6">
        <f t="shared" si="117"/>
        <v>2</v>
      </c>
      <c r="AC356" s="6"/>
      <c r="AD356" s="23"/>
    </row>
    <row r="357" spans="1:30" ht="30" x14ac:dyDescent="0.25">
      <c r="A357" s="2" t="s">
        <v>339</v>
      </c>
      <c r="B357" s="2" t="s">
        <v>1245</v>
      </c>
      <c r="C357" s="2" t="s">
        <v>1246</v>
      </c>
      <c r="D357" s="2" t="s">
        <v>753</v>
      </c>
      <c r="E357" s="2" t="s">
        <v>1247</v>
      </c>
      <c r="F357" s="2">
        <v>1</v>
      </c>
      <c r="G357" s="2" t="s">
        <v>35</v>
      </c>
      <c r="H357" s="2">
        <v>11.5</v>
      </c>
      <c r="I357" s="6">
        <f t="shared" si="118"/>
        <v>11.5</v>
      </c>
      <c r="J357" s="6">
        <f t="shared" si="122"/>
        <v>489</v>
      </c>
      <c r="K357" s="6">
        <f t="shared" si="123"/>
        <v>489</v>
      </c>
      <c r="L357" s="6">
        <f t="shared" si="119"/>
        <v>683.75</v>
      </c>
      <c r="M357" s="6">
        <f t="shared" si="124"/>
        <v>40</v>
      </c>
      <c r="N357" s="6" t="b">
        <f t="shared" si="105"/>
        <v>0</v>
      </c>
      <c r="O357" s="6" t="b">
        <f t="shared" si="120"/>
        <v>1</v>
      </c>
      <c r="P357" s="6" t="str">
        <f t="shared" si="106"/>
        <v>C008892-cans</v>
      </c>
      <c r="Q357" s="7" t="str">
        <f t="shared" si="107"/>
        <v>T056778
1</v>
      </c>
      <c r="R357" s="6" t="b">
        <f t="shared" si="108"/>
        <v>0</v>
      </c>
      <c r="S357" s="6" t="str">
        <f t="shared" si="109"/>
        <v>02</v>
      </c>
      <c r="T357" s="6" t="str">
        <f t="shared" si="110"/>
        <v>CANS</v>
      </c>
      <c r="U357" s="6" t="str">
        <f t="shared" si="111"/>
        <v>cans</v>
      </c>
      <c r="V357" s="6">
        <f t="shared" si="112"/>
        <v>2</v>
      </c>
      <c r="W357" s="6" t="str">
        <f t="shared" si="113"/>
        <v>T056778 1</v>
      </c>
      <c r="X357" s="6" t="str">
        <f t="shared" si="114"/>
        <v>S55451</v>
      </c>
      <c r="Y357" s="6" t="str">
        <f t="shared" si="115"/>
        <v>T05</v>
      </c>
      <c r="Z357" s="6" t="str">
        <f t="shared" si="116"/>
        <v>778</v>
      </c>
      <c r="AA357" s="6">
        <f t="shared" si="121"/>
        <v>2</v>
      </c>
      <c r="AB357" s="6">
        <f t="shared" si="117"/>
        <v>4</v>
      </c>
      <c r="AC357" s="6"/>
      <c r="AD357" s="23"/>
    </row>
    <row r="358" spans="1:30" ht="30" x14ac:dyDescent="0.25">
      <c r="A358" s="2" t="s">
        <v>107</v>
      </c>
      <c r="B358" s="2" t="s">
        <v>1248</v>
      </c>
      <c r="C358" s="2" t="s">
        <v>1249</v>
      </c>
      <c r="D358" s="2" t="s">
        <v>1250</v>
      </c>
      <c r="E358" s="2" t="s">
        <v>422</v>
      </c>
      <c r="F358" s="2">
        <v>7</v>
      </c>
      <c r="G358" s="2" t="s">
        <v>60</v>
      </c>
      <c r="H358" s="2">
        <v>18</v>
      </c>
      <c r="I358" s="6">
        <f t="shared" si="118"/>
        <v>126</v>
      </c>
      <c r="J358" s="6">
        <f t="shared" si="122"/>
        <v>157</v>
      </c>
      <c r="K358" s="6">
        <f t="shared" si="123"/>
        <v>154</v>
      </c>
      <c r="L358" s="6">
        <f t="shared" si="119"/>
        <v>347.5</v>
      </c>
      <c r="M358" s="6">
        <f t="shared" si="124"/>
        <v>20</v>
      </c>
      <c r="N358" s="6" t="b">
        <f t="shared" si="105"/>
        <v>0</v>
      </c>
      <c r="O358" s="6" t="b">
        <f t="shared" si="120"/>
        <v>1</v>
      </c>
      <c r="P358" s="6" t="str">
        <f t="shared" si="106"/>
        <v>C003035-bottles</v>
      </c>
      <c r="Q358" s="7" t="str">
        <f t="shared" si="107"/>
        <v>T089712
7</v>
      </c>
      <c r="R358" s="6" t="b">
        <f t="shared" si="108"/>
        <v>0</v>
      </c>
      <c r="S358" s="6" t="str">
        <f t="shared" si="109"/>
        <v>08</v>
      </c>
      <c r="T358" s="6" t="str">
        <f t="shared" si="110"/>
        <v>BOTTLES</v>
      </c>
      <c r="U358" s="6" t="str">
        <f t="shared" si="111"/>
        <v>bottles</v>
      </c>
      <c r="V358" s="6">
        <f t="shared" si="112"/>
        <v>2</v>
      </c>
      <c r="W358" s="6" t="str">
        <f t="shared" si="113"/>
        <v>T089712 7</v>
      </c>
      <c r="X358" s="6" t="str">
        <f t="shared" si="114"/>
        <v>S55675</v>
      </c>
      <c r="Y358" s="6" t="str">
        <f t="shared" si="115"/>
        <v>T08</v>
      </c>
      <c r="Z358" s="6" t="str">
        <f t="shared" si="116"/>
        <v>712</v>
      </c>
      <c r="AA358" s="6">
        <f t="shared" si="121"/>
        <v>2</v>
      </c>
      <c r="AB358" s="6">
        <f t="shared" si="117"/>
        <v>7</v>
      </c>
      <c r="AC358" s="6"/>
      <c r="AD358" s="23"/>
    </row>
    <row r="359" spans="1:30" ht="30" x14ac:dyDescent="0.25">
      <c r="A359" s="2" t="s">
        <v>96</v>
      </c>
      <c r="B359" s="2" t="s">
        <v>1251</v>
      </c>
      <c r="C359" s="2" t="s">
        <v>1252</v>
      </c>
      <c r="D359" s="2" t="s">
        <v>1133</v>
      </c>
      <c r="E359" s="2" t="s">
        <v>1253</v>
      </c>
      <c r="F359" s="2">
        <v>11</v>
      </c>
      <c r="G359" s="2" t="s">
        <v>167</v>
      </c>
      <c r="H359" s="2">
        <v>19</v>
      </c>
      <c r="I359" s="6">
        <f t="shared" si="118"/>
        <v>209</v>
      </c>
      <c r="J359" s="6">
        <f t="shared" si="122"/>
        <v>42.5</v>
      </c>
      <c r="K359" s="6">
        <f t="shared" si="123"/>
        <v>42</v>
      </c>
      <c r="L359" s="6">
        <f t="shared" si="119"/>
        <v>157.5</v>
      </c>
      <c r="M359" s="6">
        <f t="shared" si="124"/>
        <v>10</v>
      </c>
      <c r="N359" s="6" t="b">
        <f t="shared" si="105"/>
        <v>0</v>
      </c>
      <c r="O359" s="6" t="b">
        <f t="shared" si="120"/>
        <v>1</v>
      </c>
      <c r="P359" s="6" t="str">
        <f t="shared" si="106"/>
        <v>C005881-oz</v>
      </c>
      <c r="Q359" s="7" t="str">
        <f t="shared" si="107"/>
        <v>T060602
11</v>
      </c>
      <c r="R359" s="6" t="b">
        <f t="shared" si="108"/>
        <v>0</v>
      </c>
      <c r="S359" s="6" t="str">
        <f t="shared" si="109"/>
        <v>17</v>
      </c>
      <c r="T359" s="6" t="str">
        <f t="shared" si="110"/>
        <v>OZ</v>
      </c>
      <c r="U359" s="6" t="str">
        <f t="shared" si="111"/>
        <v>oz</v>
      </c>
      <c r="V359" s="6">
        <f t="shared" si="112"/>
        <v>2</v>
      </c>
      <c r="W359" s="6" t="str">
        <f t="shared" si="113"/>
        <v>T060602 11</v>
      </c>
      <c r="X359" s="6" t="str">
        <f t="shared" si="114"/>
        <v>S55683</v>
      </c>
      <c r="Y359" s="6" t="str">
        <f t="shared" si="115"/>
        <v>T06</v>
      </c>
      <c r="Z359" s="6" t="str">
        <f t="shared" si="116"/>
        <v>602</v>
      </c>
      <c r="AA359" s="6">
        <f t="shared" si="121"/>
        <v>2</v>
      </c>
      <c r="AB359" s="6">
        <f t="shared" si="117"/>
        <v>2</v>
      </c>
      <c r="AC359" s="6"/>
      <c r="AD359" s="23"/>
    </row>
    <row r="360" spans="1:30" ht="30" x14ac:dyDescent="0.25">
      <c r="A360" s="2" t="s">
        <v>173</v>
      </c>
      <c r="B360" s="2" t="s">
        <v>1254</v>
      </c>
      <c r="C360" s="2" t="s">
        <v>1255</v>
      </c>
      <c r="D360" s="2" t="s">
        <v>1139</v>
      </c>
      <c r="E360" s="2" t="s">
        <v>492</v>
      </c>
      <c r="F360" s="2">
        <v>6</v>
      </c>
      <c r="G360" s="2" t="s">
        <v>13</v>
      </c>
      <c r="H360" s="2">
        <v>16</v>
      </c>
      <c r="I360" s="6">
        <f t="shared" si="118"/>
        <v>96</v>
      </c>
      <c r="J360" s="6">
        <f t="shared" si="122"/>
        <v>231.5</v>
      </c>
      <c r="K360" s="6">
        <f t="shared" si="123"/>
        <v>228</v>
      </c>
      <c r="L360" s="6">
        <f t="shared" si="119"/>
        <v>983</v>
      </c>
      <c r="M360" s="6">
        <f t="shared" si="124"/>
        <v>53</v>
      </c>
      <c r="N360" s="6" t="b">
        <f t="shared" si="105"/>
        <v>0</v>
      </c>
      <c r="O360" s="6" t="b">
        <f t="shared" si="120"/>
        <v>1</v>
      </c>
      <c r="P360" s="6" t="str">
        <f t="shared" si="106"/>
        <v>C006570-ct</v>
      </c>
      <c r="Q360" s="7" t="str">
        <f t="shared" si="107"/>
        <v>T060616
6</v>
      </c>
      <c r="R360" s="6" t="b">
        <f t="shared" si="108"/>
        <v>0</v>
      </c>
      <c r="S360" s="6" t="str">
        <f t="shared" si="109"/>
        <v>16</v>
      </c>
      <c r="T360" s="6" t="str">
        <f t="shared" si="110"/>
        <v>CT</v>
      </c>
      <c r="U360" s="6" t="str">
        <f t="shared" si="111"/>
        <v>ct</v>
      </c>
      <c r="V360" s="6">
        <f t="shared" si="112"/>
        <v>2</v>
      </c>
      <c r="W360" s="6" t="str">
        <f t="shared" si="113"/>
        <v>T060616 6</v>
      </c>
      <c r="X360" s="6" t="str">
        <f t="shared" si="114"/>
        <v>S55381</v>
      </c>
      <c r="Y360" s="6" t="str">
        <f t="shared" si="115"/>
        <v>T06</v>
      </c>
      <c r="Z360" s="6" t="str">
        <f t="shared" si="116"/>
        <v>616</v>
      </c>
      <c r="AA360" s="6">
        <f t="shared" si="121"/>
        <v>2</v>
      </c>
      <c r="AB360" s="6">
        <f t="shared" si="117"/>
        <v>2</v>
      </c>
      <c r="AC360" s="6"/>
      <c r="AD360" s="23"/>
    </row>
    <row r="361" spans="1:30" ht="30" x14ac:dyDescent="0.25">
      <c r="A361" s="2" t="s">
        <v>121</v>
      </c>
      <c r="B361" s="2" t="s">
        <v>1256</v>
      </c>
      <c r="C361" s="2" t="s">
        <v>1257</v>
      </c>
      <c r="D361" s="2" t="s">
        <v>644</v>
      </c>
      <c r="E361" s="2" t="s">
        <v>1258</v>
      </c>
      <c r="F361" s="2">
        <v>11</v>
      </c>
      <c r="G361" s="2" t="s">
        <v>106</v>
      </c>
      <c r="H361" s="2">
        <v>21</v>
      </c>
      <c r="I361" s="6">
        <f t="shared" si="118"/>
        <v>231</v>
      </c>
      <c r="J361" s="6">
        <f t="shared" si="122"/>
        <v>31</v>
      </c>
      <c r="K361" s="6">
        <f t="shared" si="123"/>
        <v>31</v>
      </c>
      <c r="L361" s="6">
        <f t="shared" si="119"/>
        <v>181</v>
      </c>
      <c r="M361" s="6">
        <f t="shared" si="124"/>
        <v>11</v>
      </c>
      <c r="N361" s="6" t="b">
        <f t="shared" si="105"/>
        <v>1</v>
      </c>
      <c r="O361" s="6" t="b">
        <f t="shared" si="120"/>
        <v>1</v>
      </c>
      <c r="P361" s="6" t="str">
        <f t="shared" si="106"/>
        <v>C003225-bags</v>
      </c>
      <c r="Q361" s="7" t="str">
        <f t="shared" si="107"/>
        <v>T037570
11</v>
      </c>
      <c r="R361" s="6" t="b">
        <f t="shared" si="108"/>
        <v>0</v>
      </c>
      <c r="S361" s="6" t="str">
        <f t="shared" si="109"/>
        <v>25</v>
      </c>
      <c r="T361" s="6" t="str">
        <f t="shared" si="110"/>
        <v>BAGS</v>
      </c>
      <c r="U361" s="6" t="str">
        <f t="shared" si="111"/>
        <v>bags</v>
      </c>
      <c r="V361" s="6">
        <f t="shared" si="112"/>
        <v>2</v>
      </c>
      <c r="W361" s="6" t="str">
        <f t="shared" si="113"/>
        <v>T037570 11</v>
      </c>
      <c r="X361" s="6" t="str">
        <f t="shared" si="114"/>
        <v>S55579</v>
      </c>
      <c r="Y361" s="6" t="str">
        <f t="shared" si="115"/>
        <v>T03</v>
      </c>
      <c r="Z361" s="6" t="str">
        <f t="shared" si="116"/>
        <v>570</v>
      </c>
      <c r="AA361" s="6">
        <f t="shared" si="121"/>
        <v>2</v>
      </c>
      <c r="AB361" s="6">
        <f t="shared" si="117"/>
        <v>4</v>
      </c>
      <c r="AC361" s="6"/>
      <c r="AD361" s="23"/>
    </row>
    <row r="362" spans="1:30" ht="30" x14ac:dyDescent="0.25">
      <c r="A362" s="2" t="s">
        <v>71</v>
      </c>
      <c r="B362" s="2" t="s">
        <v>1259</v>
      </c>
      <c r="C362" s="2" t="s">
        <v>1260</v>
      </c>
      <c r="D362" s="2" t="s">
        <v>578</v>
      </c>
      <c r="E362" s="2" t="s">
        <v>1261</v>
      </c>
      <c r="F362" s="2">
        <v>8</v>
      </c>
      <c r="G362" s="2" t="s">
        <v>13</v>
      </c>
      <c r="H362" s="2">
        <v>22</v>
      </c>
      <c r="I362" s="6">
        <f t="shared" si="118"/>
        <v>176</v>
      </c>
      <c r="J362" s="6">
        <f t="shared" si="122"/>
        <v>67</v>
      </c>
      <c r="K362" s="6">
        <f t="shared" si="123"/>
        <v>65</v>
      </c>
      <c r="L362" s="6">
        <f t="shared" si="119"/>
        <v>967</v>
      </c>
      <c r="M362" s="6">
        <f t="shared" si="124"/>
        <v>52</v>
      </c>
      <c r="N362" s="6" t="b">
        <f t="shared" si="105"/>
        <v>1</v>
      </c>
      <c r="O362" s="6" t="b">
        <f t="shared" si="120"/>
        <v>1</v>
      </c>
      <c r="P362" s="6" t="str">
        <f t="shared" si="106"/>
        <v>C008021-ct</v>
      </c>
      <c r="Q362" s="7" t="str">
        <f t="shared" si="107"/>
        <v>T070924
8</v>
      </c>
      <c r="R362" s="6" t="b">
        <f t="shared" si="108"/>
        <v>0</v>
      </c>
      <c r="S362" s="6" t="str">
        <f t="shared" si="109"/>
        <v>21</v>
      </c>
      <c r="T362" s="6" t="str">
        <f t="shared" si="110"/>
        <v>CT</v>
      </c>
      <c r="U362" s="6" t="str">
        <f t="shared" si="111"/>
        <v>ct</v>
      </c>
      <c r="V362" s="6">
        <f t="shared" si="112"/>
        <v>2</v>
      </c>
      <c r="W362" s="6" t="str">
        <f t="shared" si="113"/>
        <v>T070924 8</v>
      </c>
      <c r="X362" s="6" t="str">
        <f t="shared" si="114"/>
        <v>S55153</v>
      </c>
      <c r="Y362" s="6" t="str">
        <f t="shared" si="115"/>
        <v>T07</v>
      </c>
      <c r="Z362" s="6" t="str">
        <f t="shared" si="116"/>
        <v>924</v>
      </c>
      <c r="AA362" s="6">
        <f t="shared" si="121"/>
        <v>2</v>
      </c>
      <c r="AB362" s="6">
        <f t="shared" si="117"/>
        <v>2</v>
      </c>
      <c r="AC362" s="6"/>
      <c r="AD362" s="23"/>
    </row>
    <row r="363" spans="1:30" ht="30" x14ac:dyDescent="0.25">
      <c r="A363" s="2" t="s">
        <v>61</v>
      </c>
      <c r="B363" s="2" t="s">
        <v>1262</v>
      </c>
      <c r="C363" s="2" t="s">
        <v>1263</v>
      </c>
      <c r="D363" s="2" t="s">
        <v>104</v>
      </c>
      <c r="E363" s="2" t="s">
        <v>492</v>
      </c>
      <c r="F363" s="2">
        <v>1</v>
      </c>
      <c r="G363" s="2" t="s">
        <v>106</v>
      </c>
      <c r="H363" s="2">
        <v>15</v>
      </c>
      <c r="I363" s="6">
        <f t="shared" si="118"/>
        <v>15</v>
      </c>
      <c r="J363" s="6">
        <f t="shared" si="122"/>
        <v>476.5</v>
      </c>
      <c r="K363" s="6">
        <f t="shared" si="123"/>
        <v>473</v>
      </c>
      <c r="L363" s="6">
        <f t="shared" si="119"/>
        <v>160</v>
      </c>
      <c r="M363" s="6">
        <f t="shared" si="124"/>
        <v>10</v>
      </c>
      <c r="N363" s="6" t="b">
        <f t="shared" si="105"/>
        <v>0</v>
      </c>
      <c r="O363" s="6" t="b">
        <f t="shared" si="120"/>
        <v>1</v>
      </c>
      <c r="P363" s="6" t="str">
        <f t="shared" si="106"/>
        <v>C006300-bags</v>
      </c>
      <c r="Q363" s="7" t="str">
        <f t="shared" si="107"/>
        <v>T057235
1</v>
      </c>
      <c r="R363" s="6" t="b">
        <f t="shared" si="108"/>
        <v>0</v>
      </c>
      <c r="S363" s="6" t="str">
        <f t="shared" si="109"/>
        <v>16</v>
      </c>
      <c r="T363" s="6" t="str">
        <f t="shared" si="110"/>
        <v>BAGS</v>
      </c>
      <c r="U363" s="6" t="str">
        <f t="shared" si="111"/>
        <v>bags</v>
      </c>
      <c r="V363" s="6">
        <f t="shared" si="112"/>
        <v>2</v>
      </c>
      <c r="W363" s="6" t="str">
        <f t="shared" si="113"/>
        <v>T057235 1</v>
      </c>
      <c r="X363" s="6" t="str">
        <f t="shared" si="114"/>
        <v>S55381</v>
      </c>
      <c r="Y363" s="6" t="str">
        <f t="shared" si="115"/>
        <v>T05</v>
      </c>
      <c r="Z363" s="6" t="str">
        <f t="shared" si="116"/>
        <v>235</v>
      </c>
      <c r="AA363" s="6">
        <f t="shared" si="121"/>
        <v>2</v>
      </c>
      <c r="AB363" s="6">
        <f t="shared" si="117"/>
        <v>4</v>
      </c>
      <c r="AC363" s="6"/>
      <c r="AD363" s="23"/>
    </row>
    <row r="364" spans="1:30" ht="30" x14ac:dyDescent="0.25">
      <c r="A364" s="2" t="s">
        <v>187</v>
      </c>
      <c r="B364" s="2" t="s">
        <v>1264</v>
      </c>
      <c r="C364" s="2" t="s">
        <v>1265</v>
      </c>
      <c r="D364" s="2" t="s">
        <v>58</v>
      </c>
      <c r="E364" s="2" t="s">
        <v>345</v>
      </c>
      <c r="F364" s="2">
        <v>1</v>
      </c>
      <c r="G364" s="2" t="s">
        <v>60</v>
      </c>
      <c r="H364" s="2">
        <v>22</v>
      </c>
      <c r="I364" s="6">
        <f t="shared" si="118"/>
        <v>22</v>
      </c>
      <c r="J364" s="6">
        <f t="shared" si="122"/>
        <v>457</v>
      </c>
      <c r="K364" s="6">
        <f t="shared" si="123"/>
        <v>457</v>
      </c>
      <c r="L364" s="6">
        <f t="shared" si="119"/>
        <v>329.5</v>
      </c>
      <c r="M364" s="6">
        <f t="shared" si="124"/>
        <v>19</v>
      </c>
      <c r="N364" s="6" t="b">
        <f t="shared" si="105"/>
        <v>1</v>
      </c>
      <c r="O364" s="6" t="b">
        <f t="shared" si="120"/>
        <v>1</v>
      </c>
      <c r="P364" s="6" t="str">
        <f t="shared" si="106"/>
        <v>C001717-bottles</v>
      </c>
      <c r="Q364" s="7" t="str">
        <f t="shared" si="107"/>
        <v>T035860
1</v>
      </c>
      <c r="R364" s="6" t="b">
        <f t="shared" si="108"/>
        <v>0</v>
      </c>
      <c r="S364" s="6" t="str">
        <f t="shared" si="109"/>
        <v>05</v>
      </c>
      <c r="T364" s="6" t="str">
        <f t="shared" si="110"/>
        <v>BOTTLES</v>
      </c>
      <c r="U364" s="6" t="str">
        <f t="shared" si="111"/>
        <v>bottles</v>
      </c>
      <c r="V364" s="6">
        <f t="shared" si="112"/>
        <v>2</v>
      </c>
      <c r="W364" s="6" t="str">
        <f t="shared" si="113"/>
        <v>T035860 1</v>
      </c>
      <c r="X364" s="6" t="str">
        <f t="shared" si="114"/>
        <v>S55389</v>
      </c>
      <c r="Y364" s="6" t="str">
        <f t="shared" si="115"/>
        <v>T03</v>
      </c>
      <c r="Z364" s="6" t="str">
        <f t="shared" si="116"/>
        <v>860</v>
      </c>
      <c r="AA364" s="6">
        <f t="shared" si="121"/>
        <v>2</v>
      </c>
      <c r="AB364" s="6">
        <f t="shared" si="117"/>
        <v>7</v>
      </c>
      <c r="AC364" s="6"/>
      <c r="AD364" s="23"/>
    </row>
    <row r="365" spans="1:30" ht="30" x14ac:dyDescent="0.25">
      <c r="A365" s="2" t="s">
        <v>146</v>
      </c>
      <c r="B365" s="2" t="s">
        <v>1266</v>
      </c>
      <c r="C365" s="2" t="s">
        <v>1267</v>
      </c>
      <c r="D365" s="2" t="s">
        <v>1268</v>
      </c>
      <c r="E365" s="2" t="s">
        <v>1269</v>
      </c>
      <c r="F365" s="2">
        <v>6</v>
      </c>
      <c r="G365" s="2" t="s">
        <v>167</v>
      </c>
      <c r="H365" s="2">
        <v>11</v>
      </c>
      <c r="I365" s="6">
        <f t="shared" si="118"/>
        <v>66</v>
      </c>
      <c r="J365" s="6">
        <f t="shared" si="122"/>
        <v>317</v>
      </c>
      <c r="K365" s="6">
        <f t="shared" si="123"/>
        <v>315</v>
      </c>
      <c r="L365" s="6">
        <f t="shared" si="119"/>
        <v>138.5</v>
      </c>
      <c r="M365" s="6">
        <f t="shared" si="124"/>
        <v>9</v>
      </c>
      <c r="N365" s="6" t="b">
        <f t="shared" si="105"/>
        <v>0</v>
      </c>
      <c r="O365" s="6" t="b">
        <f t="shared" si="120"/>
        <v>1</v>
      </c>
      <c r="P365" s="6" t="str">
        <f t="shared" si="106"/>
        <v>C000909-oz</v>
      </c>
      <c r="Q365" s="7" t="str">
        <f t="shared" si="107"/>
        <v>T05183
6</v>
      </c>
      <c r="R365" s="6" t="b">
        <f t="shared" si="108"/>
        <v>0</v>
      </c>
      <c r="S365" s="6" t="str">
        <f t="shared" si="109"/>
        <v>22</v>
      </c>
      <c r="T365" s="6" t="str">
        <f t="shared" si="110"/>
        <v>OZ</v>
      </c>
      <c r="U365" s="6" t="str">
        <f t="shared" si="111"/>
        <v>oz</v>
      </c>
      <c r="V365" s="6">
        <f t="shared" si="112"/>
        <v>2</v>
      </c>
      <c r="W365" s="6" t="str">
        <f t="shared" si="113"/>
        <v>T05183 6</v>
      </c>
      <c r="X365" s="6" t="str">
        <f t="shared" si="114"/>
        <v>S55441</v>
      </c>
      <c r="Y365" s="6" t="str">
        <f t="shared" si="115"/>
        <v>T05</v>
      </c>
      <c r="Z365" s="6" t="str">
        <f t="shared" si="116"/>
        <v>183</v>
      </c>
      <c r="AA365" s="6">
        <f t="shared" si="121"/>
        <v>2</v>
      </c>
      <c r="AB365" s="6">
        <f t="shared" si="117"/>
        <v>2</v>
      </c>
      <c r="AC365" s="6"/>
      <c r="AD365" s="23"/>
    </row>
    <row r="366" spans="1:30" ht="30" x14ac:dyDescent="0.25">
      <c r="A366" s="2" t="s">
        <v>459</v>
      </c>
      <c r="B366" s="2" t="s">
        <v>1270</v>
      </c>
      <c r="C366" s="2" t="s">
        <v>1271</v>
      </c>
      <c r="D366" s="2" t="s">
        <v>541</v>
      </c>
      <c r="E366" s="2" t="s">
        <v>1272</v>
      </c>
      <c r="F366" s="2">
        <v>8</v>
      </c>
      <c r="G366" s="2" t="s">
        <v>13</v>
      </c>
      <c r="H366" s="2">
        <v>13.5</v>
      </c>
      <c r="I366" s="6">
        <f t="shared" si="118"/>
        <v>108</v>
      </c>
      <c r="J366" s="6">
        <f t="shared" si="122"/>
        <v>197.5</v>
      </c>
      <c r="K366" s="6">
        <f t="shared" si="123"/>
        <v>197</v>
      </c>
      <c r="L366" s="6">
        <f t="shared" si="119"/>
        <v>945</v>
      </c>
      <c r="M366" s="6">
        <f t="shared" si="124"/>
        <v>51</v>
      </c>
      <c r="N366" s="6" t="b">
        <f t="shared" si="105"/>
        <v>0</v>
      </c>
      <c r="O366" s="6" t="b">
        <f t="shared" si="120"/>
        <v>1</v>
      </c>
      <c r="P366" s="6" t="str">
        <f t="shared" si="106"/>
        <v>C003203-ct</v>
      </c>
      <c r="Q366" s="7" t="str">
        <f t="shared" si="107"/>
        <v>T014409
8</v>
      </c>
      <c r="R366" s="6" t="b">
        <f t="shared" si="108"/>
        <v>0</v>
      </c>
      <c r="S366" s="6" t="str">
        <f t="shared" si="109"/>
        <v>22</v>
      </c>
      <c r="T366" s="6" t="str">
        <f t="shared" si="110"/>
        <v>CT</v>
      </c>
      <c r="U366" s="6" t="str">
        <f t="shared" si="111"/>
        <v>ct</v>
      </c>
      <c r="V366" s="6">
        <f t="shared" si="112"/>
        <v>2</v>
      </c>
      <c r="W366" s="6" t="str">
        <f t="shared" si="113"/>
        <v>T014409 8</v>
      </c>
      <c r="X366" s="6" t="str">
        <f t="shared" si="114"/>
        <v>S55556</v>
      </c>
      <c r="Y366" s="6" t="str">
        <f t="shared" si="115"/>
        <v>T01</v>
      </c>
      <c r="Z366" s="6" t="str">
        <f t="shared" si="116"/>
        <v>409</v>
      </c>
      <c r="AA366" s="6">
        <f t="shared" si="121"/>
        <v>2</v>
      </c>
      <c r="AB366" s="6">
        <f t="shared" si="117"/>
        <v>2</v>
      </c>
      <c r="AC366" s="6"/>
      <c r="AD366" s="23"/>
    </row>
    <row r="367" spans="1:30" ht="30" x14ac:dyDescent="0.25">
      <c r="A367" s="2" t="s">
        <v>30</v>
      </c>
      <c r="B367" s="2" t="s">
        <v>1273</v>
      </c>
      <c r="C367" s="2" t="s">
        <v>1274</v>
      </c>
      <c r="D367" s="2" t="s">
        <v>785</v>
      </c>
      <c r="E367" s="2" t="s">
        <v>1275</v>
      </c>
      <c r="F367" s="2">
        <v>11</v>
      </c>
      <c r="G367" s="2" t="s">
        <v>13</v>
      </c>
      <c r="H367" s="2">
        <v>29</v>
      </c>
      <c r="I367" s="6">
        <f t="shared" si="118"/>
        <v>319</v>
      </c>
      <c r="J367" s="6">
        <f t="shared" si="122"/>
        <v>18</v>
      </c>
      <c r="K367" s="6">
        <f t="shared" si="123"/>
        <v>18</v>
      </c>
      <c r="L367" s="6">
        <f t="shared" si="119"/>
        <v>931.5</v>
      </c>
      <c r="M367" s="6">
        <f t="shared" si="124"/>
        <v>50</v>
      </c>
      <c r="N367" s="6" t="b">
        <f t="shared" si="105"/>
        <v>1</v>
      </c>
      <c r="O367" s="6" t="b">
        <f t="shared" si="120"/>
        <v>1</v>
      </c>
      <c r="P367" s="6" t="str">
        <f t="shared" si="106"/>
        <v>C002318-ct</v>
      </c>
      <c r="Q367" s="7" t="str">
        <f t="shared" si="107"/>
        <v>T093603
11</v>
      </c>
      <c r="R367" s="6" t="b">
        <f t="shared" si="108"/>
        <v>0</v>
      </c>
      <c r="S367" s="6" t="str">
        <f t="shared" si="109"/>
        <v>14</v>
      </c>
      <c r="T367" s="6" t="str">
        <f t="shared" si="110"/>
        <v>CT</v>
      </c>
      <c r="U367" s="6" t="str">
        <f t="shared" si="111"/>
        <v>ct</v>
      </c>
      <c r="V367" s="6">
        <f t="shared" si="112"/>
        <v>2</v>
      </c>
      <c r="W367" s="6" t="str">
        <f t="shared" si="113"/>
        <v>T093603 11</v>
      </c>
      <c r="X367" s="6" t="str">
        <f t="shared" si="114"/>
        <v>S55658</v>
      </c>
      <c r="Y367" s="6" t="str">
        <f t="shared" si="115"/>
        <v>T09</v>
      </c>
      <c r="Z367" s="6" t="str">
        <f t="shared" si="116"/>
        <v>603</v>
      </c>
      <c r="AA367" s="6">
        <f t="shared" si="121"/>
        <v>2</v>
      </c>
      <c r="AB367" s="6">
        <f t="shared" si="117"/>
        <v>2</v>
      </c>
      <c r="AC367" s="6"/>
      <c r="AD367" s="23"/>
    </row>
    <row r="368" spans="1:30" ht="30" x14ac:dyDescent="0.25">
      <c r="A368" s="2" t="s">
        <v>283</v>
      </c>
      <c r="B368" s="2" t="s">
        <v>1276</v>
      </c>
      <c r="C368" s="2" t="s">
        <v>1277</v>
      </c>
      <c r="D368" s="2" t="s">
        <v>1037</v>
      </c>
      <c r="E368" s="2" t="s">
        <v>1184</v>
      </c>
      <c r="F368" s="2">
        <v>2</v>
      </c>
      <c r="G368" s="2" t="s">
        <v>35</v>
      </c>
      <c r="H368" s="2">
        <v>6.75</v>
      </c>
      <c r="I368" s="6">
        <f t="shared" si="118"/>
        <v>13.5</v>
      </c>
      <c r="J368" s="6">
        <f t="shared" si="122"/>
        <v>483.5</v>
      </c>
      <c r="K368" s="6">
        <f t="shared" si="123"/>
        <v>483</v>
      </c>
      <c r="L368" s="6">
        <f t="shared" si="119"/>
        <v>672.25</v>
      </c>
      <c r="M368" s="6">
        <f t="shared" si="124"/>
        <v>39</v>
      </c>
      <c r="N368" s="6" t="b">
        <f t="shared" si="105"/>
        <v>0</v>
      </c>
      <c r="O368" s="6" t="b">
        <f t="shared" si="120"/>
        <v>1</v>
      </c>
      <c r="P368" s="6" t="str">
        <f t="shared" si="106"/>
        <v>C000423-cans</v>
      </c>
      <c r="Q368" s="7" t="str">
        <f t="shared" si="107"/>
        <v>T099897
2</v>
      </c>
      <c r="R368" s="6" t="b">
        <f t="shared" si="108"/>
        <v>0</v>
      </c>
      <c r="S368" s="6" t="str">
        <f t="shared" si="109"/>
        <v>00</v>
      </c>
      <c r="T368" s="6" t="str">
        <f t="shared" si="110"/>
        <v>CANS</v>
      </c>
      <c r="U368" s="6" t="str">
        <f t="shared" si="111"/>
        <v>cans</v>
      </c>
      <c r="V368" s="6">
        <f t="shared" si="112"/>
        <v>2</v>
      </c>
      <c r="W368" s="6" t="str">
        <f t="shared" si="113"/>
        <v>T099897 2</v>
      </c>
      <c r="X368" s="6" t="str">
        <f t="shared" si="114"/>
        <v>S55431</v>
      </c>
      <c r="Y368" s="6" t="str">
        <f t="shared" si="115"/>
        <v>T09</v>
      </c>
      <c r="Z368" s="6" t="str">
        <f t="shared" si="116"/>
        <v>897</v>
      </c>
      <c r="AA368" s="6">
        <f t="shared" si="121"/>
        <v>2</v>
      </c>
      <c r="AB368" s="6">
        <f t="shared" si="117"/>
        <v>4</v>
      </c>
      <c r="AC368" s="6"/>
      <c r="AD368" s="23"/>
    </row>
    <row r="369" spans="1:30" ht="30" x14ac:dyDescent="0.25">
      <c r="A369" s="2" t="s">
        <v>55</v>
      </c>
      <c r="B369" s="2" t="s">
        <v>1278</v>
      </c>
      <c r="C369" s="2" t="s">
        <v>1279</v>
      </c>
      <c r="D369" s="2" t="s">
        <v>1280</v>
      </c>
      <c r="E369" s="2" t="s">
        <v>1281</v>
      </c>
      <c r="F369" s="2">
        <v>8</v>
      </c>
      <c r="G369" s="2" t="s">
        <v>35</v>
      </c>
      <c r="H369" s="2">
        <v>18</v>
      </c>
      <c r="I369" s="6">
        <f t="shared" si="118"/>
        <v>144</v>
      </c>
      <c r="J369" s="6">
        <f t="shared" si="122"/>
        <v>118</v>
      </c>
      <c r="K369" s="6">
        <f t="shared" si="123"/>
        <v>115</v>
      </c>
      <c r="L369" s="6">
        <f t="shared" si="119"/>
        <v>665.5</v>
      </c>
      <c r="M369" s="6">
        <f t="shared" si="124"/>
        <v>38</v>
      </c>
      <c r="N369" s="6" t="b">
        <f t="shared" si="105"/>
        <v>0</v>
      </c>
      <c r="O369" s="6" t="b">
        <f t="shared" si="120"/>
        <v>1</v>
      </c>
      <c r="P369" s="6" t="str">
        <f t="shared" si="106"/>
        <v>C001844-cans</v>
      </c>
      <c r="Q369" s="7" t="str">
        <f t="shared" si="107"/>
        <v>T043263
8</v>
      </c>
      <c r="R369" s="6" t="b">
        <f t="shared" si="108"/>
        <v>0</v>
      </c>
      <c r="S369" s="6" t="str">
        <f t="shared" si="109"/>
        <v>08</v>
      </c>
      <c r="T369" s="6" t="str">
        <f t="shared" si="110"/>
        <v>CANS</v>
      </c>
      <c r="U369" s="6" t="str">
        <f t="shared" si="111"/>
        <v>cans</v>
      </c>
      <c r="V369" s="6">
        <f t="shared" si="112"/>
        <v>2</v>
      </c>
      <c r="W369" s="6" t="str">
        <f t="shared" si="113"/>
        <v>T043263 8</v>
      </c>
      <c r="X369" s="6" t="str">
        <f t="shared" si="114"/>
        <v>S5555</v>
      </c>
      <c r="Y369" s="6" t="str">
        <f t="shared" si="115"/>
        <v>T04</v>
      </c>
      <c r="Z369" s="6" t="str">
        <f t="shared" si="116"/>
        <v>263</v>
      </c>
      <c r="AA369" s="6">
        <f t="shared" si="121"/>
        <v>2</v>
      </c>
      <c r="AB369" s="6">
        <f t="shared" si="117"/>
        <v>4</v>
      </c>
      <c r="AC369" s="6"/>
      <c r="AD369" s="23"/>
    </row>
    <row r="370" spans="1:30" ht="30" x14ac:dyDescent="0.25">
      <c r="A370" s="2" t="s">
        <v>240</v>
      </c>
      <c r="B370" s="2" t="s">
        <v>1282</v>
      </c>
      <c r="C370" s="2" t="s">
        <v>1283</v>
      </c>
      <c r="D370" s="2" t="s">
        <v>556</v>
      </c>
      <c r="E370" s="2" t="s">
        <v>327</v>
      </c>
      <c r="F370" s="2">
        <v>5</v>
      </c>
      <c r="G370" s="2" t="s">
        <v>402</v>
      </c>
      <c r="H370" s="2">
        <v>19.5</v>
      </c>
      <c r="I370" s="6">
        <f t="shared" si="118"/>
        <v>97.5</v>
      </c>
      <c r="J370" s="6">
        <f t="shared" si="122"/>
        <v>225</v>
      </c>
      <c r="K370" s="6">
        <f t="shared" si="123"/>
        <v>223</v>
      </c>
      <c r="L370" s="6">
        <f t="shared" si="119"/>
        <v>55.5</v>
      </c>
      <c r="M370" s="6">
        <f t="shared" si="124"/>
        <v>3</v>
      </c>
      <c r="N370" s="6" t="b">
        <f t="shared" si="105"/>
        <v>0</v>
      </c>
      <c r="O370" s="6" t="b">
        <f t="shared" si="120"/>
        <v>1</v>
      </c>
      <c r="P370" s="6" t="str">
        <f t="shared" si="106"/>
        <v>C008487-pack</v>
      </c>
      <c r="Q370" s="7" t="str">
        <f t="shared" si="107"/>
        <v>T028596
5</v>
      </c>
      <c r="R370" s="6" t="b">
        <f t="shared" si="108"/>
        <v>0</v>
      </c>
      <c r="S370" s="6" t="str">
        <f t="shared" si="109"/>
        <v>25</v>
      </c>
      <c r="T370" s="6" t="str">
        <f t="shared" si="110"/>
        <v>PACK</v>
      </c>
      <c r="U370" s="6" t="str">
        <f t="shared" si="111"/>
        <v>pack</v>
      </c>
      <c r="V370" s="6">
        <f t="shared" si="112"/>
        <v>2</v>
      </c>
      <c r="W370" s="6" t="str">
        <f t="shared" si="113"/>
        <v>T028596 5</v>
      </c>
      <c r="X370" s="6" t="str">
        <f t="shared" si="114"/>
        <v>S55324</v>
      </c>
      <c r="Y370" s="6" t="str">
        <f t="shared" si="115"/>
        <v>T02</v>
      </c>
      <c r="Z370" s="6" t="str">
        <f t="shared" si="116"/>
        <v>596</v>
      </c>
      <c r="AA370" s="6">
        <f t="shared" si="121"/>
        <v>2</v>
      </c>
      <c r="AB370" s="6">
        <f t="shared" si="117"/>
        <v>4</v>
      </c>
      <c r="AC370" s="6"/>
      <c r="AD370" s="23"/>
    </row>
    <row r="371" spans="1:30" ht="30" x14ac:dyDescent="0.25">
      <c r="A371" s="2" t="s">
        <v>173</v>
      </c>
      <c r="B371" s="2" t="s">
        <v>1284</v>
      </c>
      <c r="C371" s="2" t="s">
        <v>1285</v>
      </c>
      <c r="D371" s="2" t="s">
        <v>393</v>
      </c>
      <c r="E371" s="2" t="s">
        <v>145</v>
      </c>
      <c r="F371" s="2">
        <v>8</v>
      </c>
      <c r="G371" s="2" t="s">
        <v>167</v>
      </c>
      <c r="H371" s="2">
        <v>15</v>
      </c>
      <c r="I371" s="6">
        <f t="shared" si="118"/>
        <v>120</v>
      </c>
      <c r="J371" s="6">
        <f t="shared" si="122"/>
        <v>169.5</v>
      </c>
      <c r="K371" s="6">
        <f t="shared" si="123"/>
        <v>162</v>
      </c>
      <c r="L371" s="6">
        <f t="shared" si="119"/>
        <v>127.5</v>
      </c>
      <c r="M371" s="6">
        <f t="shared" si="124"/>
        <v>8</v>
      </c>
      <c r="N371" s="6" t="b">
        <f t="shared" si="105"/>
        <v>0</v>
      </c>
      <c r="O371" s="6" t="b">
        <f t="shared" si="120"/>
        <v>1</v>
      </c>
      <c r="P371" s="6" t="str">
        <f t="shared" si="106"/>
        <v>C007961-oz</v>
      </c>
      <c r="Q371" s="7" t="str">
        <f t="shared" si="107"/>
        <v>T099969
8</v>
      </c>
      <c r="R371" s="6" t="b">
        <f t="shared" si="108"/>
        <v>0</v>
      </c>
      <c r="S371" s="6" t="str">
        <f t="shared" si="109"/>
        <v>24</v>
      </c>
      <c r="T371" s="6" t="str">
        <f t="shared" si="110"/>
        <v>OZ</v>
      </c>
      <c r="U371" s="6" t="str">
        <f t="shared" si="111"/>
        <v>oz</v>
      </c>
      <c r="V371" s="6">
        <f t="shared" si="112"/>
        <v>2</v>
      </c>
      <c r="W371" s="6" t="str">
        <f t="shared" si="113"/>
        <v>T099969 8</v>
      </c>
      <c r="X371" s="6" t="str">
        <f t="shared" si="114"/>
        <v>S55319</v>
      </c>
      <c r="Y371" s="6" t="str">
        <f t="shared" si="115"/>
        <v>T09</v>
      </c>
      <c r="Z371" s="6" t="str">
        <f t="shared" si="116"/>
        <v>969</v>
      </c>
      <c r="AA371" s="6">
        <f t="shared" si="121"/>
        <v>2</v>
      </c>
      <c r="AB371" s="6">
        <f t="shared" si="117"/>
        <v>2</v>
      </c>
      <c r="AC371" s="6"/>
      <c r="AD371" s="23"/>
    </row>
    <row r="372" spans="1:30" ht="30" x14ac:dyDescent="0.25">
      <c r="A372" s="2" t="s">
        <v>209</v>
      </c>
      <c r="B372" s="2" t="s">
        <v>795</v>
      </c>
      <c r="C372" s="2" t="s">
        <v>1286</v>
      </c>
      <c r="D372" s="2" t="s">
        <v>410</v>
      </c>
      <c r="E372" s="2" t="s">
        <v>1287</v>
      </c>
      <c r="F372" s="2">
        <v>11</v>
      </c>
      <c r="G372" s="2" t="s">
        <v>60</v>
      </c>
      <c r="H372" s="2">
        <v>24</v>
      </c>
      <c r="I372" s="6">
        <f t="shared" si="118"/>
        <v>264</v>
      </c>
      <c r="J372" s="6">
        <f t="shared" si="122"/>
        <v>23</v>
      </c>
      <c r="K372" s="6">
        <f t="shared" si="123"/>
        <v>23</v>
      </c>
      <c r="L372" s="6">
        <f t="shared" si="119"/>
        <v>307.5</v>
      </c>
      <c r="M372" s="6">
        <f t="shared" si="124"/>
        <v>18</v>
      </c>
      <c r="N372" s="6" t="b">
        <f t="shared" si="105"/>
        <v>1</v>
      </c>
      <c r="O372" s="6" t="b">
        <f t="shared" si="120"/>
        <v>1</v>
      </c>
      <c r="P372" s="6" t="str">
        <f t="shared" si="106"/>
        <v>C005519-bottles</v>
      </c>
      <c r="Q372" s="7" t="str">
        <f t="shared" si="107"/>
        <v>T044024
11</v>
      </c>
      <c r="R372" s="6" t="b">
        <f t="shared" si="108"/>
        <v>0</v>
      </c>
      <c r="S372" s="6" t="str">
        <f t="shared" si="109"/>
        <v>05</v>
      </c>
      <c r="T372" s="6" t="str">
        <f t="shared" si="110"/>
        <v>BOTTLES</v>
      </c>
      <c r="U372" s="6" t="str">
        <f t="shared" si="111"/>
        <v>bottles</v>
      </c>
      <c r="V372" s="6">
        <f t="shared" si="112"/>
        <v>2</v>
      </c>
      <c r="W372" s="6" t="str">
        <f t="shared" si="113"/>
        <v>T044024 11</v>
      </c>
      <c r="X372" s="6" t="str">
        <f t="shared" si="114"/>
        <v>S55174</v>
      </c>
      <c r="Y372" s="6" t="str">
        <f t="shared" si="115"/>
        <v>T04</v>
      </c>
      <c r="Z372" s="6" t="str">
        <f t="shared" si="116"/>
        <v>024</v>
      </c>
      <c r="AA372" s="6">
        <f t="shared" si="121"/>
        <v>2</v>
      </c>
      <c r="AB372" s="6">
        <f t="shared" si="117"/>
        <v>7</v>
      </c>
      <c r="AC372" s="6"/>
      <c r="AD372" s="23"/>
    </row>
    <row r="373" spans="1:30" ht="30" x14ac:dyDescent="0.25">
      <c r="A373" s="2" t="s">
        <v>187</v>
      </c>
      <c r="B373" s="2" t="s">
        <v>1288</v>
      </c>
      <c r="C373" s="2" t="s">
        <v>1289</v>
      </c>
      <c r="D373" s="2" t="s">
        <v>681</v>
      </c>
      <c r="E373" s="2" t="s">
        <v>1290</v>
      </c>
      <c r="F373" s="2">
        <v>11</v>
      </c>
      <c r="G373" s="2" t="s">
        <v>407</v>
      </c>
      <c r="H373" s="2">
        <v>15</v>
      </c>
      <c r="I373" s="6">
        <f t="shared" si="118"/>
        <v>165</v>
      </c>
      <c r="J373" s="6">
        <f t="shared" si="122"/>
        <v>79.5</v>
      </c>
      <c r="K373" s="6">
        <f t="shared" si="123"/>
        <v>77</v>
      </c>
      <c r="L373" s="6">
        <f t="shared" si="119"/>
        <v>15</v>
      </c>
      <c r="M373" s="6">
        <f t="shared" si="124"/>
        <v>1</v>
      </c>
      <c r="N373" s="6" t="b">
        <f t="shared" si="105"/>
        <v>0</v>
      </c>
      <c r="O373" s="6" t="b">
        <f t="shared" si="120"/>
        <v>1</v>
      </c>
      <c r="P373" s="6" t="str">
        <f t="shared" si="106"/>
        <v>C004087-pk</v>
      </c>
      <c r="Q373" s="7" t="str">
        <f t="shared" si="107"/>
        <v>T04694
11</v>
      </c>
      <c r="R373" s="6" t="b">
        <f t="shared" si="108"/>
        <v>0</v>
      </c>
      <c r="S373" s="6" t="str">
        <f t="shared" si="109"/>
        <v>22</v>
      </c>
      <c r="T373" s="6" t="str">
        <f t="shared" si="110"/>
        <v>PK</v>
      </c>
      <c r="U373" s="6" t="str">
        <f t="shared" si="111"/>
        <v>pk</v>
      </c>
      <c r="V373" s="6">
        <f t="shared" si="112"/>
        <v>2</v>
      </c>
      <c r="W373" s="6" t="str">
        <f t="shared" si="113"/>
        <v>T04694 11</v>
      </c>
      <c r="X373" s="6" t="str">
        <f t="shared" si="114"/>
        <v>S55249</v>
      </c>
      <c r="Y373" s="6" t="str">
        <f t="shared" si="115"/>
        <v>T04</v>
      </c>
      <c r="Z373" s="6" t="str">
        <f t="shared" si="116"/>
        <v>694</v>
      </c>
      <c r="AA373" s="6">
        <f t="shared" si="121"/>
        <v>2</v>
      </c>
      <c r="AB373" s="6">
        <f t="shared" si="117"/>
        <v>2</v>
      </c>
      <c r="AC373" s="6"/>
      <c r="AD373" s="23"/>
    </row>
    <row r="374" spans="1:30" ht="30" x14ac:dyDescent="0.25">
      <c r="A374" s="2" t="s">
        <v>523</v>
      </c>
      <c r="B374" s="2" t="s">
        <v>1291</v>
      </c>
      <c r="C374" s="2" t="s">
        <v>1292</v>
      </c>
      <c r="D374" s="2" t="s">
        <v>628</v>
      </c>
      <c r="E374" s="2" t="s">
        <v>742</v>
      </c>
      <c r="F374" s="2">
        <v>8</v>
      </c>
      <c r="G374" s="2" t="s">
        <v>13</v>
      </c>
      <c r="H374" s="2">
        <v>16</v>
      </c>
      <c r="I374" s="6">
        <f t="shared" si="118"/>
        <v>128</v>
      </c>
      <c r="J374" s="6">
        <f t="shared" si="122"/>
        <v>150</v>
      </c>
      <c r="K374" s="6">
        <f t="shared" si="123"/>
        <v>148</v>
      </c>
      <c r="L374" s="6">
        <f t="shared" si="119"/>
        <v>902.5</v>
      </c>
      <c r="M374" s="6">
        <f t="shared" si="124"/>
        <v>49</v>
      </c>
      <c r="N374" s="6" t="b">
        <f t="shared" si="105"/>
        <v>0</v>
      </c>
      <c r="O374" s="6" t="b">
        <f t="shared" si="120"/>
        <v>1</v>
      </c>
      <c r="P374" s="6" t="str">
        <f t="shared" si="106"/>
        <v>C007815-ct</v>
      </c>
      <c r="Q374" s="7" t="str">
        <f t="shared" si="107"/>
        <v>T063974
8</v>
      </c>
      <c r="R374" s="6" t="b">
        <f t="shared" si="108"/>
        <v>0</v>
      </c>
      <c r="S374" s="6" t="str">
        <f t="shared" si="109"/>
        <v>13</v>
      </c>
      <c r="T374" s="6" t="str">
        <f t="shared" si="110"/>
        <v>CT</v>
      </c>
      <c r="U374" s="6" t="str">
        <f t="shared" si="111"/>
        <v>ct</v>
      </c>
      <c r="V374" s="6">
        <f t="shared" si="112"/>
        <v>2</v>
      </c>
      <c r="W374" s="6" t="str">
        <f t="shared" si="113"/>
        <v>T063974 8</v>
      </c>
      <c r="X374" s="6" t="str">
        <f t="shared" si="114"/>
        <v>S55243</v>
      </c>
      <c r="Y374" s="6" t="str">
        <f t="shared" si="115"/>
        <v>T06</v>
      </c>
      <c r="Z374" s="6" t="str">
        <f t="shared" si="116"/>
        <v>974</v>
      </c>
      <c r="AA374" s="6">
        <f t="shared" si="121"/>
        <v>2</v>
      </c>
      <c r="AB374" s="6">
        <f t="shared" si="117"/>
        <v>2</v>
      </c>
      <c r="AC374" s="6"/>
      <c r="AD374" s="23"/>
    </row>
    <row r="375" spans="1:30" ht="30" x14ac:dyDescent="0.25">
      <c r="A375" s="2" t="s">
        <v>519</v>
      </c>
      <c r="B375" s="2" t="s">
        <v>1293</v>
      </c>
      <c r="C375" s="2" t="s">
        <v>1294</v>
      </c>
      <c r="D375" s="2" t="s">
        <v>1295</v>
      </c>
      <c r="E375" s="2" t="s">
        <v>1296</v>
      </c>
      <c r="F375" s="2">
        <v>7</v>
      </c>
      <c r="G375" s="2" t="s">
        <v>13</v>
      </c>
      <c r="H375" s="2">
        <v>15</v>
      </c>
      <c r="I375" s="6">
        <f t="shared" si="118"/>
        <v>105</v>
      </c>
      <c r="J375" s="6">
        <f t="shared" si="122"/>
        <v>202.5</v>
      </c>
      <c r="K375" s="6">
        <f t="shared" si="123"/>
        <v>199</v>
      </c>
      <c r="L375" s="6">
        <f t="shared" si="119"/>
        <v>886.5</v>
      </c>
      <c r="M375" s="6">
        <f t="shared" si="124"/>
        <v>48</v>
      </c>
      <c r="N375" s="6" t="b">
        <f t="shared" si="105"/>
        <v>0</v>
      </c>
      <c r="O375" s="6" t="b">
        <f t="shared" si="120"/>
        <v>1</v>
      </c>
      <c r="P375" s="6" t="str">
        <f t="shared" si="106"/>
        <v>C000165-ct</v>
      </c>
      <c r="Q375" s="7" t="str">
        <f t="shared" si="107"/>
        <v>T059210
7</v>
      </c>
      <c r="R375" s="6" t="b">
        <f t="shared" si="108"/>
        <v>0</v>
      </c>
      <c r="S375" s="6" t="str">
        <f t="shared" si="109"/>
        <v>19</v>
      </c>
      <c r="T375" s="6" t="str">
        <f t="shared" si="110"/>
        <v>CT</v>
      </c>
      <c r="U375" s="6" t="str">
        <f t="shared" si="111"/>
        <v>ct</v>
      </c>
      <c r="V375" s="6">
        <f t="shared" si="112"/>
        <v>2</v>
      </c>
      <c r="W375" s="6" t="str">
        <f t="shared" si="113"/>
        <v>T059210 7</v>
      </c>
      <c r="X375" s="6" t="str">
        <f t="shared" si="114"/>
        <v>S55659</v>
      </c>
      <c r="Y375" s="6" t="str">
        <f t="shared" si="115"/>
        <v>T05</v>
      </c>
      <c r="Z375" s="6" t="str">
        <f t="shared" si="116"/>
        <v>210</v>
      </c>
      <c r="AA375" s="6">
        <f t="shared" si="121"/>
        <v>2</v>
      </c>
      <c r="AB375" s="6">
        <f t="shared" si="117"/>
        <v>2</v>
      </c>
      <c r="AC375" s="6"/>
      <c r="AD375" s="23"/>
    </row>
    <row r="376" spans="1:30" ht="30" x14ac:dyDescent="0.25">
      <c r="A376" s="2" t="s">
        <v>107</v>
      </c>
      <c r="B376" s="2" t="s">
        <v>1297</v>
      </c>
      <c r="C376" s="2" t="s">
        <v>1298</v>
      </c>
      <c r="D376" s="2" t="s">
        <v>181</v>
      </c>
      <c r="E376" s="2" t="s">
        <v>1299</v>
      </c>
      <c r="F376" s="2">
        <v>7</v>
      </c>
      <c r="G376" s="2" t="s">
        <v>13</v>
      </c>
      <c r="H376" s="2">
        <v>6</v>
      </c>
      <c r="I376" s="6">
        <f t="shared" si="118"/>
        <v>42</v>
      </c>
      <c r="J376" s="6">
        <f t="shared" si="122"/>
        <v>404</v>
      </c>
      <c r="K376" s="6">
        <f t="shared" si="123"/>
        <v>400</v>
      </c>
      <c r="L376" s="6">
        <f t="shared" si="119"/>
        <v>871.5</v>
      </c>
      <c r="M376" s="6">
        <f t="shared" si="124"/>
        <v>47</v>
      </c>
      <c r="N376" s="6" t="b">
        <f t="shared" si="105"/>
        <v>0</v>
      </c>
      <c r="O376" s="6" t="b">
        <f t="shared" si="120"/>
        <v>1</v>
      </c>
      <c r="P376" s="6" t="str">
        <f t="shared" si="106"/>
        <v>C002138-ct</v>
      </c>
      <c r="Q376" s="7" t="str">
        <f t="shared" si="107"/>
        <v>T077435
7</v>
      </c>
      <c r="R376" s="6" t="b">
        <f t="shared" si="108"/>
        <v>0</v>
      </c>
      <c r="S376" s="6" t="str">
        <f t="shared" si="109"/>
        <v>21</v>
      </c>
      <c r="T376" s="6" t="str">
        <f t="shared" si="110"/>
        <v>CT</v>
      </c>
      <c r="U376" s="6" t="str">
        <f t="shared" si="111"/>
        <v>ct</v>
      </c>
      <c r="V376" s="6">
        <f t="shared" si="112"/>
        <v>2</v>
      </c>
      <c r="W376" s="6" t="str">
        <f t="shared" si="113"/>
        <v>T077435 7</v>
      </c>
      <c r="X376" s="6" t="str">
        <f t="shared" si="114"/>
        <v>S55627</v>
      </c>
      <c r="Y376" s="6" t="str">
        <f t="shared" si="115"/>
        <v>T07</v>
      </c>
      <c r="Z376" s="6" t="str">
        <f t="shared" si="116"/>
        <v>435</v>
      </c>
      <c r="AA376" s="6">
        <f t="shared" si="121"/>
        <v>2</v>
      </c>
      <c r="AB376" s="6">
        <f t="shared" si="117"/>
        <v>2</v>
      </c>
      <c r="AC376" s="6"/>
      <c r="AD376" s="23"/>
    </row>
    <row r="377" spans="1:30" ht="30" x14ac:dyDescent="0.25">
      <c r="A377" s="2" t="s">
        <v>519</v>
      </c>
      <c r="B377" s="2" t="s">
        <v>1300</v>
      </c>
      <c r="C377" s="2" t="s">
        <v>1301</v>
      </c>
      <c r="D377" s="2" t="s">
        <v>441</v>
      </c>
      <c r="E377" s="2" t="s">
        <v>1302</v>
      </c>
      <c r="F377" s="2">
        <v>9</v>
      </c>
      <c r="G377" s="2" t="s">
        <v>106</v>
      </c>
      <c r="H377" s="2">
        <v>17</v>
      </c>
      <c r="I377" s="6">
        <f t="shared" si="118"/>
        <v>153</v>
      </c>
      <c r="J377" s="6">
        <f t="shared" si="122"/>
        <v>105.5</v>
      </c>
      <c r="K377" s="6">
        <f t="shared" si="123"/>
        <v>103</v>
      </c>
      <c r="L377" s="6">
        <f t="shared" si="119"/>
        <v>145</v>
      </c>
      <c r="M377" s="6">
        <f t="shared" si="124"/>
        <v>9</v>
      </c>
      <c r="N377" s="6" t="b">
        <f t="shared" si="105"/>
        <v>0</v>
      </c>
      <c r="O377" s="6" t="b">
        <f t="shared" si="120"/>
        <v>1</v>
      </c>
      <c r="P377" s="6" t="str">
        <f t="shared" si="106"/>
        <v>C007964-bags</v>
      </c>
      <c r="Q377" s="7" t="str">
        <f t="shared" si="107"/>
        <v>T092124
9</v>
      </c>
      <c r="R377" s="6" t="b">
        <f t="shared" si="108"/>
        <v>0</v>
      </c>
      <c r="S377" s="6" t="str">
        <f t="shared" si="109"/>
        <v>15</v>
      </c>
      <c r="T377" s="6" t="str">
        <f t="shared" si="110"/>
        <v>BAGS</v>
      </c>
      <c r="U377" s="6" t="str">
        <f t="shared" si="111"/>
        <v>bags</v>
      </c>
      <c r="V377" s="6">
        <f t="shared" si="112"/>
        <v>2</v>
      </c>
      <c r="W377" s="6" t="str">
        <f t="shared" si="113"/>
        <v>T092124 9</v>
      </c>
      <c r="X377" s="6" t="str">
        <f t="shared" si="114"/>
        <v>S55186</v>
      </c>
      <c r="Y377" s="6" t="str">
        <f t="shared" si="115"/>
        <v>T09</v>
      </c>
      <c r="Z377" s="6" t="str">
        <f t="shared" si="116"/>
        <v>124</v>
      </c>
      <c r="AA377" s="6">
        <f t="shared" si="121"/>
        <v>2</v>
      </c>
      <c r="AB377" s="6">
        <f t="shared" si="117"/>
        <v>4</v>
      </c>
      <c r="AC377" s="6"/>
      <c r="AD377" s="23"/>
    </row>
    <row r="378" spans="1:30" ht="30" x14ac:dyDescent="0.25">
      <c r="A378" s="2" t="s">
        <v>307</v>
      </c>
      <c r="B378" s="2" t="s">
        <v>1303</v>
      </c>
      <c r="C378" s="2" t="s">
        <v>1304</v>
      </c>
      <c r="D378" s="2" t="s">
        <v>537</v>
      </c>
      <c r="E378" s="2" t="s">
        <v>1305</v>
      </c>
      <c r="F378" s="2">
        <v>9</v>
      </c>
      <c r="G378" s="2" t="s">
        <v>60</v>
      </c>
      <c r="H378" s="2">
        <v>10</v>
      </c>
      <c r="I378" s="6">
        <f t="shared" si="118"/>
        <v>90</v>
      </c>
      <c r="J378" s="6">
        <f t="shared" si="122"/>
        <v>245</v>
      </c>
      <c r="K378" s="6">
        <f t="shared" si="123"/>
        <v>239</v>
      </c>
      <c r="L378" s="6">
        <f t="shared" si="119"/>
        <v>283.5</v>
      </c>
      <c r="M378" s="6">
        <f t="shared" si="124"/>
        <v>17</v>
      </c>
      <c r="N378" s="6" t="b">
        <f t="shared" si="105"/>
        <v>0</v>
      </c>
      <c r="O378" s="6" t="b">
        <f t="shared" si="120"/>
        <v>0</v>
      </c>
      <c r="P378" s="6" t="str">
        <f t="shared" si="106"/>
        <v>C005652-bottles</v>
      </c>
      <c r="Q378" s="7" t="str">
        <f t="shared" si="107"/>
        <v>T014293
9</v>
      </c>
      <c r="R378" s="6" t="b">
        <f t="shared" si="108"/>
        <v>0</v>
      </c>
      <c r="S378" s="6" t="str">
        <f t="shared" si="109"/>
        <v>09</v>
      </c>
      <c r="T378" s="6" t="str">
        <f t="shared" si="110"/>
        <v>BOTTLES</v>
      </c>
      <c r="U378" s="6" t="str">
        <f t="shared" si="111"/>
        <v>bottles</v>
      </c>
      <c r="V378" s="6">
        <f t="shared" si="112"/>
        <v>2</v>
      </c>
      <c r="W378" s="6" t="str">
        <f t="shared" si="113"/>
        <v>T014293 9</v>
      </c>
      <c r="X378" s="6" t="str">
        <f t="shared" si="114"/>
        <v>S55226</v>
      </c>
      <c r="Y378" s="6" t="str">
        <f t="shared" si="115"/>
        <v>T01</v>
      </c>
      <c r="Z378" s="6" t="str">
        <f t="shared" si="116"/>
        <v>293</v>
      </c>
      <c r="AA378" s="6">
        <f t="shared" si="121"/>
        <v>2</v>
      </c>
      <c r="AB378" s="6">
        <f t="shared" si="117"/>
        <v>7</v>
      </c>
      <c r="AC378" s="6"/>
      <c r="AD378" s="23"/>
    </row>
    <row r="379" spans="1:30" ht="30" x14ac:dyDescent="0.25">
      <c r="A379" s="2" t="s">
        <v>274</v>
      </c>
      <c r="B379" s="2" t="s">
        <v>1306</v>
      </c>
      <c r="C379" s="2" t="s">
        <v>1307</v>
      </c>
      <c r="D379" s="2" t="s">
        <v>310</v>
      </c>
      <c r="E379" s="2" t="s">
        <v>1269</v>
      </c>
      <c r="F379" s="2">
        <v>2</v>
      </c>
      <c r="G379" s="2" t="s">
        <v>35</v>
      </c>
      <c r="H379" s="2">
        <v>40</v>
      </c>
      <c r="I379" s="6">
        <f t="shared" si="118"/>
        <v>80</v>
      </c>
      <c r="J379" s="6">
        <f t="shared" si="122"/>
        <v>275</v>
      </c>
      <c r="K379" s="6">
        <f t="shared" si="123"/>
        <v>272</v>
      </c>
      <c r="L379" s="6">
        <f t="shared" si="119"/>
        <v>647.5</v>
      </c>
      <c r="M379" s="6">
        <f t="shared" si="124"/>
        <v>37</v>
      </c>
      <c r="N379" s="6" t="b">
        <f t="shared" si="105"/>
        <v>1</v>
      </c>
      <c r="O379" s="6" t="b">
        <f t="shared" si="120"/>
        <v>1</v>
      </c>
      <c r="P379" s="6" t="str">
        <f t="shared" si="106"/>
        <v>C007805-cans</v>
      </c>
      <c r="Q379" s="7" t="str">
        <f t="shared" si="107"/>
        <v>T015970
2</v>
      </c>
      <c r="R379" s="6" t="b">
        <f t="shared" si="108"/>
        <v>0</v>
      </c>
      <c r="S379" s="6" t="str">
        <f t="shared" si="109"/>
        <v>05</v>
      </c>
      <c r="T379" s="6" t="str">
        <f t="shared" si="110"/>
        <v>CANS</v>
      </c>
      <c r="U379" s="6" t="str">
        <f t="shared" si="111"/>
        <v>cans</v>
      </c>
      <c r="V379" s="6">
        <f t="shared" si="112"/>
        <v>2</v>
      </c>
      <c r="W379" s="6" t="str">
        <f t="shared" si="113"/>
        <v>T015970 2</v>
      </c>
      <c r="X379" s="6" t="str">
        <f t="shared" si="114"/>
        <v>S55441</v>
      </c>
      <c r="Y379" s="6" t="str">
        <f t="shared" si="115"/>
        <v>T01</v>
      </c>
      <c r="Z379" s="6" t="str">
        <f t="shared" si="116"/>
        <v>970</v>
      </c>
      <c r="AA379" s="6">
        <f t="shared" si="121"/>
        <v>2</v>
      </c>
      <c r="AB379" s="6">
        <f t="shared" si="117"/>
        <v>4</v>
      </c>
      <c r="AC379" s="6"/>
      <c r="AD379" s="23"/>
    </row>
    <row r="380" spans="1:30" ht="30" x14ac:dyDescent="0.25">
      <c r="A380" s="2" t="s">
        <v>168</v>
      </c>
      <c r="B380" s="2" t="s">
        <v>1308</v>
      </c>
      <c r="C380" s="2" t="s">
        <v>1309</v>
      </c>
      <c r="D380" s="2" t="s">
        <v>33</v>
      </c>
      <c r="E380" s="2" t="s">
        <v>1310</v>
      </c>
      <c r="F380" s="2">
        <v>9</v>
      </c>
      <c r="G380" s="2" t="s">
        <v>35</v>
      </c>
      <c r="H380" s="2">
        <v>8</v>
      </c>
      <c r="I380" s="6">
        <f t="shared" si="118"/>
        <v>72</v>
      </c>
      <c r="J380" s="6">
        <f t="shared" si="122"/>
        <v>295.5</v>
      </c>
      <c r="K380" s="6">
        <f t="shared" si="123"/>
        <v>292</v>
      </c>
      <c r="L380" s="6">
        <f t="shared" si="119"/>
        <v>607.5</v>
      </c>
      <c r="M380" s="6">
        <f t="shared" si="124"/>
        <v>36</v>
      </c>
      <c r="N380" s="6" t="b">
        <f t="shared" si="105"/>
        <v>0</v>
      </c>
      <c r="O380" s="6" t="b">
        <f t="shared" si="120"/>
        <v>0</v>
      </c>
      <c r="P380" s="6" t="str">
        <f t="shared" si="106"/>
        <v>C008188-cans</v>
      </c>
      <c r="Q380" s="7" t="str">
        <f t="shared" si="107"/>
        <v>T023572
9</v>
      </c>
      <c r="R380" s="6" t="b">
        <f t="shared" si="108"/>
        <v>0</v>
      </c>
      <c r="S380" s="6" t="str">
        <f t="shared" si="109"/>
        <v>05</v>
      </c>
      <c r="T380" s="6" t="str">
        <f t="shared" si="110"/>
        <v>CANS</v>
      </c>
      <c r="U380" s="6" t="str">
        <f t="shared" si="111"/>
        <v>cans</v>
      </c>
      <c r="V380" s="6">
        <f t="shared" si="112"/>
        <v>2</v>
      </c>
      <c r="W380" s="6" t="str">
        <f t="shared" si="113"/>
        <v>T023572 9</v>
      </c>
      <c r="X380" s="6" t="str">
        <f t="shared" si="114"/>
        <v>S55182</v>
      </c>
      <c r="Y380" s="6" t="str">
        <f t="shared" si="115"/>
        <v>T02</v>
      </c>
      <c r="Z380" s="6" t="str">
        <f t="shared" si="116"/>
        <v>572</v>
      </c>
      <c r="AA380" s="6">
        <f t="shared" si="121"/>
        <v>2</v>
      </c>
      <c r="AB380" s="6">
        <f t="shared" si="117"/>
        <v>4</v>
      </c>
      <c r="AC380" s="6"/>
      <c r="AD380" s="23"/>
    </row>
    <row r="381" spans="1:30" ht="30" x14ac:dyDescent="0.25">
      <c r="A381" s="2" t="s">
        <v>66</v>
      </c>
      <c r="B381" s="2" t="s">
        <v>1311</v>
      </c>
      <c r="C381" s="2" t="s">
        <v>1312</v>
      </c>
      <c r="D381" s="2" t="s">
        <v>1313</v>
      </c>
      <c r="E381" s="2" t="s">
        <v>1314</v>
      </c>
      <c r="F381" s="2">
        <v>6</v>
      </c>
      <c r="G381" s="2" t="s">
        <v>269</v>
      </c>
      <c r="H381" s="2">
        <v>15</v>
      </c>
      <c r="I381" s="6">
        <f t="shared" si="118"/>
        <v>90</v>
      </c>
      <c r="J381" s="6">
        <f t="shared" si="122"/>
        <v>245</v>
      </c>
      <c r="K381" s="6">
        <f t="shared" si="123"/>
        <v>239</v>
      </c>
      <c r="L381" s="6">
        <f t="shared" si="119"/>
        <v>85</v>
      </c>
      <c r="M381" s="6">
        <f t="shared" si="124"/>
        <v>6</v>
      </c>
      <c r="N381" s="6" t="b">
        <f t="shared" si="105"/>
        <v>0</v>
      </c>
      <c r="O381" s="6" t="b">
        <f t="shared" si="120"/>
        <v>1</v>
      </c>
      <c r="P381" s="6" t="str">
        <f t="shared" si="106"/>
        <v>C004819-ct.</v>
      </c>
      <c r="Q381" s="7" t="str">
        <f t="shared" si="107"/>
        <v>T083826
6</v>
      </c>
      <c r="R381" s="6" t="b">
        <f t="shared" si="108"/>
        <v>0</v>
      </c>
      <c r="S381" s="6" t="str">
        <f t="shared" si="109"/>
        <v>21</v>
      </c>
      <c r="T381" s="6" t="str">
        <f t="shared" si="110"/>
        <v>CT.</v>
      </c>
      <c r="U381" s="6" t="str">
        <f t="shared" si="111"/>
        <v>ct.</v>
      </c>
      <c r="V381" s="6">
        <f t="shared" si="112"/>
        <v>2</v>
      </c>
      <c r="W381" s="6" t="str">
        <f t="shared" si="113"/>
        <v>T083826 6</v>
      </c>
      <c r="X381" s="6" t="str">
        <f t="shared" si="114"/>
        <v>S55491</v>
      </c>
      <c r="Y381" s="6" t="str">
        <f t="shared" si="115"/>
        <v>T08</v>
      </c>
      <c r="Z381" s="6" t="str">
        <f t="shared" si="116"/>
        <v>826</v>
      </c>
      <c r="AA381" s="6">
        <f t="shared" si="121"/>
        <v>2</v>
      </c>
      <c r="AB381" s="6">
        <f t="shared" si="117"/>
        <v>3</v>
      </c>
      <c r="AC381" s="6"/>
      <c r="AD381" s="23"/>
    </row>
    <row r="382" spans="1:30" ht="30" x14ac:dyDescent="0.25">
      <c r="A382" s="2" t="s">
        <v>523</v>
      </c>
      <c r="B382" s="2" t="s">
        <v>1315</v>
      </c>
      <c r="C382" s="2" t="s">
        <v>1316</v>
      </c>
      <c r="D382" s="2" t="s">
        <v>517</v>
      </c>
      <c r="E382" s="2" t="s">
        <v>480</v>
      </c>
      <c r="F382" s="2">
        <v>3</v>
      </c>
      <c r="G382" s="2" t="s">
        <v>13</v>
      </c>
      <c r="H382" s="2">
        <v>20</v>
      </c>
      <c r="I382" s="6">
        <f t="shared" si="118"/>
        <v>60</v>
      </c>
      <c r="J382" s="6">
        <f t="shared" si="122"/>
        <v>344.5</v>
      </c>
      <c r="K382" s="6">
        <f t="shared" si="123"/>
        <v>337</v>
      </c>
      <c r="L382" s="6">
        <f t="shared" si="119"/>
        <v>865.5</v>
      </c>
      <c r="M382" s="6">
        <f t="shared" si="124"/>
        <v>46</v>
      </c>
      <c r="N382" s="6" t="b">
        <f t="shared" si="105"/>
        <v>0</v>
      </c>
      <c r="O382" s="6" t="b">
        <f t="shared" si="120"/>
        <v>1</v>
      </c>
      <c r="P382" s="6" t="str">
        <f t="shared" si="106"/>
        <v>C008266-ct</v>
      </c>
      <c r="Q382" s="7" t="str">
        <f t="shared" si="107"/>
        <v>T042534
3</v>
      </c>
      <c r="R382" s="6" t="b">
        <f t="shared" si="108"/>
        <v>0</v>
      </c>
      <c r="S382" s="6" t="str">
        <f t="shared" si="109"/>
        <v>14</v>
      </c>
      <c r="T382" s="6" t="str">
        <f t="shared" si="110"/>
        <v>CT</v>
      </c>
      <c r="U382" s="6" t="str">
        <f t="shared" si="111"/>
        <v>ct</v>
      </c>
      <c r="V382" s="6">
        <f t="shared" si="112"/>
        <v>2</v>
      </c>
      <c r="W382" s="6" t="str">
        <f t="shared" si="113"/>
        <v>T042534 3</v>
      </c>
      <c r="X382" s="6" t="str">
        <f t="shared" si="114"/>
        <v>S55245</v>
      </c>
      <c r="Y382" s="6" t="str">
        <f t="shared" si="115"/>
        <v>T04</v>
      </c>
      <c r="Z382" s="6" t="str">
        <f t="shared" si="116"/>
        <v>534</v>
      </c>
      <c r="AA382" s="6">
        <f t="shared" si="121"/>
        <v>2</v>
      </c>
      <c r="AB382" s="6">
        <f t="shared" si="117"/>
        <v>2</v>
      </c>
      <c r="AC382" s="6"/>
      <c r="AD382" s="23"/>
    </row>
    <row r="383" spans="1:30" ht="30" x14ac:dyDescent="0.25">
      <c r="A383" s="2" t="s">
        <v>30</v>
      </c>
      <c r="B383" s="2" t="s">
        <v>1317</v>
      </c>
      <c r="C383" s="2" t="s">
        <v>1318</v>
      </c>
      <c r="D383" s="2" t="s">
        <v>530</v>
      </c>
      <c r="E383" s="2" t="s">
        <v>1319</v>
      </c>
      <c r="F383" s="2">
        <v>5</v>
      </c>
      <c r="G383" s="2" t="s">
        <v>60</v>
      </c>
      <c r="H383" s="2">
        <v>22</v>
      </c>
      <c r="I383" s="6">
        <f t="shared" si="118"/>
        <v>110</v>
      </c>
      <c r="J383" s="6">
        <f t="shared" si="122"/>
        <v>194</v>
      </c>
      <c r="K383" s="6">
        <f t="shared" si="123"/>
        <v>192</v>
      </c>
      <c r="L383" s="6">
        <f t="shared" si="119"/>
        <v>273.5</v>
      </c>
      <c r="M383" s="6">
        <f t="shared" si="124"/>
        <v>16</v>
      </c>
      <c r="N383" s="6" t="b">
        <f t="shared" si="105"/>
        <v>1</v>
      </c>
      <c r="O383" s="6" t="b">
        <f t="shared" si="120"/>
        <v>1</v>
      </c>
      <c r="P383" s="6" t="str">
        <f t="shared" si="106"/>
        <v>C000181-bottles</v>
      </c>
      <c r="Q383" s="7" t="str">
        <f t="shared" si="107"/>
        <v>T083454
5</v>
      </c>
      <c r="R383" s="6" t="b">
        <f t="shared" si="108"/>
        <v>0</v>
      </c>
      <c r="S383" s="6" t="str">
        <f t="shared" si="109"/>
        <v>06</v>
      </c>
      <c r="T383" s="6" t="str">
        <f t="shared" si="110"/>
        <v>BOTTLES</v>
      </c>
      <c r="U383" s="6" t="str">
        <f t="shared" si="111"/>
        <v>bottles</v>
      </c>
      <c r="V383" s="6">
        <f t="shared" si="112"/>
        <v>2</v>
      </c>
      <c r="W383" s="6" t="str">
        <f t="shared" si="113"/>
        <v>T083454 5</v>
      </c>
      <c r="X383" s="6" t="str">
        <f t="shared" si="114"/>
        <v>S55149</v>
      </c>
      <c r="Y383" s="6" t="str">
        <f t="shared" si="115"/>
        <v>T08</v>
      </c>
      <c r="Z383" s="6" t="str">
        <f t="shared" si="116"/>
        <v>454</v>
      </c>
      <c r="AA383" s="6">
        <f t="shared" si="121"/>
        <v>2</v>
      </c>
      <c r="AB383" s="6">
        <f t="shared" si="117"/>
        <v>7</v>
      </c>
      <c r="AC383" s="6"/>
      <c r="AD383" s="23"/>
    </row>
    <row r="384" spans="1:30" ht="30" x14ac:dyDescent="0.25">
      <c r="A384" s="2" t="s">
        <v>519</v>
      </c>
      <c r="B384" s="2" t="s">
        <v>1320</v>
      </c>
      <c r="C384" s="2" t="s">
        <v>1321</v>
      </c>
      <c r="D384" s="2" t="s">
        <v>855</v>
      </c>
      <c r="E384" s="2" t="s">
        <v>1064</v>
      </c>
      <c r="F384" s="2">
        <v>6</v>
      </c>
      <c r="G384" s="2" t="s">
        <v>167</v>
      </c>
      <c r="H384" s="2">
        <v>22.5</v>
      </c>
      <c r="I384" s="6">
        <f t="shared" si="118"/>
        <v>135</v>
      </c>
      <c r="J384" s="6">
        <f t="shared" si="122"/>
        <v>134.5</v>
      </c>
      <c r="K384" s="6">
        <f t="shared" si="123"/>
        <v>133</v>
      </c>
      <c r="L384" s="6">
        <f t="shared" si="119"/>
        <v>112.5</v>
      </c>
      <c r="M384" s="6">
        <f t="shared" si="124"/>
        <v>7</v>
      </c>
      <c r="N384" s="6" t="b">
        <f t="shared" si="105"/>
        <v>1</v>
      </c>
      <c r="O384" s="6" t="b">
        <f t="shared" si="120"/>
        <v>1</v>
      </c>
      <c r="P384" s="6" t="str">
        <f t="shared" si="106"/>
        <v>C005720-oz</v>
      </c>
      <c r="Q384" s="7" t="str">
        <f t="shared" si="107"/>
        <v>T038678
6</v>
      </c>
      <c r="R384" s="6" t="b">
        <f t="shared" si="108"/>
        <v>0</v>
      </c>
      <c r="S384" s="6" t="str">
        <f t="shared" si="109"/>
        <v>11</v>
      </c>
      <c r="T384" s="6" t="str">
        <f t="shared" si="110"/>
        <v>OZ</v>
      </c>
      <c r="U384" s="6" t="str">
        <f t="shared" si="111"/>
        <v>oz</v>
      </c>
      <c r="V384" s="6">
        <f t="shared" si="112"/>
        <v>2</v>
      </c>
      <c r="W384" s="6" t="str">
        <f t="shared" si="113"/>
        <v>T038678 6</v>
      </c>
      <c r="X384" s="6" t="str">
        <f t="shared" si="114"/>
        <v>S55365</v>
      </c>
      <c r="Y384" s="6" t="str">
        <f t="shared" si="115"/>
        <v>T03</v>
      </c>
      <c r="Z384" s="6" t="str">
        <f t="shared" si="116"/>
        <v>678</v>
      </c>
      <c r="AA384" s="6">
        <f t="shared" si="121"/>
        <v>2</v>
      </c>
      <c r="AB384" s="6">
        <f t="shared" si="117"/>
        <v>2</v>
      </c>
      <c r="AC384" s="6"/>
      <c r="AD384" s="23"/>
    </row>
    <row r="385" spans="1:30" ht="30" x14ac:dyDescent="0.25">
      <c r="A385" s="2" t="s">
        <v>218</v>
      </c>
      <c r="B385" s="2" t="s">
        <v>1322</v>
      </c>
      <c r="C385" s="2" t="s">
        <v>1323</v>
      </c>
      <c r="D385" s="2" t="s">
        <v>1324</v>
      </c>
      <c r="E385" s="2" t="s">
        <v>1325</v>
      </c>
      <c r="F385" s="2">
        <v>6</v>
      </c>
      <c r="G385" s="2" t="s">
        <v>1326</v>
      </c>
      <c r="H385" s="2">
        <v>10</v>
      </c>
      <c r="I385" s="6">
        <f t="shared" si="118"/>
        <v>60</v>
      </c>
      <c r="J385" s="6">
        <f t="shared" si="122"/>
        <v>344.5</v>
      </c>
      <c r="K385" s="6">
        <f t="shared" si="123"/>
        <v>337</v>
      </c>
      <c r="L385" s="6">
        <f t="shared" si="119"/>
        <v>10</v>
      </c>
      <c r="M385" s="6">
        <f t="shared" si="124"/>
        <v>1</v>
      </c>
      <c r="N385" s="6" t="b">
        <f t="shared" si="105"/>
        <v>0</v>
      </c>
      <c r="O385" s="6" t="b">
        <f t="shared" si="120"/>
        <v>0</v>
      </c>
      <c r="P385" s="6" t="str">
        <f t="shared" si="106"/>
        <v>C006639-oz.</v>
      </c>
      <c r="Q385" s="7" t="str">
        <f t="shared" si="107"/>
        <v>T053791
6</v>
      </c>
      <c r="R385" s="6" t="b">
        <f t="shared" si="108"/>
        <v>0</v>
      </c>
      <c r="S385" s="6" t="str">
        <f t="shared" si="109"/>
        <v>10</v>
      </c>
      <c r="T385" s="6" t="str">
        <f t="shared" si="110"/>
        <v>OZ.</v>
      </c>
      <c r="U385" s="6" t="str">
        <f t="shared" si="111"/>
        <v>oz.</v>
      </c>
      <c r="V385" s="6">
        <f t="shared" si="112"/>
        <v>2</v>
      </c>
      <c r="W385" s="6" t="str">
        <f t="shared" si="113"/>
        <v>T053791 6</v>
      </c>
      <c r="X385" s="6" t="str">
        <f t="shared" si="114"/>
        <v>S55726</v>
      </c>
      <c r="Y385" s="6" t="str">
        <f t="shared" si="115"/>
        <v>T05</v>
      </c>
      <c r="Z385" s="6" t="str">
        <f t="shared" si="116"/>
        <v>791</v>
      </c>
      <c r="AA385" s="6">
        <f t="shared" si="121"/>
        <v>2</v>
      </c>
      <c r="AB385" s="6">
        <f t="shared" si="117"/>
        <v>3</v>
      </c>
      <c r="AC385" s="6"/>
      <c r="AD385" s="23"/>
    </row>
    <row r="386" spans="1:30" ht="30" x14ac:dyDescent="0.25">
      <c r="A386" s="2" t="s">
        <v>523</v>
      </c>
      <c r="B386" s="2" t="s">
        <v>1327</v>
      </c>
      <c r="C386" s="2" t="s">
        <v>1328</v>
      </c>
      <c r="D386" s="2" t="s">
        <v>757</v>
      </c>
      <c r="E386" s="2" t="s">
        <v>1329</v>
      </c>
      <c r="F386" s="2">
        <v>11</v>
      </c>
      <c r="G386" s="2" t="s">
        <v>13</v>
      </c>
      <c r="H386" s="2">
        <v>19.5</v>
      </c>
      <c r="I386" s="6">
        <f t="shared" si="118"/>
        <v>214.5</v>
      </c>
      <c r="J386" s="6">
        <f t="shared" si="122"/>
        <v>40.5</v>
      </c>
      <c r="K386" s="6">
        <f t="shared" si="123"/>
        <v>40</v>
      </c>
      <c r="L386" s="6">
        <f t="shared" si="119"/>
        <v>845.5</v>
      </c>
      <c r="M386" s="6">
        <f t="shared" si="124"/>
        <v>45</v>
      </c>
      <c r="N386" s="6" t="b">
        <f t="shared" si="105"/>
        <v>0</v>
      </c>
      <c r="O386" s="6" t="b">
        <f t="shared" si="120"/>
        <v>1</v>
      </c>
      <c r="P386" s="6" t="str">
        <f t="shared" si="106"/>
        <v>C002044-ct</v>
      </c>
      <c r="Q386" s="7" t="str">
        <f t="shared" si="107"/>
        <v>T016705
11</v>
      </c>
      <c r="R386" s="6" t="b">
        <f t="shared" si="108"/>
        <v>0</v>
      </c>
      <c r="S386" s="6" t="str">
        <f t="shared" si="109"/>
        <v>13</v>
      </c>
      <c r="T386" s="6" t="str">
        <f t="shared" si="110"/>
        <v>CT</v>
      </c>
      <c r="U386" s="6" t="str">
        <f t="shared" si="111"/>
        <v>ct</v>
      </c>
      <c r="V386" s="6">
        <f t="shared" si="112"/>
        <v>2</v>
      </c>
      <c r="W386" s="6" t="str">
        <f t="shared" si="113"/>
        <v>T016705 11</v>
      </c>
      <c r="X386" s="6" t="str">
        <f t="shared" si="114"/>
        <v>S55391</v>
      </c>
      <c r="Y386" s="6" t="str">
        <f t="shared" si="115"/>
        <v>T01</v>
      </c>
      <c r="Z386" s="6" t="str">
        <f t="shared" si="116"/>
        <v>705</v>
      </c>
      <c r="AA386" s="6">
        <f t="shared" si="121"/>
        <v>2</v>
      </c>
      <c r="AB386" s="6">
        <f t="shared" si="117"/>
        <v>2</v>
      </c>
      <c r="AC386" s="6"/>
      <c r="AD386" s="23"/>
    </row>
    <row r="387" spans="1:30" ht="30" x14ac:dyDescent="0.25">
      <c r="A387" s="2" t="s">
        <v>116</v>
      </c>
      <c r="B387" s="2" t="s">
        <v>1330</v>
      </c>
      <c r="C387" s="2" t="s">
        <v>1331</v>
      </c>
      <c r="D387" s="2" t="s">
        <v>1332</v>
      </c>
      <c r="E387" s="2" t="s">
        <v>295</v>
      </c>
      <c r="F387" s="2">
        <v>1</v>
      </c>
      <c r="G387" s="2" t="s">
        <v>13</v>
      </c>
      <c r="H387" s="2">
        <v>15</v>
      </c>
      <c r="I387" s="6">
        <f t="shared" si="118"/>
        <v>15</v>
      </c>
      <c r="J387" s="6">
        <f t="shared" si="122"/>
        <v>476.5</v>
      </c>
      <c r="K387" s="6">
        <f t="shared" si="123"/>
        <v>473</v>
      </c>
      <c r="L387" s="6">
        <f t="shared" si="119"/>
        <v>826</v>
      </c>
      <c r="M387" s="6">
        <f t="shared" si="124"/>
        <v>44</v>
      </c>
      <c r="N387" s="6" t="b">
        <f t="shared" si="105"/>
        <v>0</v>
      </c>
      <c r="O387" s="6" t="b">
        <f t="shared" si="120"/>
        <v>1</v>
      </c>
      <c r="P387" s="6" t="str">
        <f t="shared" si="106"/>
        <v>C007497-ct</v>
      </c>
      <c r="Q387" s="7" t="str">
        <f t="shared" si="107"/>
        <v>T039613
1</v>
      </c>
      <c r="R387" s="6" t="b">
        <f t="shared" si="108"/>
        <v>0</v>
      </c>
      <c r="S387" s="6" t="str">
        <f t="shared" si="109"/>
        <v>20</v>
      </c>
      <c r="T387" s="6" t="str">
        <f t="shared" si="110"/>
        <v>CT</v>
      </c>
      <c r="U387" s="6" t="str">
        <f t="shared" si="111"/>
        <v>ct</v>
      </c>
      <c r="V387" s="6">
        <f t="shared" si="112"/>
        <v>2</v>
      </c>
      <c r="W387" s="6" t="str">
        <f t="shared" si="113"/>
        <v>T039613 1</v>
      </c>
      <c r="X387" s="6" t="str">
        <f t="shared" si="114"/>
        <v>S55139</v>
      </c>
      <c r="Y387" s="6" t="str">
        <f t="shared" si="115"/>
        <v>T03</v>
      </c>
      <c r="Z387" s="6" t="str">
        <f t="shared" si="116"/>
        <v>613</v>
      </c>
      <c r="AA387" s="6">
        <f t="shared" si="121"/>
        <v>2</v>
      </c>
      <c r="AB387" s="6">
        <f t="shared" si="117"/>
        <v>2</v>
      </c>
      <c r="AC387" s="6"/>
      <c r="AD387" s="23"/>
    </row>
    <row r="388" spans="1:30" ht="30" x14ac:dyDescent="0.25">
      <c r="A388" s="2" t="s">
        <v>359</v>
      </c>
      <c r="B388" s="2" t="s">
        <v>1333</v>
      </c>
      <c r="C388" s="2" t="s">
        <v>1334</v>
      </c>
      <c r="D388" s="2" t="s">
        <v>510</v>
      </c>
      <c r="E388" s="2" t="s">
        <v>1335</v>
      </c>
      <c r="F388" s="2">
        <v>11</v>
      </c>
      <c r="G388" s="2" t="s">
        <v>167</v>
      </c>
      <c r="H388" s="2">
        <v>10</v>
      </c>
      <c r="I388" s="6">
        <f t="shared" si="118"/>
        <v>110</v>
      </c>
      <c r="J388" s="6">
        <f t="shared" si="122"/>
        <v>194</v>
      </c>
      <c r="K388" s="6">
        <f t="shared" si="123"/>
        <v>192</v>
      </c>
      <c r="L388" s="6">
        <f t="shared" si="119"/>
        <v>90</v>
      </c>
      <c r="M388" s="6">
        <f t="shared" si="124"/>
        <v>6</v>
      </c>
      <c r="N388" s="6" t="b">
        <f t="shared" si="105"/>
        <v>0</v>
      </c>
      <c r="O388" s="6" t="b">
        <f t="shared" si="120"/>
        <v>0</v>
      </c>
      <c r="P388" s="6" t="str">
        <f t="shared" si="106"/>
        <v>C005866-oz</v>
      </c>
      <c r="Q388" s="7" t="str">
        <f t="shared" si="107"/>
        <v>T076443
11</v>
      </c>
      <c r="R388" s="6" t="b">
        <f t="shared" si="108"/>
        <v>0</v>
      </c>
      <c r="S388" s="6" t="str">
        <f t="shared" si="109"/>
        <v>09</v>
      </c>
      <c r="T388" s="6" t="str">
        <f t="shared" si="110"/>
        <v>OZ</v>
      </c>
      <c r="U388" s="6" t="str">
        <f t="shared" si="111"/>
        <v>oz</v>
      </c>
      <c r="V388" s="6">
        <f t="shared" si="112"/>
        <v>2</v>
      </c>
      <c r="W388" s="6" t="str">
        <f t="shared" si="113"/>
        <v>T076443 11</v>
      </c>
      <c r="X388" s="6" t="str">
        <f t="shared" si="114"/>
        <v>S55212</v>
      </c>
      <c r="Y388" s="6" t="str">
        <f t="shared" si="115"/>
        <v>T07</v>
      </c>
      <c r="Z388" s="6" t="str">
        <f t="shared" si="116"/>
        <v>443</v>
      </c>
      <c r="AA388" s="6">
        <f t="shared" si="121"/>
        <v>2</v>
      </c>
      <c r="AB388" s="6">
        <f t="shared" si="117"/>
        <v>2</v>
      </c>
      <c r="AC388" s="6"/>
      <c r="AD388" s="23"/>
    </row>
    <row r="389" spans="1:30" ht="30" x14ac:dyDescent="0.25">
      <c r="A389" s="2" t="s">
        <v>55</v>
      </c>
      <c r="B389" s="2" t="s">
        <v>1336</v>
      </c>
      <c r="C389" s="2" t="s">
        <v>1337</v>
      </c>
      <c r="D389" s="2" t="s">
        <v>237</v>
      </c>
      <c r="E389" s="2" t="s">
        <v>527</v>
      </c>
      <c r="F389" s="2">
        <v>11</v>
      </c>
      <c r="G389" s="2" t="s">
        <v>239</v>
      </c>
      <c r="H389" s="2">
        <v>15</v>
      </c>
      <c r="I389" s="6">
        <f t="shared" si="118"/>
        <v>165</v>
      </c>
      <c r="J389" s="6">
        <f t="shared" si="122"/>
        <v>79.5</v>
      </c>
      <c r="K389" s="6">
        <f t="shared" si="123"/>
        <v>77</v>
      </c>
      <c r="L389" s="6">
        <f t="shared" si="119"/>
        <v>45</v>
      </c>
      <c r="M389" s="6">
        <f t="shared" si="124"/>
        <v>3</v>
      </c>
      <c r="N389" s="6" t="b">
        <f t="shared" ref="N389:N453" si="125">AND(H389&gt;20,H389&lt;70)</f>
        <v>0</v>
      </c>
      <c r="O389" s="6" t="b">
        <f t="shared" si="120"/>
        <v>1</v>
      </c>
      <c r="P389" s="6" t="str">
        <f t="shared" ref="P389:P454" si="126">_xlfn.CONCAT(B389,"-",G389)</f>
        <v>C006396-lb</v>
      </c>
      <c r="Q389" s="7" t="str">
        <f t="shared" ref="Q389:Q453" si="127">_xlfn.CONCAT(C389,CHAR(10),F389)</f>
        <v>T066666
11</v>
      </c>
      <c r="R389" s="6" t="b">
        <f t="shared" ref="R389:R453" si="128">EXACT(D389,E389)</f>
        <v>0</v>
      </c>
      <c r="S389" s="6" t="str">
        <f t="shared" ref="S389:S453" si="129">MID(D389,4,2)</f>
        <v>22</v>
      </c>
      <c r="T389" s="6" t="str">
        <f t="shared" ref="T389:T453" si="130">UPPER(G389)</f>
        <v>LB</v>
      </c>
      <c r="U389" s="6" t="str">
        <f t="shared" ref="U389:U453" si="131">LOWER(G389)</f>
        <v>lb</v>
      </c>
      <c r="V389" s="6">
        <f t="shared" ref="V389:V453" si="132">SEARCH("0",E389)</f>
        <v>2</v>
      </c>
      <c r="W389" s="6" t="str">
        <f t="shared" ref="W389:W453" si="133">_xlfn.TEXTJOIN(" ",TRUE,C389,F389)</f>
        <v>T066666 11</v>
      </c>
      <c r="X389" s="6" t="str">
        <f t="shared" ref="X389:X453" si="134">SUBSTITUTE(E389,"0","5")</f>
        <v>S55282</v>
      </c>
      <c r="Y389" s="6" t="str">
        <f t="shared" ref="Y389:Y453" si="135">LEFT(C389,3)</f>
        <v>T06</v>
      </c>
      <c r="Z389" s="6" t="str">
        <f t="shared" ref="Z389:Z453" si="136">RIGHT(C389,3)</f>
        <v>666</v>
      </c>
      <c r="AA389" s="6">
        <f t="shared" si="121"/>
        <v>2</v>
      </c>
      <c r="AB389" s="6">
        <f t="shared" ref="AB389:AB453" si="137">LEN(G389)</f>
        <v>2</v>
      </c>
      <c r="AC389" s="6"/>
      <c r="AD389" s="23"/>
    </row>
    <row r="390" spans="1:30" ht="30" x14ac:dyDescent="0.25">
      <c r="A390" s="2" t="s">
        <v>168</v>
      </c>
      <c r="B390" s="2" t="s">
        <v>1338</v>
      </c>
      <c r="C390" s="2" t="s">
        <v>1339</v>
      </c>
      <c r="D390" s="2" t="s">
        <v>1340</v>
      </c>
      <c r="E390" s="2" t="s">
        <v>18</v>
      </c>
      <c r="F390" s="2">
        <v>8</v>
      </c>
      <c r="G390" s="2" t="s">
        <v>13</v>
      </c>
      <c r="H390" s="2">
        <v>18</v>
      </c>
      <c r="I390" s="6">
        <f t="shared" ref="I390:I453" si="138">$F390*H390</f>
        <v>144</v>
      </c>
      <c r="J390" s="6">
        <f t="shared" si="122"/>
        <v>118</v>
      </c>
      <c r="K390" s="6">
        <f t="shared" si="123"/>
        <v>115</v>
      </c>
      <c r="L390" s="6">
        <f t="shared" ref="L390:L453" si="139">SUMIF(G390:G802,G390,H390:H885)</f>
        <v>811</v>
      </c>
      <c r="M390" s="6">
        <f t="shared" si="124"/>
        <v>43</v>
      </c>
      <c r="N390" s="6" t="b">
        <f t="shared" si="125"/>
        <v>0</v>
      </c>
      <c r="O390" s="6" t="b">
        <f t="shared" si="120"/>
        <v>1</v>
      </c>
      <c r="P390" s="6" t="str">
        <f t="shared" si="126"/>
        <v>C006382-ct</v>
      </c>
      <c r="Q390" s="7" t="str">
        <f t="shared" si="127"/>
        <v>T079292
8</v>
      </c>
      <c r="R390" s="6" t="b">
        <f t="shared" si="128"/>
        <v>0</v>
      </c>
      <c r="S390" s="6" t="str">
        <f t="shared" si="129"/>
        <v>20</v>
      </c>
      <c r="T390" s="6" t="str">
        <f t="shared" si="130"/>
        <v>CT</v>
      </c>
      <c r="U390" s="6" t="str">
        <f t="shared" si="131"/>
        <v>ct</v>
      </c>
      <c r="V390" s="6">
        <f t="shared" si="132"/>
        <v>2</v>
      </c>
      <c r="W390" s="6" t="str">
        <f t="shared" si="133"/>
        <v>T079292 8</v>
      </c>
      <c r="X390" s="6" t="str">
        <f t="shared" si="134"/>
        <v>S55595</v>
      </c>
      <c r="Y390" s="6" t="str">
        <f t="shared" si="135"/>
        <v>T07</v>
      </c>
      <c r="Z390" s="6" t="str">
        <f t="shared" si="136"/>
        <v>292</v>
      </c>
      <c r="AA390" s="6">
        <f t="shared" si="121"/>
        <v>2</v>
      </c>
      <c r="AB390" s="6">
        <f t="shared" si="137"/>
        <v>2</v>
      </c>
      <c r="AC390" s="6"/>
      <c r="AD390" s="23"/>
    </row>
    <row r="391" spans="1:30" ht="30" x14ac:dyDescent="0.25">
      <c r="A391" s="2" t="s">
        <v>218</v>
      </c>
      <c r="B391" s="2" t="s">
        <v>1341</v>
      </c>
      <c r="C391" s="2" t="s">
        <v>1342</v>
      </c>
      <c r="D391" s="2" t="s">
        <v>574</v>
      </c>
      <c r="E391" s="2" t="s">
        <v>1343</v>
      </c>
      <c r="F391" s="2">
        <v>5</v>
      </c>
      <c r="G391" s="2" t="s">
        <v>402</v>
      </c>
      <c r="H391" s="2">
        <v>20</v>
      </c>
      <c r="I391" s="6">
        <f t="shared" si="138"/>
        <v>100</v>
      </c>
      <c r="J391" s="6">
        <f t="shared" si="122"/>
        <v>214.5</v>
      </c>
      <c r="K391" s="6">
        <f t="shared" si="123"/>
        <v>212</v>
      </c>
      <c r="L391" s="6">
        <f t="shared" si="139"/>
        <v>36</v>
      </c>
      <c r="M391" s="6">
        <f t="shared" si="124"/>
        <v>2</v>
      </c>
      <c r="N391" s="6" t="b">
        <f t="shared" si="125"/>
        <v>0</v>
      </c>
      <c r="O391" s="6" t="b">
        <f t="shared" ref="O391:O455" si="140">OR(H391&gt;10,I391&lt;60)</f>
        <v>1</v>
      </c>
      <c r="P391" s="6" t="str">
        <f t="shared" si="126"/>
        <v>C005939-pack</v>
      </c>
      <c r="Q391" s="7" t="str">
        <f t="shared" si="127"/>
        <v>T045801
5</v>
      </c>
      <c r="R391" s="6" t="b">
        <f t="shared" si="128"/>
        <v>0</v>
      </c>
      <c r="S391" s="6" t="str">
        <f t="shared" si="129"/>
        <v>25</v>
      </c>
      <c r="T391" s="6" t="str">
        <f t="shared" si="130"/>
        <v>PACK</v>
      </c>
      <c r="U391" s="6" t="str">
        <f t="shared" si="131"/>
        <v>pack</v>
      </c>
      <c r="V391" s="6">
        <f t="shared" si="132"/>
        <v>2</v>
      </c>
      <c r="W391" s="6" t="str">
        <f t="shared" si="133"/>
        <v>T045801 5</v>
      </c>
      <c r="X391" s="6" t="str">
        <f t="shared" si="134"/>
        <v>S55117</v>
      </c>
      <c r="Y391" s="6" t="str">
        <f t="shared" si="135"/>
        <v>T04</v>
      </c>
      <c r="Z391" s="6" t="str">
        <f t="shared" si="136"/>
        <v>801</v>
      </c>
      <c r="AA391" s="6">
        <f t="shared" si="121"/>
        <v>2</v>
      </c>
      <c r="AB391" s="6">
        <f t="shared" si="137"/>
        <v>4</v>
      </c>
      <c r="AC391" s="6"/>
      <c r="AD391" s="23"/>
    </row>
    <row r="392" spans="1:30" ht="30" x14ac:dyDescent="0.25">
      <c r="A392" s="2" t="s">
        <v>14</v>
      </c>
      <c r="B392" s="2" t="s">
        <v>1344</v>
      </c>
      <c r="C392" s="2" t="s">
        <v>1345</v>
      </c>
      <c r="D392" s="2" t="s">
        <v>537</v>
      </c>
      <c r="E392" s="2" t="s">
        <v>1346</v>
      </c>
      <c r="F392" s="2">
        <v>1</v>
      </c>
      <c r="G392" s="2" t="s">
        <v>60</v>
      </c>
      <c r="H392" s="2">
        <v>10</v>
      </c>
      <c r="I392" s="6">
        <f t="shared" si="138"/>
        <v>10</v>
      </c>
      <c r="J392" s="6">
        <f t="shared" si="122"/>
        <v>490.5</v>
      </c>
      <c r="K392" s="6">
        <f t="shared" si="123"/>
        <v>490</v>
      </c>
      <c r="L392" s="6">
        <f t="shared" si="139"/>
        <v>251.5</v>
      </c>
      <c r="M392" s="6">
        <f t="shared" si="124"/>
        <v>15</v>
      </c>
      <c r="N392" s="6" t="b">
        <f t="shared" si="125"/>
        <v>0</v>
      </c>
      <c r="O392" s="6" t="b">
        <f t="shared" si="140"/>
        <v>1</v>
      </c>
      <c r="P392" s="6" t="str">
        <f t="shared" si="126"/>
        <v>C002336-bottles</v>
      </c>
      <c r="Q392" s="7" t="str">
        <f t="shared" si="127"/>
        <v>T074754
1</v>
      </c>
      <c r="R392" s="6" t="b">
        <f t="shared" si="128"/>
        <v>0</v>
      </c>
      <c r="S392" s="6" t="str">
        <f t="shared" si="129"/>
        <v>09</v>
      </c>
      <c r="T392" s="6" t="str">
        <f t="shared" si="130"/>
        <v>BOTTLES</v>
      </c>
      <c r="U392" s="6" t="str">
        <f t="shared" si="131"/>
        <v>bottles</v>
      </c>
      <c r="V392" s="6">
        <f t="shared" si="132"/>
        <v>2</v>
      </c>
      <c r="W392" s="6" t="str">
        <f t="shared" si="133"/>
        <v>T074754 1</v>
      </c>
      <c r="X392" s="6" t="str">
        <f t="shared" si="134"/>
        <v>S55316</v>
      </c>
      <c r="Y392" s="6" t="str">
        <f t="shared" si="135"/>
        <v>T07</v>
      </c>
      <c r="Z392" s="6" t="str">
        <f t="shared" si="136"/>
        <v>754</v>
      </c>
      <c r="AA392" s="6">
        <f t="shared" ref="AA392:AA453" si="141">FIND("0",A392)</f>
        <v>2</v>
      </c>
      <c r="AB392" s="6">
        <f t="shared" si="137"/>
        <v>7</v>
      </c>
      <c r="AC392" s="6"/>
      <c r="AD392" s="23"/>
    </row>
    <row r="393" spans="1:30" ht="30" x14ac:dyDescent="0.25">
      <c r="A393" s="2" t="s">
        <v>519</v>
      </c>
      <c r="B393" s="2" t="s">
        <v>1347</v>
      </c>
      <c r="C393" s="2" t="s">
        <v>1348</v>
      </c>
      <c r="D393" s="2" t="s">
        <v>1268</v>
      </c>
      <c r="E393" s="2" t="s">
        <v>1200</v>
      </c>
      <c r="F393" s="2">
        <v>7</v>
      </c>
      <c r="G393" s="2" t="s">
        <v>167</v>
      </c>
      <c r="H393" s="2">
        <v>11</v>
      </c>
      <c r="I393" s="6">
        <f t="shared" si="138"/>
        <v>77</v>
      </c>
      <c r="J393" s="6">
        <f t="shared" si="122"/>
        <v>281</v>
      </c>
      <c r="K393" s="6">
        <f t="shared" si="123"/>
        <v>281</v>
      </c>
      <c r="L393" s="6">
        <f t="shared" si="139"/>
        <v>80</v>
      </c>
      <c r="M393" s="6">
        <f t="shared" si="124"/>
        <v>5</v>
      </c>
      <c r="N393" s="6" t="b">
        <f t="shared" si="125"/>
        <v>0</v>
      </c>
      <c r="O393" s="6" t="b">
        <f t="shared" si="140"/>
        <v>1</v>
      </c>
      <c r="P393" s="6" t="str">
        <f t="shared" si="126"/>
        <v>C000545-oz</v>
      </c>
      <c r="Q393" s="7" t="str">
        <f t="shared" si="127"/>
        <v>T044786
7</v>
      </c>
      <c r="R393" s="6" t="b">
        <f t="shared" si="128"/>
        <v>0</v>
      </c>
      <c r="S393" s="6" t="str">
        <f t="shared" si="129"/>
        <v>22</v>
      </c>
      <c r="T393" s="6" t="str">
        <f t="shared" si="130"/>
        <v>OZ</v>
      </c>
      <c r="U393" s="6" t="str">
        <f t="shared" si="131"/>
        <v>oz</v>
      </c>
      <c r="V393" s="6">
        <f t="shared" si="132"/>
        <v>2</v>
      </c>
      <c r="W393" s="6" t="str">
        <f t="shared" si="133"/>
        <v>T044786 7</v>
      </c>
      <c r="X393" s="6" t="str">
        <f t="shared" si="134"/>
        <v>S55351</v>
      </c>
      <c r="Y393" s="6" t="str">
        <f t="shared" si="135"/>
        <v>T04</v>
      </c>
      <c r="Z393" s="6" t="str">
        <f t="shared" si="136"/>
        <v>786</v>
      </c>
      <c r="AA393" s="6">
        <f t="shared" si="141"/>
        <v>2</v>
      </c>
      <c r="AB393" s="6">
        <f t="shared" si="137"/>
        <v>2</v>
      </c>
      <c r="AC393" s="6"/>
      <c r="AD393" s="23"/>
    </row>
    <row r="394" spans="1:30" ht="30" x14ac:dyDescent="0.25">
      <c r="A394" s="2" t="s">
        <v>209</v>
      </c>
      <c r="B394" s="2" t="s">
        <v>1349</v>
      </c>
      <c r="C394" s="2" t="s">
        <v>1350</v>
      </c>
      <c r="D394" s="2" t="s">
        <v>1351</v>
      </c>
      <c r="E394" s="2" t="s">
        <v>282</v>
      </c>
      <c r="F394" s="2">
        <v>5</v>
      </c>
      <c r="G394" s="2" t="s">
        <v>35</v>
      </c>
      <c r="H394" s="2">
        <v>6.75</v>
      </c>
      <c r="I394" s="6">
        <f t="shared" si="138"/>
        <v>33.75</v>
      </c>
      <c r="J394" s="6">
        <f t="shared" si="122"/>
        <v>426</v>
      </c>
      <c r="K394" s="6">
        <f t="shared" si="123"/>
        <v>424</v>
      </c>
      <c r="L394" s="6">
        <f t="shared" si="139"/>
        <v>599.5</v>
      </c>
      <c r="M394" s="6">
        <f t="shared" si="124"/>
        <v>35</v>
      </c>
      <c r="N394" s="6" t="b">
        <f t="shared" si="125"/>
        <v>0</v>
      </c>
      <c r="O394" s="6" t="b">
        <f t="shared" si="140"/>
        <v>1</v>
      </c>
      <c r="P394" s="6" t="str">
        <f t="shared" si="126"/>
        <v>C000540-cans</v>
      </c>
      <c r="Q394" s="7" t="str">
        <f t="shared" si="127"/>
        <v>T064584
5</v>
      </c>
      <c r="R394" s="6" t="b">
        <f t="shared" si="128"/>
        <v>0</v>
      </c>
      <c r="S394" s="6" t="str">
        <f t="shared" si="129"/>
        <v>02</v>
      </c>
      <c r="T394" s="6" t="str">
        <f t="shared" si="130"/>
        <v>CANS</v>
      </c>
      <c r="U394" s="6" t="str">
        <f t="shared" si="131"/>
        <v>cans</v>
      </c>
      <c r="V394" s="6">
        <f t="shared" si="132"/>
        <v>2</v>
      </c>
      <c r="W394" s="6" t="str">
        <f t="shared" si="133"/>
        <v>T064584 5</v>
      </c>
      <c r="X394" s="6" t="str">
        <f t="shared" si="134"/>
        <v>S55194</v>
      </c>
      <c r="Y394" s="6" t="str">
        <f t="shared" si="135"/>
        <v>T06</v>
      </c>
      <c r="Z394" s="6" t="str">
        <f t="shared" si="136"/>
        <v>584</v>
      </c>
      <c r="AA394" s="6">
        <f t="shared" si="141"/>
        <v>2</v>
      </c>
      <c r="AB394" s="6">
        <f t="shared" si="137"/>
        <v>4</v>
      </c>
      <c r="AC394" s="6"/>
      <c r="AD394" s="23"/>
    </row>
    <row r="395" spans="1:30" ht="30" x14ac:dyDescent="0.25">
      <c r="A395" s="2" t="s">
        <v>116</v>
      </c>
      <c r="B395" s="2" t="s">
        <v>1352</v>
      </c>
      <c r="C395" s="2" t="s">
        <v>1353</v>
      </c>
      <c r="D395" s="2" t="s">
        <v>171</v>
      </c>
      <c r="E395" s="2" t="s">
        <v>1354</v>
      </c>
      <c r="F395" s="2">
        <v>8</v>
      </c>
      <c r="G395" s="2" t="s">
        <v>35</v>
      </c>
      <c r="H395" s="2">
        <v>6.75</v>
      </c>
      <c r="I395" s="6">
        <f t="shared" si="138"/>
        <v>54</v>
      </c>
      <c r="J395" s="6">
        <f t="shared" si="122"/>
        <v>366.5</v>
      </c>
      <c r="K395" s="6">
        <f t="shared" si="123"/>
        <v>365</v>
      </c>
      <c r="L395" s="6">
        <f t="shared" si="139"/>
        <v>592.75</v>
      </c>
      <c r="M395" s="6">
        <f t="shared" si="124"/>
        <v>34</v>
      </c>
      <c r="N395" s="6" t="b">
        <f t="shared" si="125"/>
        <v>0</v>
      </c>
      <c r="O395" s="6" t="b">
        <f t="shared" si="140"/>
        <v>1</v>
      </c>
      <c r="P395" s="6" t="str">
        <f t="shared" si="126"/>
        <v>C004909-cans</v>
      </c>
      <c r="Q395" s="7" t="str">
        <f t="shared" si="127"/>
        <v>T046743
8</v>
      </c>
      <c r="R395" s="6" t="b">
        <f t="shared" si="128"/>
        <v>0</v>
      </c>
      <c r="S395" s="6" t="str">
        <f t="shared" si="129"/>
        <v>07</v>
      </c>
      <c r="T395" s="6" t="str">
        <f t="shared" si="130"/>
        <v>CANS</v>
      </c>
      <c r="U395" s="6" t="str">
        <f t="shared" si="131"/>
        <v>cans</v>
      </c>
      <c r="V395" s="6">
        <f t="shared" si="132"/>
        <v>2</v>
      </c>
      <c r="W395" s="6" t="str">
        <f t="shared" si="133"/>
        <v>T046743 8</v>
      </c>
      <c r="X395" s="6" t="str">
        <f t="shared" si="134"/>
        <v>S55645</v>
      </c>
      <c r="Y395" s="6" t="str">
        <f t="shared" si="135"/>
        <v>T04</v>
      </c>
      <c r="Z395" s="6" t="str">
        <f t="shared" si="136"/>
        <v>743</v>
      </c>
      <c r="AA395" s="6">
        <f t="shared" si="141"/>
        <v>2</v>
      </c>
      <c r="AB395" s="6">
        <f t="shared" si="137"/>
        <v>4</v>
      </c>
      <c r="AC395" s="6"/>
      <c r="AD395" s="23"/>
    </row>
    <row r="396" spans="1:30" ht="30" x14ac:dyDescent="0.25">
      <c r="A396" s="2" t="s">
        <v>168</v>
      </c>
      <c r="B396" s="2" t="s">
        <v>1355</v>
      </c>
      <c r="C396" s="2" t="s">
        <v>1356</v>
      </c>
      <c r="D396" s="2" t="s">
        <v>227</v>
      </c>
      <c r="E396" s="2" t="s">
        <v>1357</v>
      </c>
      <c r="F396" s="2">
        <v>11</v>
      </c>
      <c r="G396" s="2" t="s">
        <v>13</v>
      </c>
      <c r="H396" s="2">
        <v>12</v>
      </c>
      <c r="I396" s="6">
        <f t="shared" si="138"/>
        <v>132</v>
      </c>
      <c r="J396" s="6">
        <f t="shared" ref="J396:J459" si="142">_xlfn.RANK.AVG(I396,$I$5:$I$500)</f>
        <v>139.5</v>
      </c>
      <c r="K396" s="6">
        <f t="shared" ref="K396:K459" si="143">_xlfn.RANK.EQ(I396,$I$5:$I$500)</f>
        <v>137</v>
      </c>
      <c r="L396" s="6">
        <f t="shared" si="139"/>
        <v>793</v>
      </c>
      <c r="M396" s="6">
        <f t="shared" ref="M396:M459" si="144">COUNTIF(G396:G808,G396)</f>
        <v>42</v>
      </c>
      <c r="N396" s="6" t="b">
        <f t="shared" si="125"/>
        <v>0</v>
      </c>
      <c r="O396" s="6" t="b">
        <f t="shared" si="140"/>
        <v>1</v>
      </c>
      <c r="P396" s="6" t="str">
        <f t="shared" si="126"/>
        <v>C002137-ct</v>
      </c>
      <c r="Q396" s="7" t="str">
        <f t="shared" si="127"/>
        <v>T050144
11</v>
      </c>
      <c r="R396" s="6" t="b">
        <f t="shared" si="128"/>
        <v>0</v>
      </c>
      <c r="S396" s="6" t="str">
        <f t="shared" si="129"/>
        <v>21</v>
      </c>
      <c r="T396" s="6" t="str">
        <f t="shared" si="130"/>
        <v>CT</v>
      </c>
      <c r="U396" s="6" t="str">
        <f t="shared" si="131"/>
        <v>ct</v>
      </c>
      <c r="V396" s="6">
        <f t="shared" si="132"/>
        <v>2</v>
      </c>
      <c r="W396" s="6" t="str">
        <f t="shared" si="133"/>
        <v>T050144 11</v>
      </c>
      <c r="X396" s="6" t="str">
        <f t="shared" si="134"/>
        <v>S55411</v>
      </c>
      <c r="Y396" s="6" t="str">
        <f t="shared" si="135"/>
        <v>T05</v>
      </c>
      <c r="Z396" s="6" t="str">
        <f t="shared" si="136"/>
        <v>144</v>
      </c>
      <c r="AA396" s="6">
        <f t="shared" si="141"/>
        <v>2</v>
      </c>
      <c r="AB396" s="6">
        <f t="shared" si="137"/>
        <v>2</v>
      </c>
      <c r="AC396" s="6"/>
      <c r="AD396" s="23"/>
    </row>
    <row r="397" spans="1:30" ht="30" x14ac:dyDescent="0.25">
      <c r="A397" s="2" t="s">
        <v>240</v>
      </c>
      <c r="B397" s="2" t="s">
        <v>1358</v>
      </c>
      <c r="C397" s="2" t="s">
        <v>1359</v>
      </c>
      <c r="D397" s="2" t="s">
        <v>489</v>
      </c>
      <c r="E397" s="2" t="s">
        <v>1360</v>
      </c>
      <c r="F397" s="2">
        <v>7</v>
      </c>
      <c r="G397" s="2" t="s">
        <v>13</v>
      </c>
      <c r="H397" s="2">
        <v>21</v>
      </c>
      <c r="I397" s="6">
        <f t="shared" si="138"/>
        <v>147</v>
      </c>
      <c r="J397" s="6">
        <f t="shared" si="142"/>
        <v>114</v>
      </c>
      <c r="K397" s="6">
        <f t="shared" si="143"/>
        <v>114</v>
      </c>
      <c r="L397" s="6">
        <f t="shared" si="139"/>
        <v>781</v>
      </c>
      <c r="M397" s="6">
        <f t="shared" si="144"/>
        <v>41</v>
      </c>
      <c r="N397" s="6" t="b">
        <f t="shared" si="125"/>
        <v>1</v>
      </c>
      <c r="O397" s="6" t="b">
        <f t="shared" si="140"/>
        <v>1</v>
      </c>
      <c r="P397" s="6" t="str">
        <f t="shared" si="126"/>
        <v>C003582-ct</v>
      </c>
      <c r="Q397" s="7" t="str">
        <f t="shared" si="127"/>
        <v>T026723
7</v>
      </c>
      <c r="R397" s="6" t="b">
        <f t="shared" si="128"/>
        <v>0</v>
      </c>
      <c r="S397" s="6" t="str">
        <f t="shared" si="129"/>
        <v>14</v>
      </c>
      <c r="T397" s="6" t="str">
        <f t="shared" si="130"/>
        <v>CT</v>
      </c>
      <c r="U397" s="6" t="str">
        <f t="shared" si="131"/>
        <v>ct</v>
      </c>
      <c r="V397" s="6">
        <f t="shared" si="132"/>
        <v>2</v>
      </c>
      <c r="W397" s="6" t="str">
        <f t="shared" si="133"/>
        <v>T026723 7</v>
      </c>
      <c r="X397" s="6" t="str">
        <f t="shared" si="134"/>
        <v>S55388</v>
      </c>
      <c r="Y397" s="6" t="str">
        <f t="shared" si="135"/>
        <v>T02</v>
      </c>
      <c r="Z397" s="6" t="str">
        <f t="shared" si="136"/>
        <v>723</v>
      </c>
      <c r="AA397" s="6">
        <f t="shared" si="141"/>
        <v>2</v>
      </c>
      <c r="AB397" s="6">
        <f t="shared" si="137"/>
        <v>2</v>
      </c>
      <c r="AC397" s="6"/>
      <c r="AD397" s="23"/>
    </row>
    <row r="398" spans="1:30" ht="30" x14ac:dyDescent="0.25">
      <c r="A398" s="2" t="s">
        <v>76</v>
      </c>
      <c r="B398" s="2" t="s">
        <v>1361</v>
      </c>
      <c r="C398" s="2" t="s">
        <v>1362</v>
      </c>
      <c r="D398" s="2" t="s">
        <v>326</v>
      </c>
      <c r="E398" s="2" t="s">
        <v>75</v>
      </c>
      <c r="F398" s="2">
        <v>8</v>
      </c>
      <c r="G398" s="2" t="s">
        <v>35</v>
      </c>
      <c r="H398" s="2">
        <v>40</v>
      </c>
      <c r="I398" s="6">
        <f t="shared" si="138"/>
        <v>320</v>
      </c>
      <c r="J398" s="6">
        <f t="shared" si="142"/>
        <v>16</v>
      </c>
      <c r="K398" s="6">
        <f t="shared" si="143"/>
        <v>15</v>
      </c>
      <c r="L398" s="6">
        <f t="shared" si="139"/>
        <v>586</v>
      </c>
      <c r="M398" s="6">
        <f t="shared" si="144"/>
        <v>33</v>
      </c>
      <c r="N398" s="6" t="b">
        <f t="shared" si="125"/>
        <v>1</v>
      </c>
      <c r="O398" s="6" t="b">
        <f t="shared" si="140"/>
        <v>1</v>
      </c>
      <c r="P398" s="6" t="str">
        <f t="shared" si="126"/>
        <v>C004005-cans</v>
      </c>
      <c r="Q398" s="7" t="str">
        <f t="shared" si="127"/>
        <v>T073073
8</v>
      </c>
      <c r="R398" s="6" t="b">
        <f t="shared" si="128"/>
        <v>0</v>
      </c>
      <c r="S398" s="6" t="str">
        <f t="shared" si="129"/>
        <v>05</v>
      </c>
      <c r="T398" s="6" t="str">
        <f t="shared" si="130"/>
        <v>CANS</v>
      </c>
      <c r="U398" s="6" t="str">
        <f t="shared" si="131"/>
        <v>cans</v>
      </c>
      <c r="V398" s="6">
        <f t="shared" si="132"/>
        <v>2</v>
      </c>
      <c r="W398" s="6" t="str">
        <f t="shared" si="133"/>
        <v>T073073 8</v>
      </c>
      <c r="X398" s="6" t="str">
        <f t="shared" si="134"/>
        <v>S55164</v>
      </c>
      <c r="Y398" s="6" t="str">
        <f t="shared" si="135"/>
        <v>T07</v>
      </c>
      <c r="Z398" s="6" t="str">
        <f t="shared" si="136"/>
        <v>073</v>
      </c>
      <c r="AA398" s="6">
        <f t="shared" si="141"/>
        <v>2</v>
      </c>
      <c r="AB398" s="6">
        <f t="shared" si="137"/>
        <v>4</v>
      </c>
      <c r="AC398" s="6"/>
      <c r="AD398" s="23"/>
    </row>
    <row r="399" spans="1:30" ht="30" x14ac:dyDescent="0.25">
      <c r="A399" s="2" t="s">
        <v>307</v>
      </c>
      <c r="B399" s="2" t="s">
        <v>1363</v>
      </c>
      <c r="C399" s="2" t="s">
        <v>1364</v>
      </c>
      <c r="D399" s="2" t="s">
        <v>441</v>
      </c>
      <c r="E399" s="2" t="s">
        <v>166</v>
      </c>
      <c r="F399" s="2">
        <v>8</v>
      </c>
      <c r="G399" s="2" t="s">
        <v>106</v>
      </c>
      <c r="H399" s="2">
        <v>17</v>
      </c>
      <c r="I399" s="6">
        <f t="shared" si="138"/>
        <v>136</v>
      </c>
      <c r="J399" s="6">
        <f t="shared" si="142"/>
        <v>130.5</v>
      </c>
      <c r="K399" s="6">
        <f t="shared" si="143"/>
        <v>129</v>
      </c>
      <c r="L399" s="6">
        <f t="shared" si="139"/>
        <v>128</v>
      </c>
      <c r="M399" s="6">
        <f t="shared" si="144"/>
        <v>8</v>
      </c>
      <c r="N399" s="6" t="b">
        <f t="shared" si="125"/>
        <v>0</v>
      </c>
      <c r="O399" s="6" t="b">
        <f t="shared" si="140"/>
        <v>1</v>
      </c>
      <c r="P399" s="6" t="str">
        <f t="shared" si="126"/>
        <v>C003254-bags</v>
      </c>
      <c r="Q399" s="7" t="str">
        <f t="shared" si="127"/>
        <v>T054713
8</v>
      </c>
      <c r="R399" s="6" t="b">
        <f t="shared" si="128"/>
        <v>0</v>
      </c>
      <c r="S399" s="6" t="str">
        <f t="shared" si="129"/>
        <v>15</v>
      </c>
      <c r="T399" s="6" t="str">
        <f t="shared" si="130"/>
        <v>BAGS</v>
      </c>
      <c r="U399" s="6" t="str">
        <f t="shared" si="131"/>
        <v>bags</v>
      </c>
      <c r="V399" s="6">
        <f t="shared" si="132"/>
        <v>2</v>
      </c>
      <c r="W399" s="6" t="str">
        <f t="shared" si="133"/>
        <v>T054713 8</v>
      </c>
      <c r="X399" s="6" t="str">
        <f t="shared" si="134"/>
        <v>S55563</v>
      </c>
      <c r="Y399" s="6" t="str">
        <f t="shared" si="135"/>
        <v>T05</v>
      </c>
      <c r="Z399" s="6" t="str">
        <f t="shared" si="136"/>
        <v>713</v>
      </c>
      <c r="AA399" s="6">
        <f t="shared" si="141"/>
        <v>2</v>
      </c>
      <c r="AB399" s="6">
        <f t="shared" si="137"/>
        <v>4</v>
      </c>
      <c r="AC399" s="6"/>
      <c r="AD399" s="23"/>
    </row>
    <row r="400" spans="1:30" ht="30" x14ac:dyDescent="0.25">
      <c r="A400" s="2" t="s">
        <v>55</v>
      </c>
      <c r="B400" s="2" t="s">
        <v>1365</v>
      </c>
      <c r="C400" s="2" t="s">
        <v>1366</v>
      </c>
      <c r="D400" s="2" t="s">
        <v>1171</v>
      </c>
      <c r="E400" s="2" t="s">
        <v>1367</v>
      </c>
      <c r="F400" s="2">
        <v>2</v>
      </c>
      <c r="G400" s="2" t="s">
        <v>13</v>
      </c>
      <c r="H400" s="2">
        <v>44</v>
      </c>
      <c r="I400" s="6">
        <f t="shared" si="138"/>
        <v>88</v>
      </c>
      <c r="J400" s="6">
        <f t="shared" si="142"/>
        <v>253</v>
      </c>
      <c r="K400" s="6">
        <f t="shared" si="143"/>
        <v>252</v>
      </c>
      <c r="L400" s="6">
        <f t="shared" si="139"/>
        <v>760</v>
      </c>
      <c r="M400" s="6">
        <f t="shared" si="144"/>
        <v>40</v>
      </c>
      <c r="N400" s="6" t="b">
        <f t="shared" si="125"/>
        <v>1</v>
      </c>
      <c r="O400" s="6" t="b">
        <f t="shared" si="140"/>
        <v>1</v>
      </c>
      <c r="P400" s="6" t="str">
        <f t="shared" si="126"/>
        <v>C000176-ct</v>
      </c>
      <c r="Q400" s="7" t="str">
        <f t="shared" si="127"/>
        <v>T063831
2</v>
      </c>
      <c r="R400" s="6" t="b">
        <f t="shared" si="128"/>
        <v>0</v>
      </c>
      <c r="S400" s="6" t="str">
        <f t="shared" si="129"/>
        <v>11</v>
      </c>
      <c r="T400" s="6" t="str">
        <f t="shared" si="130"/>
        <v>CT</v>
      </c>
      <c r="U400" s="6" t="str">
        <f t="shared" si="131"/>
        <v>ct</v>
      </c>
      <c r="V400" s="6">
        <f t="shared" si="132"/>
        <v>2</v>
      </c>
      <c r="W400" s="6" t="str">
        <f t="shared" si="133"/>
        <v>T063831 2</v>
      </c>
      <c r="X400" s="6" t="str">
        <f t="shared" si="134"/>
        <v>S55598</v>
      </c>
      <c r="Y400" s="6" t="str">
        <f t="shared" si="135"/>
        <v>T06</v>
      </c>
      <c r="Z400" s="6" t="str">
        <f t="shared" si="136"/>
        <v>831</v>
      </c>
      <c r="AA400" s="6">
        <f t="shared" si="141"/>
        <v>2</v>
      </c>
      <c r="AB400" s="6">
        <f t="shared" si="137"/>
        <v>2</v>
      </c>
      <c r="AC400" s="6"/>
      <c r="AD400" s="23"/>
    </row>
    <row r="401" spans="1:30" ht="30" x14ac:dyDescent="0.25">
      <c r="A401" s="2" t="s">
        <v>359</v>
      </c>
      <c r="B401" s="2" t="s">
        <v>1368</v>
      </c>
      <c r="C401" s="2" t="s">
        <v>1369</v>
      </c>
      <c r="D401" s="2" t="s">
        <v>930</v>
      </c>
      <c r="E401" s="2" t="s">
        <v>579</v>
      </c>
      <c r="F401" s="2">
        <v>5</v>
      </c>
      <c r="G401" s="2" t="s">
        <v>60</v>
      </c>
      <c r="H401" s="2">
        <v>8</v>
      </c>
      <c r="I401" s="6">
        <f t="shared" si="138"/>
        <v>40</v>
      </c>
      <c r="J401" s="6">
        <f t="shared" si="142"/>
        <v>412.5</v>
      </c>
      <c r="K401" s="6">
        <f t="shared" si="143"/>
        <v>411</v>
      </c>
      <c r="L401" s="6">
        <f t="shared" si="139"/>
        <v>241.5</v>
      </c>
      <c r="M401" s="6">
        <f t="shared" si="144"/>
        <v>14</v>
      </c>
      <c r="N401" s="6" t="b">
        <f t="shared" si="125"/>
        <v>0</v>
      </c>
      <c r="O401" s="6" t="b">
        <f t="shared" si="140"/>
        <v>1</v>
      </c>
      <c r="P401" s="6" t="str">
        <f t="shared" si="126"/>
        <v>C009190-bottles</v>
      </c>
      <c r="Q401" s="7" t="str">
        <f t="shared" si="127"/>
        <v>T022409
5</v>
      </c>
      <c r="R401" s="6" t="b">
        <f t="shared" si="128"/>
        <v>0</v>
      </c>
      <c r="S401" s="6" t="str">
        <f t="shared" si="129"/>
        <v>06</v>
      </c>
      <c r="T401" s="6" t="str">
        <f t="shared" si="130"/>
        <v>BOTTLES</v>
      </c>
      <c r="U401" s="6" t="str">
        <f t="shared" si="131"/>
        <v>bottles</v>
      </c>
      <c r="V401" s="6">
        <f t="shared" si="132"/>
        <v>2</v>
      </c>
      <c r="W401" s="6" t="str">
        <f t="shared" si="133"/>
        <v>T022409 5</v>
      </c>
      <c r="X401" s="6" t="str">
        <f t="shared" si="134"/>
        <v>S55445</v>
      </c>
      <c r="Y401" s="6" t="str">
        <f t="shared" si="135"/>
        <v>T02</v>
      </c>
      <c r="Z401" s="6" t="str">
        <f t="shared" si="136"/>
        <v>409</v>
      </c>
      <c r="AA401" s="6">
        <f t="shared" si="141"/>
        <v>2</v>
      </c>
      <c r="AB401" s="6">
        <f t="shared" si="137"/>
        <v>7</v>
      </c>
      <c r="AC401" s="6"/>
      <c r="AD401" s="23"/>
    </row>
    <row r="402" spans="1:30" ht="30" x14ac:dyDescent="0.25">
      <c r="A402" s="2" t="s">
        <v>125</v>
      </c>
      <c r="B402" s="2" t="s">
        <v>1370</v>
      </c>
      <c r="C402" s="2" t="s">
        <v>1371</v>
      </c>
      <c r="D402" s="2" t="s">
        <v>1372</v>
      </c>
      <c r="E402" s="2" t="s">
        <v>1373</v>
      </c>
      <c r="F402" s="2">
        <v>9</v>
      </c>
      <c r="G402" s="2" t="s">
        <v>13</v>
      </c>
      <c r="H402" s="2">
        <v>15</v>
      </c>
      <c r="I402" s="6">
        <f t="shared" si="138"/>
        <v>135</v>
      </c>
      <c r="J402" s="6">
        <f t="shared" si="142"/>
        <v>134.5</v>
      </c>
      <c r="K402" s="6">
        <f t="shared" si="143"/>
        <v>133</v>
      </c>
      <c r="L402" s="6">
        <f t="shared" si="139"/>
        <v>716</v>
      </c>
      <c r="M402" s="6">
        <f t="shared" si="144"/>
        <v>39</v>
      </c>
      <c r="N402" s="6" t="b">
        <f t="shared" si="125"/>
        <v>0</v>
      </c>
      <c r="O402" s="6" t="b">
        <f t="shared" si="140"/>
        <v>1</v>
      </c>
      <c r="P402" s="6" t="str">
        <f t="shared" si="126"/>
        <v>C004741-ct</v>
      </c>
      <c r="Q402" s="7" t="str">
        <f t="shared" si="127"/>
        <v>T060534
9</v>
      </c>
      <c r="R402" s="6" t="b">
        <f t="shared" si="128"/>
        <v>0</v>
      </c>
      <c r="S402" s="6" t="str">
        <f t="shared" si="129"/>
        <v>14</v>
      </c>
      <c r="T402" s="6" t="str">
        <f t="shared" si="130"/>
        <v>CT</v>
      </c>
      <c r="U402" s="6" t="str">
        <f t="shared" si="131"/>
        <v>ct</v>
      </c>
      <c r="V402" s="6">
        <f t="shared" si="132"/>
        <v>2</v>
      </c>
      <c r="W402" s="6" t="str">
        <f t="shared" si="133"/>
        <v>T060534 9</v>
      </c>
      <c r="X402" s="6" t="str">
        <f t="shared" si="134"/>
        <v>S55152</v>
      </c>
      <c r="Y402" s="6" t="str">
        <f t="shared" si="135"/>
        <v>T06</v>
      </c>
      <c r="Z402" s="6" t="str">
        <f t="shared" si="136"/>
        <v>534</v>
      </c>
      <c r="AA402" s="6">
        <f t="shared" si="141"/>
        <v>2</v>
      </c>
      <c r="AB402" s="6">
        <f t="shared" si="137"/>
        <v>2</v>
      </c>
      <c r="AC402" s="6"/>
      <c r="AD402" s="23"/>
    </row>
    <row r="403" spans="1:30" ht="30" x14ac:dyDescent="0.25">
      <c r="A403" s="2" t="s">
        <v>187</v>
      </c>
      <c r="B403" s="2" t="s">
        <v>1374</v>
      </c>
      <c r="C403" s="2" t="s">
        <v>1375</v>
      </c>
      <c r="D403" s="2" t="s">
        <v>89</v>
      </c>
      <c r="E403" s="2" t="s">
        <v>1376</v>
      </c>
      <c r="F403" s="2">
        <v>5</v>
      </c>
      <c r="G403" s="2" t="s">
        <v>35</v>
      </c>
      <c r="H403" s="2">
        <v>6.75</v>
      </c>
      <c r="I403" s="6">
        <f t="shared" si="138"/>
        <v>33.75</v>
      </c>
      <c r="J403" s="6">
        <f t="shared" si="142"/>
        <v>426</v>
      </c>
      <c r="K403" s="6">
        <f t="shared" si="143"/>
        <v>424</v>
      </c>
      <c r="L403" s="6">
        <f t="shared" si="139"/>
        <v>546</v>
      </c>
      <c r="M403" s="6">
        <f t="shared" si="144"/>
        <v>32</v>
      </c>
      <c r="N403" s="6" t="b">
        <f t="shared" si="125"/>
        <v>0</v>
      </c>
      <c r="O403" s="6" t="b">
        <f t="shared" si="140"/>
        <v>1</v>
      </c>
      <c r="P403" s="6" t="str">
        <f t="shared" si="126"/>
        <v>C001457-cans</v>
      </c>
      <c r="Q403" s="7" t="str">
        <f t="shared" si="127"/>
        <v>T030681
5</v>
      </c>
      <c r="R403" s="6" t="b">
        <f t="shared" si="128"/>
        <v>0</v>
      </c>
      <c r="S403" s="6" t="str">
        <f t="shared" si="129"/>
        <v>02</v>
      </c>
      <c r="T403" s="6" t="str">
        <f t="shared" si="130"/>
        <v>CANS</v>
      </c>
      <c r="U403" s="6" t="str">
        <f t="shared" si="131"/>
        <v>cans</v>
      </c>
      <c r="V403" s="6">
        <f t="shared" si="132"/>
        <v>2</v>
      </c>
      <c r="W403" s="6" t="str">
        <f t="shared" si="133"/>
        <v>T030681 5</v>
      </c>
      <c r="X403" s="6" t="str">
        <f t="shared" si="134"/>
        <v>S5528</v>
      </c>
      <c r="Y403" s="6" t="str">
        <f t="shared" si="135"/>
        <v>T03</v>
      </c>
      <c r="Z403" s="6" t="str">
        <f t="shared" si="136"/>
        <v>681</v>
      </c>
      <c r="AA403" s="6">
        <f t="shared" si="141"/>
        <v>2</v>
      </c>
      <c r="AB403" s="6">
        <f t="shared" si="137"/>
        <v>4</v>
      </c>
      <c r="AC403" s="6"/>
      <c r="AD403" s="23"/>
    </row>
    <row r="404" spans="1:30" ht="30" x14ac:dyDescent="0.25">
      <c r="A404" s="2" t="s">
        <v>82</v>
      </c>
      <c r="B404" s="2" t="s">
        <v>1377</v>
      </c>
      <c r="C404" s="2" t="s">
        <v>1378</v>
      </c>
      <c r="D404" s="2" t="s">
        <v>1379</v>
      </c>
      <c r="E404" s="2" t="s">
        <v>871</v>
      </c>
      <c r="F404" s="2">
        <v>2</v>
      </c>
      <c r="G404" s="2" t="s">
        <v>13</v>
      </c>
      <c r="H404" s="2">
        <v>14</v>
      </c>
      <c r="I404" s="6">
        <f t="shared" si="138"/>
        <v>28</v>
      </c>
      <c r="J404" s="6">
        <f t="shared" si="142"/>
        <v>443.5</v>
      </c>
      <c r="K404" s="6">
        <f t="shared" si="143"/>
        <v>443</v>
      </c>
      <c r="L404" s="6">
        <f t="shared" si="139"/>
        <v>701</v>
      </c>
      <c r="M404" s="6">
        <f t="shared" si="144"/>
        <v>38</v>
      </c>
      <c r="N404" s="6" t="b">
        <f t="shared" si="125"/>
        <v>0</v>
      </c>
      <c r="O404" s="6" t="b">
        <f t="shared" si="140"/>
        <v>1</v>
      </c>
      <c r="P404" s="6" t="str">
        <f t="shared" si="126"/>
        <v>C007901-ct</v>
      </c>
      <c r="Q404" s="7" t="str">
        <f t="shared" si="127"/>
        <v>T036938
2</v>
      </c>
      <c r="R404" s="6" t="b">
        <f t="shared" si="128"/>
        <v>0</v>
      </c>
      <c r="S404" s="6" t="str">
        <f t="shared" si="129"/>
        <v>22</v>
      </c>
      <c r="T404" s="6" t="str">
        <f t="shared" si="130"/>
        <v>CT</v>
      </c>
      <c r="U404" s="6" t="str">
        <f t="shared" si="131"/>
        <v>ct</v>
      </c>
      <c r="V404" s="6">
        <f t="shared" si="132"/>
        <v>2</v>
      </c>
      <c r="W404" s="6" t="str">
        <f t="shared" si="133"/>
        <v>T036938 2</v>
      </c>
      <c r="X404" s="6" t="str">
        <f t="shared" si="134"/>
        <v>S55215</v>
      </c>
      <c r="Y404" s="6" t="str">
        <f t="shared" si="135"/>
        <v>T03</v>
      </c>
      <c r="Z404" s="6" t="str">
        <f t="shared" si="136"/>
        <v>938</v>
      </c>
      <c r="AA404" s="6">
        <f t="shared" si="141"/>
        <v>2</v>
      </c>
      <c r="AB404" s="6">
        <f t="shared" si="137"/>
        <v>2</v>
      </c>
      <c r="AC404" s="6"/>
      <c r="AD404" s="23"/>
    </row>
    <row r="405" spans="1:30" ht="30" x14ac:dyDescent="0.25">
      <c r="A405" s="2" t="s">
        <v>224</v>
      </c>
      <c r="B405" s="2" t="s">
        <v>1380</v>
      </c>
      <c r="C405" s="2" t="s">
        <v>1381</v>
      </c>
      <c r="D405" s="2" t="s">
        <v>499</v>
      </c>
      <c r="E405" s="2" t="s">
        <v>1382</v>
      </c>
      <c r="F405" s="2">
        <v>4</v>
      </c>
      <c r="G405" s="2" t="s">
        <v>60</v>
      </c>
      <c r="H405" s="2">
        <v>17.5</v>
      </c>
      <c r="I405" s="6">
        <f t="shared" si="138"/>
        <v>70</v>
      </c>
      <c r="J405" s="6">
        <f t="shared" si="142"/>
        <v>301.5</v>
      </c>
      <c r="K405" s="6">
        <f t="shared" si="143"/>
        <v>300</v>
      </c>
      <c r="L405" s="6">
        <f t="shared" si="139"/>
        <v>233.5</v>
      </c>
      <c r="M405" s="6">
        <f t="shared" si="144"/>
        <v>13</v>
      </c>
      <c r="N405" s="6" t="b">
        <f t="shared" si="125"/>
        <v>0</v>
      </c>
      <c r="O405" s="6" t="b">
        <f t="shared" si="140"/>
        <v>1</v>
      </c>
      <c r="P405" s="6" t="str">
        <f t="shared" si="126"/>
        <v>C001816-bottles</v>
      </c>
      <c r="Q405" s="7" t="str">
        <f t="shared" si="127"/>
        <v>T080710
4</v>
      </c>
      <c r="R405" s="6" t="b">
        <f t="shared" si="128"/>
        <v>0</v>
      </c>
      <c r="S405" s="6" t="str">
        <f t="shared" si="129"/>
        <v>06</v>
      </c>
      <c r="T405" s="6" t="str">
        <f t="shared" si="130"/>
        <v>BOTTLES</v>
      </c>
      <c r="U405" s="6" t="str">
        <f t="shared" si="131"/>
        <v>bottles</v>
      </c>
      <c r="V405" s="6">
        <f t="shared" si="132"/>
        <v>2</v>
      </c>
      <c r="W405" s="6" t="str">
        <f t="shared" si="133"/>
        <v>T080710 4</v>
      </c>
      <c r="X405" s="6" t="str">
        <f t="shared" si="134"/>
        <v>S55253</v>
      </c>
      <c r="Y405" s="6" t="str">
        <f t="shared" si="135"/>
        <v>T08</v>
      </c>
      <c r="Z405" s="6" t="str">
        <f t="shared" si="136"/>
        <v>710</v>
      </c>
      <c r="AA405" s="6">
        <f t="shared" si="141"/>
        <v>2</v>
      </c>
      <c r="AB405" s="6">
        <f t="shared" si="137"/>
        <v>7</v>
      </c>
      <c r="AC405" s="6"/>
      <c r="AD405" s="23"/>
    </row>
    <row r="406" spans="1:30" ht="30" x14ac:dyDescent="0.25">
      <c r="A406" s="2" t="s">
        <v>76</v>
      </c>
      <c r="B406" s="2" t="s">
        <v>1383</v>
      </c>
      <c r="C406" s="2" t="s">
        <v>1384</v>
      </c>
      <c r="D406" s="2" t="s">
        <v>1385</v>
      </c>
      <c r="E406" s="2" t="s">
        <v>1386</v>
      </c>
      <c r="F406" s="2">
        <v>4</v>
      </c>
      <c r="G406" s="2" t="s">
        <v>402</v>
      </c>
      <c r="H406" s="2">
        <v>16</v>
      </c>
      <c r="I406" s="6">
        <f t="shared" si="138"/>
        <v>64</v>
      </c>
      <c r="J406" s="6">
        <f t="shared" si="142"/>
        <v>328</v>
      </c>
      <c r="K406" s="6">
        <f t="shared" si="143"/>
        <v>324</v>
      </c>
      <c r="L406" s="6">
        <f t="shared" si="139"/>
        <v>16</v>
      </c>
      <c r="M406" s="6">
        <f t="shared" si="144"/>
        <v>1</v>
      </c>
      <c r="N406" s="6" t="b">
        <f t="shared" si="125"/>
        <v>0</v>
      </c>
      <c r="O406" s="6" t="b">
        <f t="shared" si="140"/>
        <v>1</v>
      </c>
      <c r="P406" s="6" t="str">
        <f t="shared" si="126"/>
        <v>C000862-pack</v>
      </c>
      <c r="Q406" s="7" t="str">
        <f t="shared" si="127"/>
        <v>T033422
4</v>
      </c>
      <c r="R406" s="6" t="b">
        <f t="shared" si="128"/>
        <v>0</v>
      </c>
      <c r="S406" s="6" t="str">
        <f t="shared" si="129"/>
        <v>24</v>
      </c>
      <c r="T406" s="6" t="str">
        <f t="shared" si="130"/>
        <v>PACK</v>
      </c>
      <c r="U406" s="6" t="str">
        <f t="shared" si="131"/>
        <v>pack</v>
      </c>
      <c r="V406" s="6">
        <f t="shared" si="132"/>
        <v>2</v>
      </c>
      <c r="W406" s="6" t="str">
        <f t="shared" si="133"/>
        <v>T033422 4</v>
      </c>
      <c r="X406" s="6" t="str">
        <f t="shared" si="134"/>
        <v>S5557</v>
      </c>
      <c r="Y406" s="6" t="str">
        <f t="shared" si="135"/>
        <v>T03</v>
      </c>
      <c r="Z406" s="6" t="str">
        <f t="shared" si="136"/>
        <v>422</v>
      </c>
      <c r="AA406" s="6">
        <f t="shared" si="141"/>
        <v>2</v>
      </c>
      <c r="AB406" s="6">
        <f t="shared" si="137"/>
        <v>4</v>
      </c>
      <c r="AC406" s="6"/>
      <c r="AD406" s="23"/>
    </row>
    <row r="407" spans="1:30" ht="30" x14ac:dyDescent="0.25">
      <c r="A407" s="2" t="s">
        <v>288</v>
      </c>
      <c r="B407" s="2" t="s">
        <v>1387</v>
      </c>
      <c r="C407" s="2" t="s">
        <v>1388</v>
      </c>
      <c r="D407" s="2" t="s">
        <v>114</v>
      </c>
      <c r="E407" s="2" t="s">
        <v>298</v>
      </c>
      <c r="F407" s="2">
        <v>8</v>
      </c>
      <c r="G407" s="2" t="s">
        <v>13</v>
      </c>
      <c r="H407" s="2">
        <v>15</v>
      </c>
      <c r="I407" s="6">
        <f t="shared" si="138"/>
        <v>120</v>
      </c>
      <c r="J407" s="6">
        <f t="shared" si="142"/>
        <v>169.5</v>
      </c>
      <c r="K407" s="6">
        <f t="shared" si="143"/>
        <v>162</v>
      </c>
      <c r="L407" s="6">
        <f t="shared" si="139"/>
        <v>687</v>
      </c>
      <c r="M407" s="6">
        <f t="shared" si="144"/>
        <v>37</v>
      </c>
      <c r="N407" s="6" t="b">
        <f t="shared" si="125"/>
        <v>0</v>
      </c>
      <c r="O407" s="6" t="b">
        <f t="shared" si="140"/>
        <v>1</v>
      </c>
      <c r="P407" s="6" t="str">
        <f t="shared" si="126"/>
        <v>C007406-ct</v>
      </c>
      <c r="Q407" s="7" t="str">
        <f t="shared" si="127"/>
        <v>T066381
8</v>
      </c>
      <c r="R407" s="6" t="b">
        <f t="shared" si="128"/>
        <v>0</v>
      </c>
      <c r="S407" s="6" t="str">
        <f t="shared" si="129"/>
        <v>12</v>
      </c>
      <c r="T407" s="6" t="str">
        <f t="shared" si="130"/>
        <v>CT</v>
      </c>
      <c r="U407" s="6" t="str">
        <f t="shared" si="131"/>
        <v>ct</v>
      </c>
      <c r="V407" s="6">
        <f t="shared" si="132"/>
        <v>2</v>
      </c>
      <c r="W407" s="6" t="str">
        <f t="shared" si="133"/>
        <v>T066381 8</v>
      </c>
      <c r="X407" s="6" t="str">
        <f t="shared" si="134"/>
        <v>S55338</v>
      </c>
      <c r="Y407" s="6" t="str">
        <f t="shared" si="135"/>
        <v>T06</v>
      </c>
      <c r="Z407" s="6" t="str">
        <f t="shared" si="136"/>
        <v>381</v>
      </c>
      <c r="AA407" s="6">
        <f t="shared" si="141"/>
        <v>2</v>
      </c>
      <c r="AB407" s="6">
        <f t="shared" si="137"/>
        <v>2</v>
      </c>
      <c r="AC407" s="6"/>
      <c r="AD407" s="23"/>
    </row>
    <row r="408" spans="1:30" ht="30" x14ac:dyDescent="0.25">
      <c r="A408" s="2" t="s">
        <v>162</v>
      </c>
      <c r="B408" s="2" t="s">
        <v>1389</v>
      </c>
      <c r="C408" s="2" t="s">
        <v>1390</v>
      </c>
      <c r="D408" s="2" t="s">
        <v>64</v>
      </c>
      <c r="E408" s="2" t="s">
        <v>1391</v>
      </c>
      <c r="F408" s="2">
        <v>3</v>
      </c>
      <c r="G408" s="2" t="s">
        <v>35</v>
      </c>
      <c r="H408" s="2">
        <v>15.5</v>
      </c>
      <c r="I408" s="6">
        <f t="shared" si="138"/>
        <v>46.5</v>
      </c>
      <c r="J408" s="6">
        <f t="shared" si="142"/>
        <v>392</v>
      </c>
      <c r="K408" s="6">
        <f t="shared" si="143"/>
        <v>392</v>
      </c>
      <c r="L408" s="6">
        <f t="shared" si="139"/>
        <v>539.25</v>
      </c>
      <c r="M408" s="6">
        <f t="shared" si="144"/>
        <v>31</v>
      </c>
      <c r="N408" s="6" t="b">
        <f t="shared" si="125"/>
        <v>0</v>
      </c>
      <c r="O408" s="6" t="b">
        <f t="shared" si="140"/>
        <v>1</v>
      </c>
      <c r="P408" s="6" t="str">
        <f t="shared" si="126"/>
        <v>C006561-cans</v>
      </c>
      <c r="Q408" s="7" t="str">
        <f t="shared" si="127"/>
        <v>T056485
3</v>
      </c>
      <c r="R408" s="6" t="b">
        <f t="shared" si="128"/>
        <v>0</v>
      </c>
      <c r="S408" s="6" t="str">
        <f t="shared" si="129"/>
        <v>07</v>
      </c>
      <c r="T408" s="6" t="str">
        <f t="shared" si="130"/>
        <v>CANS</v>
      </c>
      <c r="U408" s="6" t="str">
        <f t="shared" si="131"/>
        <v>cans</v>
      </c>
      <c r="V408" s="6">
        <f t="shared" si="132"/>
        <v>2</v>
      </c>
      <c r="W408" s="6" t="str">
        <f t="shared" si="133"/>
        <v>T056485 3</v>
      </c>
      <c r="X408" s="6" t="str">
        <f t="shared" si="134"/>
        <v>S55195</v>
      </c>
      <c r="Y408" s="6" t="str">
        <f t="shared" si="135"/>
        <v>T05</v>
      </c>
      <c r="Z408" s="6" t="str">
        <f t="shared" si="136"/>
        <v>485</v>
      </c>
      <c r="AA408" s="6">
        <f t="shared" si="141"/>
        <v>2</v>
      </c>
      <c r="AB408" s="6">
        <f t="shared" si="137"/>
        <v>4</v>
      </c>
      <c r="AC408" s="6"/>
      <c r="AD408" s="23"/>
    </row>
    <row r="409" spans="1:30" ht="30" x14ac:dyDescent="0.25">
      <c r="A409" s="2" t="s">
        <v>8</v>
      </c>
      <c r="B409" s="2" t="s">
        <v>1392</v>
      </c>
      <c r="C409" s="2" t="s">
        <v>1393</v>
      </c>
      <c r="D409" s="2" t="s">
        <v>930</v>
      </c>
      <c r="E409" s="2" t="s">
        <v>1394</v>
      </c>
      <c r="F409" s="2">
        <v>3</v>
      </c>
      <c r="G409" s="2" t="s">
        <v>60</v>
      </c>
      <c r="H409" s="2">
        <v>8</v>
      </c>
      <c r="I409" s="6">
        <f t="shared" si="138"/>
        <v>24</v>
      </c>
      <c r="J409" s="6">
        <f t="shared" si="142"/>
        <v>453</v>
      </c>
      <c r="K409" s="6">
        <f t="shared" si="143"/>
        <v>451</v>
      </c>
      <c r="L409" s="6">
        <f t="shared" si="139"/>
        <v>216</v>
      </c>
      <c r="M409" s="6">
        <f t="shared" si="144"/>
        <v>12</v>
      </c>
      <c r="N409" s="6" t="b">
        <f t="shared" si="125"/>
        <v>0</v>
      </c>
      <c r="O409" s="6" t="b">
        <f t="shared" si="140"/>
        <v>1</v>
      </c>
      <c r="P409" s="6" t="str">
        <f t="shared" si="126"/>
        <v>C008661-bottles</v>
      </c>
      <c r="Q409" s="7" t="str">
        <f t="shared" si="127"/>
        <v>T045977
3</v>
      </c>
      <c r="R409" s="6" t="b">
        <f t="shared" si="128"/>
        <v>0</v>
      </c>
      <c r="S409" s="6" t="str">
        <f t="shared" si="129"/>
        <v>06</v>
      </c>
      <c r="T409" s="6" t="str">
        <f t="shared" si="130"/>
        <v>BOTTLES</v>
      </c>
      <c r="U409" s="6" t="str">
        <f t="shared" si="131"/>
        <v>bottles</v>
      </c>
      <c r="V409" s="6">
        <f t="shared" si="132"/>
        <v>2</v>
      </c>
      <c r="W409" s="6" t="str">
        <f t="shared" si="133"/>
        <v>T045977 3</v>
      </c>
      <c r="X409" s="6" t="str">
        <f t="shared" si="134"/>
        <v>S5523</v>
      </c>
      <c r="Y409" s="6" t="str">
        <f t="shared" si="135"/>
        <v>T04</v>
      </c>
      <c r="Z409" s="6" t="str">
        <f t="shared" si="136"/>
        <v>977</v>
      </c>
      <c r="AA409" s="6">
        <f t="shared" si="141"/>
        <v>2</v>
      </c>
      <c r="AB409" s="6">
        <f t="shared" si="137"/>
        <v>7</v>
      </c>
      <c r="AC409" s="6"/>
      <c r="AD409" s="23"/>
    </row>
    <row r="410" spans="1:30" ht="30" x14ac:dyDescent="0.25">
      <c r="A410" s="2" t="s">
        <v>116</v>
      </c>
      <c r="B410" s="2" t="s">
        <v>1395</v>
      </c>
      <c r="C410" s="2" t="s">
        <v>1396</v>
      </c>
      <c r="D410" s="2" t="s">
        <v>979</v>
      </c>
      <c r="E410" s="2" t="s">
        <v>1397</v>
      </c>
      <c r="F410" s="2">
        <v>10</v>
      </c>
      <c r="G410" s="2" t="s">
        <v>13</v>
      </c>
      <c r="H410" s="2">
        <v>17</v>
      </c>
      <c r="I410" s="6">
        <f t="shared" si="138"/>
        <v>170</v>
      </c>
      <c r="J410" s="6">
        <f t="shared" si="142"/>
        <v>74</v>
      </c>
      <c r="K410" s="6">
        <f t="shared" si="143"/>
        <v>72</v>
      </c>
      <c r="L410" s="6">
        <f t="shared" si="139"/>
        <v>672</v>
      </c>
      <c r="M410" s="6">
        <f t="shared" si="144"/>
        <v>36</v>
      </c>
      <c r="N410" s="6" t="b">
        <f t="shared" si="125"/>
        <v>0</v>
      </c>
      <c r="O410" s="6" t="b">
        <f t="shared" si="140"/>
        <v>1</v>
      </c>
      <c r="P410" s="6" t="str">
        <f t="shared" si="126"/>
        <v>C000881-ct</v>
      </c>
      <c r="Q410" s="7" t="str">
        <f t="shared" si="127"/>
        <v>T044604
10</v>
      </c>
      <c r="R410" s="6" t="b">
        <f t="shared" si="128"/>
        <v>0</v>
      </c>
      <c r="S410" s="6" t="str">
        <f t="shared" si="129"/>
        <v>14</v>
      </c>
      <c r="T410" s="6" t="str">
        <f t="shared" si="130"/>
        <v>CT</v>
      </c>
      <c r="U410" s="6" t="str">
        <f t="shared" si="131"/>
        <v>ct</v>
      </c>
      <c r="V410" s="6">
        <f t="shared" si="132"/>
        <v>2</v>
      </c>
      <c r="W410" s="6" t="str">
        <f t="shared" si="133"/>
        <v>T044604 10</v>
      </c>
      <c r="X410" s="6" t="str">
        <f t="shared" si="134"/>
        <v>S5554</v>
      </c>
      <c r="Y410" s="6" t="str">
        <f t="shared" si="135"/>
        <v>T04</v>
      </c>
      <c r="Z410" s="6" t="str">
        <f t="shared" si="136"/>
        <v>604</v>
      </c>
      <c r="AA410" s="6">
        <f t="shared" si="141"/>
        <v>2</v>
      </c>
      <c r="AB410" s="6">
        <f t="shared" si="137"/>
        <v>2</v>
      </c>
      <c r="AC410" s="6"/>
      <c r="AD410" s="23"/>
    </row>
    <row r="411" spans="1:30" ht="30" x14ac:dyDescent="0.25">
      <c r="A411" s="2" t="s">
        <v>125</v>
      </c>
      <c r="B411" s="2" t="s">
        <v>1398</v>
      </c>
      <c r="C411" s="2" t="s">
        <v>1399</v>
      </c>
      <c r="D411" s="2" t="s">
        <v>79</v>
      </c>
      <c r="E411" s="2" t="s">
        <v>1400</v>
      </c>
      <c r="F411" s="2">
        <v>10</v>
      </c>
      <c r="G411" s="2" t="s">
        <v>13</v>
      </c>
      <c r="H411" s="2">
        <v>15</v>
      </c>
      <c r="I411" s="6">
        <f t="shared" si="138"/>
        <v>150</v>
      </c>
      <c r="J411" s="6">
        <f t="shared" si="142"/>
        <v>111</v>
      </c>
      <c r="K411" s="6">
        <f t="shared" si="143"/>
        <v>110</v>
      </c>
      <c r="L411" s="6">
        <f t="shared" si="139"/>
        <v>655</v>
      </c>
      <c r="M411" s="6">
        <f t="shared" si="144"/>
        <v>35</v>
      </c>
      <c r="N411" s="6" t="b">
        <f t="shared" si="125"/>
        <v>0</v>
      </c>
      <c r="O411" s="6" t="b">
        <f t="shared" si="140"/>
        <v>1</v>
      </c>
      <c r="P411" s="6" t="str">
        <f t="shared" si="126"/>
        <v>C005058-ct</v>
      </c>
      <c r="Q411" s="7" t="str">
        <f t="shared" si="127"/>
        <v>T067870
10</v>
      </c>
      <c r="R411" s="6" t="b">
        <f t="shared" si="128"/>
        <v>0</v>
      </c>
      <c r="S411" s="6" t="str">
        <f t="shared" si="129"/>
        <v>13</v>
      </c>
      <c r="T411" s="6" t="str">
        <f t="shared" si="130"/>
        <v>CT</v>
      </c>
      <c r="U411" s="6" t="str">
        <f t="shared" si="131"/>
        <v>ct</v>
      </c>
      <c r="V411" s="6">
        <f t="shared" si="132"/>
        <v>2</v>
      </c>
      <c r="W411" s="6" t="str">
        <f t="shared" si="133"/>
        <v>T067870 10</v>
      </c>
      <c r="X411" s="6" t="str">
        <f t="shared" si="134"/>
        <v>S55397</v>
      </c>
      <c r="Y411" s="6" t="str">
        <f t="shared" si="135"/>
        <v>T06</v>
      </c>
      <c r="Z411" s="6" t="str">
        <f t="shared" si="136"/>
        <v>870</v>
      </c>
      <c r="AA411" s="6">
        <f t="shared" si="141"/>
        <v>2</v>
      </c>
      <c r="AB411" s="6">
        <f t="shared" si="137"/>
        <v>2</v>
      </c>
      <c r="AC411" s="6"/>
      <c r="AD411" s="23"/>
    </row>
    <row r="412" spans="1:30" ht="30" x14ac:dyDescent="0.25">
      <c r="A412" s="2" t="s">
        <v>288</v>
      </c>
      <c r="B412" s="2" t="s">
        <v>1401</v>
      </c>
      <c r="C412" s="2" t="s">
        <v>1402</v>
      </c>
      <c r="D412" s="2" t="s">
        <v>128</v>
      </c>
      <c r="E412" s="2" t="s">
        <v>1164</v>
      </c>
      <c r="F412" s="2">
        <v>4</v>
      </c>
      <c r="G412" s="2" t="s">
        <v>106</v>
      </c>
      <c r="H412" s="2">
        <v>15</v>
      </c>
      <c r="I412" s="6">
        <f t="shared" si="138"/>
        <v>60</v>
      </c>
      <c r="J412" s="6">
        <f t="shared" si="142"/>
        <v>344.5</v>
      </c>
      <c r="K412" s="6">
        <f t="shared" si="143"/>
        <v>337</v>
      </c>
      <c r="L412" s="6">
        <f t="shared" si="139"/>
        <v>111</v>
      </c>
      <c r="M412" s="6">
        <f t="shared" si="144"/>
        <v>7</v>
      </c>
      <c r="N412" s="6" t="b">
        <f t="shared" si="125"/>
        <v>0</v>
      </c>
      <c r="O412" s="6" t="b">
        <f t="shared" si="140"/>
        <v>1</v>
      </c>
      <c r="P412" s="6" t="str">
        <f t="shared" si="126"/>
        <v>C005078-bags</v>
      </c>
      <c r="Q412" s="7" t="str">
        <f t="shared" si="127"/>
        <v>T069039
4</v>
      </c>
      <c r="R412" s="6" t="b">
        <f t="shared" si="128"/>
        <v>0</v>
      </c>
      <c r="S412" s="6" t="str">
        <f t="shared" si="129"/>
        <v>15</v>
      </c>
      <c r="T412" s="6" t="str">
        <f t="shared" si="130"/>
        <v>BAGS</v>
      </c>
      <c r="U412" s="6" t="str">
        <f t="shared" si="131"/>
        <v>bags</v>
      </c>
      <c r="V412" s="6">
        <f t="shared" si="132"/>
        <v>2</v>
      </c>
      <c r="W412" s="6" t="str">
        <f t="shared" si="133"/>
        <v>T069039 4</v>
      </c>
      <c r="X412" s="6" t="str">
        <f t="shared" si="134"/>
        <v>S55634</v>
      </c>
      <c r="Y412" s="6" t="str">
        <f t="shared" si="135"/>
        <v>T06</v>
      </c>
      <c r="Z412" s="6" t="str">
        <f t="shared" si="136"/>
        <v>039</v>
      </c>
      <c r="AA412" s="6">
        <f t="shared" si="141"/>
        <v>2</v>
      </c>
      <c r="AB412" s="6">
        <f t="shared" si="137"/>
        <v>4</v>
      </c>
      <c r="AC412" s="6"/>
      <c r="AD412" s="23"/>
    </row>
    <row r="413" spans="1:30" ht="30" x14ac:dyDescent="0.25">
      <c r="A413" s="2" t="s">
        <v>101</v>
      </c>
      <c r="B413" s="2" t="s">
        <v>1403</v>
      </c>
      <c r="C413" s="2" t="s">
        <v>1404</v>
      </c>
      <c r="D413" s="2" t="s">
        <v>844</v>
      </c>
      <c r="E413" s="2" t="s">
        <v>1258</v>
      </c>
      <c r="F413" s="2">
        <v>6</v>
      </c>
      <c r="G413" s="2" t="s">
        <v>13</v>
      </c>
      <c r="H413" s="2">
        <v>11</v>
      </c>
      <c r="I413" s="6">
        <f t="shared" si="138"/>
        <v>66</v>
      </c>
      <c r="J413" s="6">
        <f t="shared" si="142"/>
        <v>317</v>
      </c>
      <c r="K413" s="6">
        <f t="shared" si="143"/>
        <v>315</v>
      </c>
      <c r="L413" s="6">
        <f t="shared" si="139"/>
        <v>640</v>
      </c>
      <c r="M413" s="6">
        <f t="shared" si="144"/>
        <v>34</v>
      </c>
      <c r="N413" s="6" t="b">
        <f t="shared" si="125"/>
        <v>0</v>
      </c>
      <c r="O413" s="6" t="b">
        <f t="shared" si="140"/>
        <v>1</v>
      </c>
      <c r="P413" s="6" t="str">
        <f t="shared" si="126"/>
        <v>C006988-ct</v>
      </c>
      <c r="Q413" s="7" t="str">
        <f t="shared" si="127"/>
        <v>T02631
6</v>
      </c>
      <c r="R413" s="6" t="b">
        <f t="shared" si="128"/>
        <v>0</v>
      </c>
      <c r="S413" s="6" t="str">
        <f t="shared" si="129"/>
        <v>25</v>
      </c>
      <c r="T413" s="6" t="str">
        <f t="shared" si="130"/>
        <v>CT</v>
      </c>
      <c r="U413" s="6" t="str">
        <f t="shared" si="131"/>
        <v>ct</v>
      </c>
      <c r="V413" s="6">
        <f t="shared" si="132"/>
        <v>2</v>
      </c>
      <c r="W413" s="6" t="str">
        <f t="shared" si="133"/>
        <v>T02631 6</v>
      </c>
      <c r="X413" s="6" t="str">
        <f t="shared" si="134"/>
        <v>S55579</v>
      </c>
      <c r="Y413" s="6" t="str">
        <f t="shared" si="135"/>
        <v>T02</v>
      </c>
      <c r="Z413" s="6" t="str">
        <f t="shared" si="136"/>
        <v>631</v>
      </c>
      <c r="AA413" s="6">
        <f t="shared" si="141"/>
        <v>2</v>
      </c>
      <c r="AB413" s="6">
        <f t="shared" si="137"/>
        <v>2</v>
      </c>
      <c r="AC413" s="6"/>
      <c r="AD413" s="23"/>
    </row>
    <row r="414" spans="1:30" ht="30" x14ac:dyDescent="0.25">
      <c r="A414" s="2" t="s">
        <v>173</v>
      </c>
      <c r="B414" s="2" t="s">
        <v>1405</v>
      </c>
      <c r="C414" s="2" t="s">
        <v>1406</v>
      </c>
      <c r="D414" s="2" t="s">
        <v>1407</v>
      </c>
      <c r="E414" s="2" t="s">
        <v>1408</v>
      </c>
      <c r="F414" s="2">
        <v>1</v>
      </c>
      <c r="G414" s="2" t="s">
        <v>13</v>
      </c>
      <c r="H414" s="2">
        <v>14</v>
      </c>
      <c r="I414" s="6">
        <f t="shared" si="138"/>
        <v>14</v>
      </c>
      <c r="J414" s="6">
        <f t="shared" si="142"/>
        <v>481.5</v>
      </c>
      <c r="K414" s="6">
        <f t="shared" si="143"/>
        <v>481</v>
      </c>
      <c r="L414" s="6">
        <f t="shared" si="139"/>
        <v>629</v>
      </c>
      <c r="M414" s="6">
        <f t="shared" si="144"/>
        <v>33</v>
      </c>
      <c r="N414" s="6" t="b">
        <f t="shared" si="125"/>
        <v>0</v>
      </c>
      <c r="O414" s="6" t="b">
        <f t="shared" si="140"/>
        <v>1</v>
      </c>
      <c r="P414" s="6" t="str">
        <f t="shared" si="126"/>
        <v>C005421-ct</v>
      </c>
      <c r="Q414" s="7" t="str">
        <f t="shared" si="127"/>
        <v>T01302
1</v>
      </c>
      <c r="R414" s="6" t="b">
        <f t="shared" si="128"/>
        <v>0</v>
      </c>
      <c r="S414" s="6" t="str">
        <f t="shared" si="129"/>
        <v>20</v>
      </c>
      <c r="T414" s="6" t="str">
        <f t="shared" si="130"/>
        <v>CT</v>
      </c>
      <c r="U414" s="6" t="str">
        <f t="shared" si="131"/>
        <v>ct</v>
      </c>
      <c r="V414" s="6">
        <f t="shared" si="132"/>
        <v>2</v>
      </c>
      <c r="W414" s="6" t="str">
        <f t="shared" si="133"/>
        <v>T01302 1</v>
      </c>
      <c r="X414" s="6" t="str">
        <f t="shared" si="134"/>
        <v>S55286</v>
      </c>
      <c r="Y414" s="6" t="str">
        <f t="shared" si="135"/>
        <v>T01</v>
      </c>
      <c r="Z414" s="6" t="str">
        <f t="shared" si="136"/>
        <v>302</v>
      </c>
      <c r="AA414" s="6">
        <f t="shared" si="141"/>
        <v>2</v>
      </c>
      <c r="AB414" s="6">
        <f t="shared" si="137"/>
        <v>2</v>
      </c>
      <c r="AC414" s="6"/>
      <c r="AD414" s="23"/>
    </row>
    <row r="415" spans="1:30" ht="30" x14ac:dyDescent="0.25">
      <c r="A415" s="2" t="s">
        <v>224</v>
      </c>
      <c r="B415" s="2" t="s">
        <v>138</v>
      </c>
      <c r="C415" s="2" t="s">
        <v>1409</v>
      </c>
      <c r="D415" s="2" t="s">
        <v>548</v>
      </c>
      <c r="E415" s="2" t="s">
        <v>1410</v>
      </c>
      <c r="F415" s="2">
        <v>4</v>
      </c>
      <c r="G415" s="2" t="s">
        <v>35</v>
      </c>
      <c r="H415" s="2">
        <v>8</v>
      </c>
      <c r="I415" s="6">
        <f t="shared" si="138"/>
        <v>32</v>
      </c>
      <c r="J415" s="6">
        <f t="shared" si="142"/>
        <v>435</v>
      </c>
      <c r="K415" s="6">
        <f t="shared" si="143"/>
        <v>433</v>
      </c>
      <c r="L415" s="6">
        <f t="shared" si="139"/>
        <v>523.75</v>
      </c>
      <c r="M415" s="6">
        <f t="shared" si="144"/>
        <v>30</v>
      </c>
      <c r="N415" s="6" t="b">
        <f t="shared" si="125"/>
        <v>0</v>
      </c>
      <c r="O415" s="6" t="b">
        <f t="shared" si="140"/>
        <v>1</v>
      </c>
      <c r="P415" s="6" t="str">
        <f t="shared" si="126"/>
        <v>C009102-cans</v>
      </c>
      <c r="Q415" s="7" t="str">
        <f t="shared" si="127"/>
        <v>T050672
4</v>
      </c>
      <c r="R415" s="6" t="b">
        <f t="shared" si="128"/>
        <v>0</v>
      </c>
      <c r="S415" s="6" t="str">
        <f t="shared" si="129"/>
        <v>04</v>
      </c>
      <c r="T415" s="6" t="str">
        <f t="shared" si="130"/>
        <v>CANS</v>
      </c>
      <c r="U415" s="6" t="str">
        <f t="shared" si="131"/>
        <v>cans</v>
      </c>
      <c r="V415" s="6">
        <f t="shared" si="132"/>
        <v>2</v>
      </c>
      <c r="W415" s="6" t="str">
        <f t="shared" si="133"/>
        <v>T050672 4</v>
      </c>
      <c r="X415" s="6" t="str">
        <f t="shared" si="134"/>
        <v>S55277</v>
      </c>
      <c r="Y415" s="6" t="str">
        <f t="shared" si="135"/>
        <v>T05</v>
      </c>
      <c r="Z415" s="6" t="str">
        <f t="shared" si="136"/>
        <v>672</v>
      </c>
      <c r="AA415" s="6">
        <f t="shared" si="141"/>
        <v>2</v>
      </c>
      <c r="AB415" s="6">
        <f t="shared" si="137"/>
        <v>4</v>
      </c>
      <c r="AC415" s="6"/>
      <c r="AD415" s="23"/>
    </row>
    <row r="416" spans="1:30" ht="30" x14ac:dyDescent="0.25">
      <c r="A416" s="2" t="s">
        <v>288</v>
      </c>
      <c r="B416" s="2" t="s">
        <v>1411</v>
      </c>
      <c r="C416" s="2" t="s">
        <v>1412</v>
      </c>
      <c r="D416" s="2" t="s">
        <v>1413</v>
      </c>
      <c r="E416" s="2" t="s">
        <v>1414</v>
      </c>
      <c r="F416" s="2">
        <v>8</v>
      </c>
      <c r="G416" s="2" t="s">
        <v>13</v>
      </c>
      <c r="H416" s="2">
        <v>14</v>
      </c>
      <c r="I416" s="6">
        <f t="shared" si="138"/>
        <v>112</v>
      </c>
      <c r="J416" s="6">
        <f t="shared" si="142"/>
        <v>188.5</v>
      </c>
      <c r="K416" s="6">
        <f t="shared" si="143"/>
        <v>186</v>
      </c>
      <c r="L416" s="6">
        <f t="shared" si="139"/>
        <v>615</v>
      </c>
      <c r="M416" s="6">
        <f t="shared" si="144"/>
        <v>32</v>
      </c>
      <c r="N416" s="6" t="b">
        <f t="shared" si="125"/>
        <v>0</v>
      </c>
      <c r="O416" s="6" t="b">
        <f t="shared" si="140"/>
        <v>1</v>
      </c>
      <c r="P416" s="6" t="str">
        <f t="shared" si="126"/>
        <v>C000976-ct</v>
      </c>
      <c r="Q416" s="7" t="str">
        <f t="shared" si="127"/>
        <v>T020286
8</v>
      </c>
      <c r="R416" s="6" t="b">
        <f t="shared" si="128"/>
        <v>0</v>
      </c>
      <c r="S416" s="6" t="str">
        <f t="shared" si="129"/>
        <v>20</v>
      </c>
      <c r="T416" s="6" t="str">
        <f t="shared" si="130"/>
        <v>CT</v>
      </c>
      <c r="U416" s="6" t="str">
        <f t="shared" si="131"/>
        <v>ct</v>
      </c>
      <c r="V416" s="6">
        <f t="shared" si="132"/>
        <v>2</v>
      </c>
      <c r="W416" s="6" t="str">
        <f t="shared" si="133"/>
        <v>T020286 8</v>
      </c>
      <c r="X416" s="6" t="str">
        <f t="shared" si="134"/>
        <v>S55173</v>
      </c>
      <c r="Y416" s="6" t="str">
        <f t="shared" si="135"/>
        <v>T02</v>
      </c>
      <c r="Z416" s="6" t="str">
        <f t="shared" si="136"/>
        <v>286</v>
      </c>
      <c r="AA416" s="6">
        <f t="shared" si="141"/>
        <v>2</v>
      </c>
      <c r="AB416" s="6">
        <f t="shared" si="137"/>
        <v>2</v>
      </c>
      <c r="AC416" s="6"/>
      <c r="AD416" s="23"/>
    </row>
    <row r="417" spans="1:30" ht="30" x14ac:dyDescent="0.25">
      <c r="A417" s="2" t="s">
        <v>743</v>
      </c>
      <c r="B417" s="2" t="s">
        <v>1415</v>
      </c>
      <c r="C417" s="2" t="s">
        <v>1416</v>
      </c>
      <c r="D417" s="2" t="s">
        <v>1417</v>
      </c>
      <c r="E417" s="2" t="s">
        <v>191</v>
      </c>
      <c r="F417" s="2">
        <v>3</v>
      </c>
      <c r="G417" s="2" t="s">
        <v>35</v>
      </c>
      <c r="H417" s="2">
        <v>6.75</v>
      </c>
      <c r="I417" s="6">
        <f t="shared" si="138"/>
        <v>20.25</v>
      </c>
      <c r="J417" s="6">
        <f t="shared" si="142"/>
        <v>459.5</v>
      </c>
      <c r="K417" s="6">
        <f t="shared" si="143"/>
        <v>458</v>
      </c>
      <c r="L417" s="6">
        <f t="shared" si="139"/>
        <v>515.75</v>
      </c>
      <c r="M417" s="6">
        <f t="shared" si="144"/>
        <v>29</v>
      </c>
      <c r="N417" s="6" t="b">
        <f t="shared" si="125"/>
        <v>0</v>
      </c>
      <c r="O417" s="6" t="b">
        <f t="shared" si="140"/>
        <v>1</v>
      </c>
      <c r="P417" s="6" t="str">
        <f t="shared" si="126"/>
        <v>C003434-cans</v>
      </c>
      <c r="Q417" s="7" t="str">
        <f t="shared" si="127"/>
        <v>T086899
3</v>
      </c>
      <c r="R417" s="6" t="b">
        <f t="shared" si="128"/>
        <v>0</v>
      </c>
      <c r="S417" s="6" t="str">
        <f t="shared" si="129"/>
        <v>01</v>
      </c>
      <c r="T417" s="6" t="str">
        <f t="shared" si="130"/>
        <v>CANS</v>
      </c>
      <c r="U417" s="6" t="str">
        <f t="shared" si="131"/>
        <v>cans</v>
      </c>
      <c r="V417" s="6">
        <f t="shared" si="132"/>
        <v>2</v>
      </c>
      <c r="W417" s="6" t="str">
        <f t="shared" si="133"/>
        <v>T086899 3</v>
      </c>
      <c r="X417" s="6" t="str">
        <f t="shared" si="134"/>
        <v>S5537</v>
      </c>
      <c r="Y417" s="6" t="str">
        <f t="shared" si="135"/>
        <v>T08</v>
      </c>
      <c r="Z417" s="6" t="str">
        <f t="shared" si="136"/>
        <v>899</v>
      </c>
      <c r="AA417" s="6">
        <f t="shared" si="141"/>
        <v>2</v>
      </c>
      <c r="AB417" s="6">
        <f t="shared" si="137"/>
        <v>4</v>
      </c>
      <c r="AC417" s="6"/>
      <c r="AD417" s="23"/>
    </row>
    <row r="418" spans="1:30" ht="30" x14ac:dyDescent="0.25">
      <c r="A418" s="2" t="s">
        <v>20</v>
      </c>
      <c r="B418" s="2" t="s">
        <v>1418</v>
      </c>
      <c r="C418" s="2" t="s">
        <v>1419</v>
      </c>
      <c r="D418" s="2" t="s">
        <v>1420</v>
      </c>
      <c r="E418" s="2" t="s">
        <v>1421</v>
      </c>
      <c r="F418" s="2">
        <v>1</v>
      </c>
      <c r="G418" s="2"/>
      <c r="H418" s="2">
        <v>17</v>
      </c>
      <c r="I418" s="6">
        <f t="shared" si="138"/>
        <v>17</v>
      </c>
      <c r="J418" s="6">
        <f t="shared" si="142"/>
        <v>468.5</v>
      </c>
      <c r="K418" s="6">
        <f t="shared" si="143"/>
        <v>468</v>
      </c>
      <c r="L418" s="6">
        <f t="shared" si="139"/>
        <v>0</v>
      </c>
      <c r="M418" s="6">
        <f t="shared" si="144"/>
        <v>0</v>
      </c>
      <c r="N418" s="6" t="b">
        <f t="shared" si="125"/>
        <v>0</v>
      </c>
      <c r="O418" s="6" t="b">
        <f t="shared" si="140"/>
        <v>1</v>
      </c>
      <c r="P418" s="6" t="str">
        <f t="shared" si="126"/>
        <v>C001653-</v>
      </c>
      <c r="Q418" s="7" t="str">
        <f t="shared" si="127"/>
        <v>T053668
1</v>
      </c>
      <c r="R418" s="6" t="b">
        <f t="shared" si="128"/>
        <v>0</v>
      </c>
      <c r="S418" s="6" t="str">
        <f t="shared" si="129"/>
        <v>15</v>
      </c>
      <c r="T418" s="6" t="str">
        <f t="shared" si="130"/>
        <v/>
      </c>
      <c r="U418" s="6" t="str">
        <f t="shared" si="131"/>
        <v/>
      </c>
      <c r="V418" s="6">
        <f t="shared" si="132"/>
        <v>2</v>
      </c>
      <c r="W418" s="6" t="str">
        <f t="shared" si="133"/>
        <v>T053668 1</v>
      </c>
      <c r="X418" s="6" t="str">
        <f t="shared" si="134"/>
        <v>S55327</v>
      </c>
      <c r="Y418" s="6" t="str">
        <f t="shared" si="135"/>
        <v>T05</v>
      </c>
      <c r="Z418" s="6" t="str">
        <f t="shared" si="136"/>
        <v>668</v>
      </c>
      <c r="AA418" s="6">
        <f t="shared" si="141"/>
        <v>2</v>
      </c>
      <c r="AB418" s="6">
        <f t="shared" si="137"/>
        <v>0</v>
      </c>
      <c r="AC418" s="6"/>
      <c r="AD418" s="23"/>
    </row>
    <row r="419" spans="1:30" ht="30" x14ac:dyDescent="0.25">
      <c r="A419" s="2" t="s">
        <v>137</v>
      </c>
      <c r="B419" s="2" t="s">
        <v>1422</v>
      </c>
      <c r="C419" s="2" t="s">
        <v>1423</v>
      </c>
      <c r="D419" s="2" t="s">
        <v>1424</v>
      </c>
      <c r="E419" s="2" t="s">
        <v>1425</v>
      </c>
      <c r="F419" s="2">
        <v>7</v>
      </c>
      <c r="G419" s="2" t="s">
        <v>35</v>
      </c>
      <c r="H419" s="2">
        <v>6.75</v>
      </c>
      <c r="I419" s="6">
        <f t="shared" si="138"/>
        <v>47.25</v>
      </c>
      <c r="J419" s="6">
        <f t="shared" si="142"/>
        <v>389</v>
      </c>
      <c r="K419" s="6">
        <f t="shared" si="143"/>
        <v>387</v>
      </c>
      <c r="L419" s="6">
        <f t="shared" si="139"/>
        <v>509</v>
      </c>
      <c r="M419" s="6">
        <f t="shared" si="144"/>
        <v>28</v>
      </c>
      <c r="N419" s="6" t="b">
        <f t="shared" si="125"/>
        <v>0</v>
      </c>
      <c r="O419" s="6" t="b">
        <f t="shared" si="140"/>
        <v>1</v>
      </c>
      <c r="P419" s="6" t="str">
        <f t="shared" si="126"/>
        <v>C006996-cans</v>
      </c>
      <c r="Q419" s="7" t="str">
        <f t="shared" si="127"/>
        <v>T099461
7</v>
      </c>
      <c r="R419" s="6" t="b">
        <f t="shared" si="128"/>
        <v>0</v>
      </c>
      <c r="S419" s="6" t="str">
        <f t="shared" si="129"/>
        <v>02</v>
      </c>
      <c r="T419" s="6" t="str">
        <f t="shared" si="130"/>
        <v>CANS</v>
      </c>
      <c r="U419" s="6" t="str">
        <f t="shared" si="131"/>
        <v>cans</v>
      </c>
      <c r="V419" s="6">
        <f t="shared" si="132"/>
        <v>2</v>
      </c>
      <c r="W419" s="6" t="str">
        <f t="shared" si="133"/>
        <v>T099461 7</v>
      </c>
      <c r="X419" s="6" t="str">
        <f t="shared" si="134"/>
        <v>S55325</v>
      </c>
      <c r="Y419" s="6" t="str">
        <f t="shared" si="135"/>
        <v>T09</v>
      </c>
      <c r="Z419" s="6" t="str">
        <f t="shared" si="136"/>
        <v>461</v>
      </c>
      <c r="AA419" s="6">
        <f t="shared" si="141"/>
        <v>2</v>
      </c>
      <c r="AB419" s="6">
        <f t="shared" si="137"/>
        <v>4</v>
      </c>
      <c r="AC419" s="6"/>
      <c r="AD419" s="23"/>
    </row>
    <row r="420" spans="1:30" ht="30" x14ac:dyDescent="0.25">
      <c r="A420" s="2" t="s">
        <v>61</v>
      </c>
      <c r="B420" s="2" t="s">
        <v>1426</v>
      </c>
      <c r="C420" s="2" t="s">
        <v>1427</v>
      </c>
      <c r="D420" s="2" t="s">
        <v>1428</v>
      </c>
      <c r="E420" s="2" t="s">
        <v>1217</v>
      </c>
      <c r="F420" s="2">
        <v>7</v>
      </c>
      <c r="G420" s="2" t="s">
        <v>1072</v>
      </c>
      <c r="H420" s="2">
        <v>15</v>
      </c>
      <c r="I420" s="6">
        <f t="shared" si="138"/>
        <v>105</v>
      </c>
      <c r="J420" s="6">
        <f t="shared" si="142"/>
        <v>202.5</v>
      </c>
      <c r="K420" s="6">
        <f t="shared" si="143"/>
        <v>199</v>
      </c>
      <c r="L420" s="6">
        <f t="shared" si="139"/>
        <v>96</v>
      </c>
      <c r="M420" s="6">
        <f t="shared" si="144"/>
        <v>6</v>
      </c>
      <c r="N420" s="6" t="b">
        <f t="shared" si="125"/>
        <v>0</v>
      </c>
      <c r="O420" s="6" t="b">
        <f t="shared" si="140"/>
        <v>1</v>
      </c>
      <c r="P420" s="6" t="str">
        <f t="shared" si="126"/>
        <v>C007063-Bags</v>
      </c>
      <c r="Q420" s="7" t="str">
        <f t="shared" si="127"/>
        <v>T090647
7</v>
      </c>
      <c r="R420" s="6" t="b">
        <f t="shared" si="128"/>
        <v>0</v>
      </c>
      <c r="S420" s="6" t="str">
        <f t="shared" si="129"/>
        <v>15</v>
      </c>
      <c r="T420" s="6" t="str">
        <f t="shared" si="130"/>
        <v>BAGS</v>
      </c>
      <c r="U420" s="6" t="str">
        <f t="shared" si="131"/>
        <v>bags</v>
      </c>
      <c r="V420" s="6">
        <f t="shared" si="132"/>
        <v>2</v>
      </c>
      <c r="W420" s="6" t="str">
        <f t="shared" si="133"/>
        <v>T090647 7</v>
      </c>
      <c r="X420" s="6" t="str">
        <f t="shared" si="134"/>
        <v>S55235</v>
      </c>
      <c r="Y420" s="6" t="str">
        <f t="shared" si="135"/>
        <v>T09</v>
      </c>
      <c r="Z420" s="6" t="str">
        <f t="shared" si="136"/>
        <v>647</v>
      </c>
      <c r="AA420" s="6">
        <f t="shared" si="141"/>
        <v>2</v>
      </c>
      <c r="AB420" s="6">
        <f t="shared" si="137"/>
        <v>4</v>
      </c>
      <c r="AC420" s="6"/>
      <c r="AD420" s="23"/>
    </row>
    <row r="421" spans="1:30" ht="30" x14ac:dyDescent="0.25">
      <c r="A421" s="2" t="s">
        <v>121</v>
      </c>
      <c r="B421" s="2" t="s">
        <v>1429</v>
      </c>
      <c r="C421" s="2" t="s">
        <v>1430</v>
      </c>
      <c r="D421" s="2" t="s">
        <v>600</v>
      </c>
      <c r="E421" s="2" t="s">
        <v>1150</v>
      </c>
      <c r="F421" s="2">
        <v>11</v>
      </c>
      <c r="G421" s="2" t="s">
        <v>35</v>
      </c>
      <c r="H421" s="2">
        <v>40</v>
      </c>
      <c r="I421" s="6">
        <f t="shared" si="138"/>
        <v>440</v>
      </c>
      <c r="J421" s="6">
        <f t="shared" si="142"/>
        <v>3.5</v>
      </c>
      <c r="K421" s="6">
        <f t="shared" si="143"/>
        <v>2</v>
      </c>
      <c r="L421" s="6">
        <f t="shared" si="139"/>
        <v>502.25</v>
      </c>
      <c r="M421" s="6">
        <f t="shared" si="144"/>
        <v>27</v>
      </c>
      <c r="N421" s="6" t="b">
        <f t="shared" si="125"/>
        <v>1</v>
      </c>
      <c r="O421" s="6" t="b">
        <f t="shared" si="140"/>
        <v>1</v>
      </c>
      <c r="P421" s="6" t="str">
        <f t="shared" si="126"/>
        <v>C002624-cans</v>
      </c>
      <c r="Q421" s="7" t="str">
        <f t="shared" si="127"/>
        <v>T046497
11</v>
      </c>
      <c r="R421" s="6" t="b">
        <f t="shared" si="128"/>
        <v>0</v>
      </c>
      <c r="S421" s="6" t="str">
        <f t="shared" si="129"/>
        <v>06</v>
      </c>
      <c r="T421" s="6" t="str">
        <f t="shared" si="130"/>
        <v>CANS</v>
      </c>
      <c r="U421" s="6" t="str">
        <f t="shared" si="131"/>
        <v>cans</v>
      </c>
      <c r="V421" s="6">
        <f t="shared" si="132"/>
        <v>2</v>
      </c>
      <c r="W421" s="6" t="str">
        <f t="shared" si="133"/>
        <v>T046497 11</v>
      </c>
      <c r="X421" s="6" t="str">
        <f t="shared" si="134"/>
        <v>S55493</v>
      </c>
      <c r="Y421" s="6" t="str">
        <f t="shared" si="135"/>
        <v>T04</v>
      </c>
      <c r="Z421" s="6" t="str">
        <f t="shared" si="136"/>
        <v>497</v>
      </c>
      <c r="AA421" s="6">
        <f t="shared" si="141"/>
        <v>2</v>
      </c>
      <c r="AB421" s="6">
        <f t="shared" si="137"/>
        <v>4</v>
      </c>
      <c r="AC421" s="6"/>
      <c r="AD421" s="23"/>
    </row>
    <row r="422" spans="1:30" ht="30" x14ac:dyDescent="0.25">
      <c r="A422" s="2" t="s">
        <v>125</v>
      </c>
      <c r="B422" s="2" t="s">
        <v>1431</v>
      </c>
      <c r="C422" s="2" t="s">
        <v>1432</v>
      </c>
      <c r="D422" s="2" t="s">
        <v>1433</v>
      </c>
      <c r="E422" s="2" t="s">
        <v>1434</v>
      </c>
      <c r="F422" s="2">
        <v>11</v>
      </c>
      <c r="G422" s="2" t="s">
        <v>13</v>
      </c>
      <c r="H422" s="2">
        <v>13</v>
      </c>
      <c r="I422" s="6">
        <f t="shared" si="138"/>
        <v>143</v>
      </c>
      <c r="J422" s="6">
        <f t="shared" si="142"/>
        <v>122.5</v>
      </c>
      <c r="K422" s="6">
        <f t="shared" si="143"/>
        <v>122</v>
      </c>
      <c r="L422" s="6">
        <f t="shared" si="139"/>
        <v>601</v>
      </c>
      <c r="M422" s="6">
        <f t="shared" si="144"/>
        <v>31</v>
      </c>
      <c r="N422" s="6" t="b">
        <f t="shared" si="125"/>
        <v>0</v>
      </c>
      <c r="O422" s="6" t="b">
        <f t="shared" si="140"/>
        <v>1</v>
      </c>
      <c r="P422" s="6" t="str">
        <f t="shared" si="126"/>
        <v>C001874-ct</v>
      </c>
      <c r="Q422" s="7" t="str">
        <f t="shared" si="127"/>
        <v>T075988
11</v>
      </c>
      <c r="R422" s="6" t="b">
        <f t="shared" si="128"/>
        <v>0</v>
      </c>
      <c r="S422" s="6" t="str">
        <f t="shared" si="129"/>
        <v>20</v>
      </c>
      <c r="T422" s="6" t="str">
        <f t="shared" si="130"/>
        <v>CT</v>
      </c>
      <c r="U422" s="6" t="str">
        <f t="shared" si="131"/>
        <v>ct</v>
      </c>
      <c r="V422" s="6">
        <f t="shared" si="132"/>
        <v>2</v>
      </c>
      <c r="W422" s="6" t="str">
        <f t="shared" si="133"/>
        <v>T075988 11</v>
      </c>
      <c r="X422" s="6" t="str">
        <f t="shared" si="134"/>
        <v>S55585</v>
      </c>
      <c r="Y422" s="6" t="str">
        <f t="shared" si="135"/>
        <v>T07</v>
      </c>
      <c r="Z422" s="6" t="str">
        <f t="shared" si="136"/>
        <v>988</v>
      </c>
      <c r="AA422" s="6">
        <f t="shared" si="141"/>
        <v>2</v>
      </c>
      <c r="AB422" s="6">
        <f t="shared" si="137"/>
        <v>2</v>
      </c>
      <c r="AC422" s="6"/>
      <c r="AD422" s="23"/>
    </row>
    <row r="423" spans="1:30" ht="30" x14ac:dyDescent="0.25">
      <c r="A423" s="2" t="s">
        <v>288</v>
      </c>
      <c r="B423" s="2" t="s">
        <v>1435</v>
      </c>
      <c r="C423" s="2" t="s">
        <v>1436</v>
      </c>
      <c r="D423" s="2" t="s">
        <v>171</v>
      </c>
      <c r="E423" s="2" t="s">
        <v>363</v>
      </c>
      <c r="F423" s="2">
        <v>10</v>
      </c>
      <c r="G423" s="2" t="s">
        <v>35</v>
      </c>
      <c r="H423" s="2">
        <v>6.75</v>
      </c>
      <c r="I423" s="6">
        <f t="shared" si="138"/>
        <v>67.5</v>
      </c>
      <c r="J423" s="6">
        <f t="shared" si="142"/>
        <v>311.5</v>
      </c>
      <c r="K423" s="6">
        <f t="shared" si="143"/>
        <v>309</v>
      </c>
      <c r="L423" s="6">
        <f t="shared" si="139"/>
        <v>462.25</v>
      </c>
      <c r="M423" s="6">
        <f t="shared" si="144"/>
        <v>26</v>
      </c>
      <c r="N423" s="6" t="b">
        <f t="shared" si="125"/>
        <v>0</v>
      </c>
      <c r="O423" s="6" t="b">
        <f t="shared" si="140"/>
        <v>0</v>
      </c>
      <c r="P423" s="6" t="str">
        <f t="shared" si="126"/>
        <v>C002851-cans</v>
      </c>
      <c r="Q423" s="7" t="str">
        <f t="shared" si="127"/>
        <v>T070760
10</v>
      </c>
      <c r="R423" s="6" t="b">
        <f t="shared" si="128"/>
        <v>0</v>
      </c>
      <c r="S423" s="6" t="str">
        <f t="shared" si="129"/>
        <v>07</v>
      </c>
      <c r="T423" s="6" t="str">
        <f t="shared" si="130"/>
        <v>CANS</v>
      </c>
      <c r="U423" s="6" t="str">
        <f t="shared" si="131"/>
        <v>cans</v>
      </c>
      <c r="V423" s="6">
        <f t="shared" si="132"/>
        <v>2</v>
      </c>
      <c r="W423" s="6" t="str">
        <f t="shared" si="133"/>
        <v>T070760 10</v>
      </c>
      <c r="X423" s="6" t="str">
        <f t="shared" si="134"/>
        <v>S55591</v>
      </c>
      <c r="Y423" s="6" t="str">
        <f t="shared" si="135"/>
        <v>T07</v>
      </c>
      <c r="Z423" s="6" t="str">
        <f t="shared" si="136"/>
        <v>760</v>
      </c>
      <c r="AA423" s="6">
        <f t="shared" si="141"/>
        <v>2</v>
      </c>
      <c r="AB423" s="6">
        <f t="shared" si="137"/>
        <v>4</v>
      </c>
      <c r="AC423" s="6"/>
      <c r="AD423" s="23"/>
    </row>
    <row r="424" spans="1:30" ht="30" x14ac:dyDescent="0.25">
      <c r="A424" s="2" t="s">
        <v>96</v>
      </c>
      <c r="B424" s="2" t="s">
        <v>1437</v>
      </c>
      <c r="C424" s="2" t="s">
        <v>1438</v>
      </c>
      <c r="D424" s="2" t="s">
        <v>85</v>
      </c>
      <c r="E424" s="2" t="s">
        <v>1439</v>
      </c>
      <c r="F424" s="2">
        <v>10</v>
      </c>
      <c r="G424" s="2" t="s">
        <v>60</v>
      </c>
      <c r="H424" s="2">
        <v>20</v>
      </c>
      <c r="I424" s="6">
        <f t="shared" si="138"/>
        <v>200</v>
      </c>
      <c r="J424" s="6">
        <f t="shared" si="142"/>
        <v>48</v>
      </c>
      <c r="K424" s="6">
        <f t="shared" si="143"/>
        <v>46</v>
      </c>
      <c r="L424" s="6">
        <f t="shared" si="139"/>
        <v>208</v>
      </c>
      <c r="M424" s="6">
        <f t="shared" si="144"/>
        <v>11</v>
      </c>
      <c r="N424" s="6" t="b">
        <f t="shared" si="125"/>
        <v>0</v>
      </c>
      <c r="O424" s="6" t="b">
        <f t="shared" si="140"/>
        <v>1</v>
      </c>
      <c r="P424" s="6" t="str">
        <f t="shared" si="126"/>
        <v>C003260-bottles</v>
      </c>
      <c r="Q424" s="7" t="str">
        <f t="shared" si="127"/>
        <v>T092522
10</v>
      </c>
      <c r="R424" s="6" t="b">
        <f t="shared" si="128"/>
        <v>0</v>
      </c>
      <c r="S424" s="6" t="str">
        <f t="shared" si="129"/>
        <v>06</v>
      </c>
      <c r="T424" s="6" t="str">
        <f t="shared" si="130"/>
        <v>BOTTLES</v>
      </c>
      <c r="U424" s="6" t="str">
        <f t="shared" si="131"/>
        <v>bottles</v>
      </c>
      <c r="V424" s="6">
        <f t="shared" si="132"/>
        <v>2</v>
      </c>
      <c r="W424" s="6" t="str">
        <f t="shared" si="133"/>
        <v>T092522 10</v>
      </c>
      <c r="X424" s="6" t="str">
        <f t="shared" si="134"/>
        <v>S55476</v>
      </c>
      <c r="Y424" s="6" t="str">
        <f t="shared" si="135"/>
        <v>T09</v>
      </c>
      <c r="Z424" s="6" t="str">
        <f t="shared" si="136"/>
        <v>522</v>
      </c>
      <c r="AA424" s="6">
        <f t="shared" si="141"/>
        <v>2</v>
      </c>
      <c r="AB424" s="6">
        <f t="shared" si="137"/>
        <v>7</v>
      </c>
      <c r="AC424" s="6"/>
      <c r="AD424" s="23"/>
    </row>
    <row r="425" spans="1:30" ht="30" x14ac:dyDescent="0.25">
      <c r="A425" s="2" t="s">
        <v>91</v>
      </c>
      <c r="B425" s="2" t="s">
        <v>1440</v>
      </c>
      <c r="C425" s="2" t="s">
        <v>1441</v>
      </c>
      <c r="D425" s="2" t="s">
        <v>1313</v>
      </c>
      <c r="E425" s="2" t="s">
        <v>1410</v>
      </c>
      <c r="F425" s="2">
        <v>4</v>
      </c>
      <c r="G425" s="2" t="s">
        <v>269</v>
      </c>
      <c r="H425" s="2">
        <v>15</v>
      </c>
      <c r="I425" s="6">
        <f t="shared" si="138"/>
        <v>60</v>
      </c>
      <c r="J425" s="6">
        <f t="shared" si="142"/>
        <v>344.5</v>
      </c>
      <c r="K425" s="6">
        <f t="shared" si="143"/>
        <v>337</v>
      </c>
      <c r="L425" s="6">
        <f t="shared" si="139"/>
        <v>70</v>
      </c>
      <c r="M425" s="6">
        <f t="shared" si="144"/>
        <v>5</v>
      </c>
      <c r="N425" s="6" t="b">
        <f t="shared" si="125"/>
        <v>0</v>
      </c>
      <c r="O425" s="6" t="b">
        <f t="shared" si="140"/>
        <v>1</v>
      </c>
      <c r="P425" s="6" t="str">
        <f t="shared" si="126"/>
        <v>C005786-ct.</v>
      </c>
      <c r="Q425" s="7" t="str">
        <f t="shared" si="127"/>
        <v>T061288
4</v>
      </c>
      <c r="R425" s="6" t="b">
        <f t="shared" si="128"/>
        <v>0</v>
      </c>
      <c r="S425" s="6" t="str">
        <f t="shared" si="129"/>
        <v>21</v>
      </c>
      <c r="T425" s="6" t="str">
        <f t="shared" si="130"/>
        <v>CT.</v>
      </c>
      <c r="U425" s="6" t="str">
        <f t="shared" si="131"/>
        <v>ct.</v>
      </c>
      <c r="V425" s="6">
        <f t="shared" si="132"/>
        <v>2</v>
      </c>
      <c r="W425" s="6" t="str">
        <f t="shared" si="133"/>
        <v>T061288 4</v>
      </c>
      <c r="X425" s="6" t="str">
        <f t="shared" si="134"/>
        <v>S55277</v>
      </c>
      <c r="Y425" s="6" t="str">
        <f t="shared" si="135"/>
        <v>T06</v>
      </c>
      <c r="Z425" s="6" t="str">
        <f t="shared" si="136"/>
        <v>288</v>
      </c>
      <c r="AA425" s="6">
        <f t="shared" si="141"/>
        <v>2</v>
      </c>
      <c r="AB425" s="6">
        <f t="shared" si="137"/>
        <v>3</v>
      </c>
      <c r="AC425" s="6"/>
      <c r="AD425" s="23"/>
    </row>
    <row r="426" spans="1:30" ht="30" x14ac:dyDescent="0.25">
      <c r="A426" s="2" t="s">
        <v>146</v>
      </c>
      <c r="B426" s="2" t="s">
        <v>1442</v>
      </c>
      <c r="C426" s="2" t="s">
        <v>1443</v>
      </c>
      <c r="D426" s="2" t="s">
        <v>495</v>
      </c>
      <c r="E426" s="2" t="s">
        <v>1444</v>
      </c>
      <c r="F426" s="2">
        <v>4</v>
      </c>
      <c r="G426" s="2" t="s">
        <v>167</v>
      </c>
      <c r="H426" s="2">
        <v>16</v>
      </c>
      <c r="I426" s="6">
        <f t="shared" si="138"/>
        <v>64</v>
      </c>
      <c r="J426" s="6">
        <f t="shared" si="142"/>
        <v>328</v>
      </c>
      <c r="K426" s="6">
        <f t="shared" si="143"/>
        <v>324</v>
      </c>
      <c r="L426" s="6">
        <f t="shared" si="139"/>
        <v>69</v>
      </c>
      <c r="M426" s="6">
        <f t="shared" si="144"/>
        <v>4</v>
      </c>
      <c r="N426" s="6" t="b">
        <f t="shared" si="125"/>
        <v>0</v>
      </c>
      <c r="O426" s="6" t="b">
        <f t="shared" si="140"/>
        <v>1</v>
      </c>
      <c r="P426" s="6" t="str">
        <f t="shared" si="126"/>
        <v>C002958-oz</v>
      </c>
      <c r="Q426" s="7" t="str">
        <f t="shared" si="127"/>
        <v>T023638
4</v>
      </c>
      <c r="R426" s="6" t="b">
        <f t="shared" si="128"/>
        <v>0</v>
      </c>
      <c r="S426" s="6" t="str">
        <f t="shared" si="129"/>
        <v>24</v>
      </c>
      <c r="T426" s="6" t="str">
        <f t="shared" si="130"/>
        <v>OZ</v>
      </c>
      <c r="U426" s="6" t="str">
        <f t="shared" si="131"/>
        <v>oz</v>
      </c>
      <c r="V426" s="6">
        <f t="shared" si="132"/>
        <v>2</v>
      </c>
      <c r="W426" s="6" t="str">
        <f t="shared" si="133"/>
        <v>T023638 4</v>
      </c>
      <c r="X426" s="6" t="str">
        <f t="shared" si="134"/>
        <v>S55561</v>
      </c>
      <c r="Y426" s="6" t="str">
        <f t="shared" si="135"/>
        <v>T02</v>
      </c>
      <c r="Z426" s="6" t="str">
        <f t="shared" si="136"/>
        <v>638</v>
      </c>
      <c r="AA426" s="6">
        <f t="shared" si="141"/>
        <v>2</v>
      </c>
      <c r="AB426" s="6">
        <f t="shared" si="137"/>
        <v>2</v>
      </c>
      <c r="AC426" s="6"/>
      <c r="AD426" s="23"/>
    </row>
    <row r="427" spans="1:30" ht="30" x14ac:dyDescent="0.25">
      <c r="A427" s="2" t="s">
        <v>240</v>
      </c>
      <c r="B427" s="2" t="s">
        <v>1445</v>
      </c>
      <c r="C427" s="2" t="s">
        <v>1446</v>
      </c>
      <c r="D427" s="2" t="s">
        <v>836</v>
      </c>
      <c r="E427" s="2" t="s">
        <v>1447</v>
      </c>
      <c r="F427" s="2">
        <v>3</v>
      </c>
      <c r="G427" s="2" t="s">
        <v>35</v>
      </c>
      <c r="H427" s="2">
        <v>16.25</v>
      </c>
      <c r="I427" s="6">
        <f t="shared" si="138"/>
        <v>48.75</v>
      </c>
      <c r="J427" s="6">
        <f t="shared" si="142"/>
        <v>377.5</v>
      </c>
      <c r="K427" s="6">
        <f t="shared" si="143"/>
        <v>377</v>
      </c>
      <c r="L427" s="6">
        <f t="shared" si="139"/>
        <v>455.5</v>
      </c>
      <c r="M427" s="6">
        <f t="shared" si="144"/>
        <v>25</v>
      </c>
      <c r="N427" s="6" t="b">
        <f t="shared" si="125"/>
        <v>0</v>
      </c>
      <c r="O427" s="6" t="b">
        <f t="shared" si="140"/>
        <v>1</v>
      </c>
      <c r="P427" s="6" t="str">
        <f t="shared" si="126"/>
        <v>C000497-cans</v>
      </c>
      <c r="Q427" s="7" t="str">
        <f t="shared" si="127"/>
        <v>T029875
3</v>
      </c>
      <c r="R427" s="6" t="b">
        <f t="shared" si="128"/>
        <v>0</v>
      </c>
      <c r="S427" s="6" t="str">
        <f t="shared" si="129"/>
        <v>00</v>
      </c>
      <c r="T427" s="6" t="str">
        <f t="shared" si="130"/>
        <v>CANS</v>
      </c>
      <c r="U427" s="6" t="str">
        <f t="shared" si="131"/>
        <v>cans</v>
      </c>
      <c r="V427" s="6">
        <f t="shared" si="132"/>
        <v>2</v>
      </c>
      <c r="W427" s="6" t="str">
        <f t="shared" si="133"/>
        <v>T029875 3</v>
      </c>
      <c r="X427" s="6" t="str">
        <f t="shared" si="134"/>
        <v>S55213</v>
      </c>
      <c r="Y427" s="6" t="str">
        <f t="shared" si="135"/>
        <v>T02</v>
      </c>
      <c r="Z427" s="6" t="str">
        <f t="shared" si="136"/>
        <v>875</v>
      </c>
      <c r="AA427" s="6">
        <f t="shared" si="141"/>
        <v>2</v>
      </c>
      <c r="AB427" s="6">
        <f t="shared" si="137"/>
        <v>4</v>
      </c>
      <c r="AC427" s="6"/>
      <c r="AD427" s="23"/>
    </row>
    <row r="428" spans="1:30" ht="30" x14ac:dyDescent="0.25">
      <c r="A428" s="2" t="s">
        <v>283</v>
      </c>
      <c r="B428" s="2" t="s">
        <v>1448</v>
      </c>
      <c r="C428" s="2" t="s">
        <v>1449</v>
      </c>
      <c r="D428" s="2" t="s">
        <v>1424</v>
      </c>
      <c r="E428" s="2" t="s">
        <v>166</v>
      </c>
      <c r="F428" s="2">
        <v>3</v>
      </c>
      <c r="G428" s="2" t="s">
        <v>35</v>
      </c>
      <c r="H428" s="2">
        <v>6.75</v>
      </c>
      <c r="I428" s="6">
        <f t="shared" si="138"/>
        <v>20.25</v>
      </c>
      <c r="J428" s="6">
        <f t="shared" si="142"/>
        <v>459.5</v>
      </c>
      <c r="K428" s="6">
        <f t="shared" si="143"/>
        <v>458</v>
      </c>
      <c r="L428" s="6">
        <f t="shared" si="139"/>
        <v>439.25</v>
      </c>
      <c r="M428" s="6">
        <f t="shared" si="144"/>
        <v>24</v>
      </c>
      <c r="N428" s="6" t="b">
        <f t="shared" si="125"/>
        <v>0</v>
      </c>
      <c r="O428" s="6" t="b">
        <f t="shared" si="140"/>
        <v>1</v>
      </c>
      <c r="P428" s="6" t="str">
        <f t="shared" si="126"/>
        <v>C007103-cans</v>
      </c>
      <c r="Q428" s="7" t="str">
        <f t="shared" si="127"/>
        <v>T036470
3</v>
      </c>
      <c r="R428" s="6" t="b">
        <f t="shared" si="128"/>
        <v>0</v>
      </c>
      <c r="S428" s="6" t="str">
        <f t="shared" si="129"/>
        <v>02</v>
      </c>
      <c r="T428" s="6" t="str">
        <f t="shared" si="130"/>
        <v>CANS</v>
      </c>
      <c r="U428" s="6" t="str">
        <f t="shared" si="131"/>
        <v>cans</v>
      </c>
      <c r="V428" s="6">
        <f t="shared" si="132"/>
        <v>2</v>
      </c>
      <c r="W428" s="6" t="str">
        <f t="shared" si="133"/>
        <v>T036470 3</v>
      </c>
      <c r="X428" s="6" t="str">
        <f t="shared" si="134"/>
        <v>S55563</v>
      </c>
      <c r="Y428" s="6" t="str">
        <f t="shared" si="135"/>
        <v>T03</v>
      </c>
      <c r="Z428" s="6" t="str">
        <f t="shared" si="136"/>
        <v>470</v>
      </c>
      <c r="AA428" s="6">
        <f t="shared" si="141"/>
        <v>2</v>
      </c>
      <c r="AB428" s="6">
        <f t="shared" si="137"/>
        <v>4</v>
      </c>
      <c r="AC428" s="6"/>
      <c r="AD428" s="23"/>
    </row>
    <row r="429" spans="1:30" ht="30" x14ac:dyDescent="0.25">
      <c r="A429" s="2" t="s">
        <v>224</v>
      </c>
      <c r="B429" s="2" t="s">
        <v>1450</v>
      </c>
      <c r="C429" s="2" t="s">
        <v>1451</v>
      </c>
      <c r="D429" s="2" t="s">
        <v>445</v>
      </c>
      <c r="E429" s="2" t="s">
        <v>1452</v>
      </c>
      <c r="F429" s="2">
        <v>11</v>
      </c>
      <c r="G429" s="2" t="s">
        <v>167</v>
      </c>
      <c r="H429" s="2">
        <v>13</v>
      </c>
      <c r="I429" s="6">
        <f t="shared" si="138"/>
        <v>143</v>
      </c>
      <c r="J429" s="6">
        <f t="shared" si="142"/>
        <v>122.5</v>
      </c>
      <c r="K429" s="6">
        <f t="shared" si="143"/>
        <v>122</v>
      </c>
      <c r="L429" s="6">
        <f t="shared" si="139"/>
        <v>53</v>
      </c>
      <c r="M429" s="6">
        <f t="shared" si="144"/>
        <v>3</v>
      </c>
      <c r="N429" s="6" t="b">
        <f t="shared" si="125"/>
        <v>0</v>
      </c>
      <c r="O429" s="6" t="b">
        <f t="shared" si="140"/>
        <v>1</v>
      </c>
      <c r="P429" s="6" t="str">
        <f t="shared" si="126"/>
        <v>C000856-oz</v>
      </c>
      <c r="Q429" s="7" t="str">
        <f t="shared" si="127"/>
        <v>T050710
11</v>
      </c>
      <c r="R429" s="6" t="b">
        <f t="shared" si="128"/>
        <v>0</v>
      </c>
      <c r="S429" s="6" t="str">
        <f t="shared" si="129"/>
        <v>25</v>
      </c>
      <c r="T429" s="6" t="str">
        <f t="shared" si="130"/>
        <v>OZ</v>
      </c>
      <c r="U429" s="6" t="str">
        <f t="shared" si="131"/>
        <v>oz</v>
      </c>
      <c r="V429" s="6">
        <f t="shared" si="132"/>
        <v>2</v>
      </c>
      <c r="W429" s="6" t="str">
        <f t="shared" si="133"/>
        <v>T050710 11</v>
      </c>
      <c r="X429" s="6" t="str">
        <f t="shared" si="134"/>
        <v>S55674</v>
      </c>
      <c r="Y429" s="6" t="str">
        <f t="shared" si="135"/>
        <v>T05</v>
      </c>
      <c r="Z429" s="6" t="str">
        <f t="shared" si="136"/>
        <v>710</v>
      </c>
      <c r="AA429" s="6">
        <f t="shared" si="141"/>
        <v>2</v>
      </c>
      <c r="AB429" s="6">
        <f t="shared" si="137"/>
        <v>2</v>
      </c>
      <c r="AC429" s="6"/>
      <c r="AD429" s="23"/>
    </row>
    <row r="430" spans="1:30" ht="30" x14ac:dyDescent="0.25">
      <c r="A430" s="2" t="s">
        <v>519</v>
      </c>
      <c r="B430" s="2" t="s">
        <v>1453</v>
      </c>
      <c r="C430" s="2" t="s">
        <v>1454</v>
      </c>
      <c r="D430" s="2" t="s">
        <v>489</v>
      </c>
      <c r="E430" s="2" t="s">
        <v>1455</v>
      </c>
      <c r="F430" s="2">
        <v>2</v>
      </c>
      <c r="G430" s="2" t="s">
        <v>13</v>
      </c>
      <c r="H430" s="2">
        <v>21</v>
      </c>
      <c r="I430" s="6">
        <f t="shared" si="138"/>
        <v>42</v>
      </c>
      <c r="J430" s="6">
        <f t="shared" si="142"/>
        <v>404</v>
      </c>
      <c r="K430" s="6">
        <f t="shared" si="143"/>
        <v>400</v>
      </c>
      <c r="L430" s="6">
        <f t="shared" si="139"/>
        <v>588</v>
      </c>
      <c r="M430" s="6">
        <f t="shared" si="144"/>
        <v>30</v>
      </c>
      <c r="N430" s="6" t="b">
        <f t="shared" si="125"/>
        <v>1</v>
      </c>
      <c r="O430" s="6" t="b">
        <f t="shared" si="140"/>
        <v>1</v>
      </c>
      <c r="P430" s="6" t="str">
        <f t="shared" si="126"/>
        <v>C003718-ct</v>
      </c>
      <c r="Q430" s="7" t="str">
        <f t="shared" si="127"/>
        <v>T078623
2</v>
      </c>
      <c r="R430" s="6" t="b">
        <f t="shared" si="128"/>
        <v>0</v>
      </c>
      <c r="S430" s="6" t="str">
        <f t="shared" si="129"/>
        <v>14</v>
      </c>
      <c r="T430" s="6" t="str">
        <f t="shared" si="130"/>
        <v>CT</v>
      </c>
      <c r="U430" s="6" t="str">
        <f t="shared" si="131"/>
        <v>ct</v>
      </c>
      <c r="V430" s="6">
        <f t="shared" si="132"/>
        <v>2</v>
      </c>
      <c r="W430" s="6" t="str">
        <f t="shared" si="133"/>
        <v>T078623 2</v>
      </c>
      <c r="X430" s="6" t="str">
        <f t="shared" si="134"/>
        <v>S55675</v>
      </c>
      <c r="Y430" s="6" t="str">
        <f t="shared" si="135"/>
        <v>T07</v>
      </c>
      <c r="Z430" s="6" t="str">
        <f t="shared" si="136"/>
        <v>623</v>
      </c>
      <c r="AA430" s="6">
        <f t="shared" si="141"/>
        <v>2</v>
      </c>
      <c r="AB430" s="6">
        <f t="shared" si="137"/>
        <v>2</v>
      </c>
      <c r="AC430" s="6"/>
      <c r="AD430" s="23"/>
    </row>
    <row r="431" spans="1:30" ht="30" x14ac:dyDescent="0.25">
      <c r="A431" s="2" t="s">
        <v>91</v>
      </c>
      <c r="B431" s="2" t="s">
        <v>1456</v>
      </c>
      <c r="C431" s="2" t="s">
        <v>1457</v>
      </c>
      <c r="D431" s="2" t="s">
        <v>301</v>
      </c>
      <c r="E431" s="2" t="s">
        <v>1458</v>
      </c>
      <c r="F431" s="2">
        <v>5</v>
      </c>
      <c r="G431" s="2" t="s">
        <v>35</v>
      </c>
      <c r="H431" s="2">
        <v>55</v>
      </c>
      <c r="I431" s="6">
        <f t="shared" si="138"/>
        <v>275</v>
      </c>
      <c r="J431" s="6">
        <f t="shared" si="142"/>
        <v>21</v>
      </c>
      <c r="K431" s="6">
        <f t="shared" si="143"/>
        <v>21</v>
      </c>
      <c r="L431" s="6">
        <f t="shared" si="139"/>
        <v>432.5</v>
      </c>
      <c r="M431" s="6">
        <f t="shared" si="144"/>
        <v>23</v>
      </c>
      <c r="N431" s="6" t="b">
        <f t="shared" si="125"/>
        <v>1</v>
      </c>
      <c r="O431" s="6" t="b">
        <f t="shared" si="140"/>
        <v>1</v>
      </c>
      <c r="P431" s="6" t="str">
        <f t="shared" si="126"/>
        <v>C008555-cans</v>
      </c>
      <c r="Q431" s="7" t="str">
        <f t="shared" si="127"/>
        <v>T09145
5</v>
      </c>
      <c r="R431" s="6" t="b">
        <f t="shared" si="128"/>
        <v>0</v>
      </c>
      <c r="S431" s="6" t="str">
        <f t="shared" si="129"/>
        <v>06</v>
      </c>
      <c r="T431" s="6" t="str">
        <f t="shared" si="130"/>
        <v>CANS</v>
      </c>
      <c r="U431" s="6" t="str">
        <f t="shared" si="131"/>
        <v>cans</v>
      </c>
      <c r="V431" s="6">
        <f t="shared" si="132"/>
        <v>2</v>
      </c>
      <c r="W431" s="6" t="str">
        <f t="shared" si="133"/>
        <v>T09145 5</v>
      </c>
      <c r="X431" s="6" t="str">
        <f t="shared" si="134"/>
        <v>S55655</v>
      </c>
      <c r="Y431" s="6" t="str">
        <f t="shared" si="135"/>
        <v>T09</v>
      </c>
      <c r="Z431" s="6" t="str">
        <f t="shared" si="136"/>
        <v>145</v>
      </c>
      <c r="AA431" s="6">
        <f t="shared" si="141"/>
        <v>2</v>
      </c>
      <c r="AB431" s="6">
        <f t="shared" si="137"/>
        <v>4</v>
      </c>
      <c r="AC431" s="6"/>
      <c r="AD431" s="23"/>
    </row>
    <row r="432" spans="1:30" ht="30" x14ac:dyDescent="0.25">
      <c r="A432" s="2" t="s">
        <v>523</v>
      </c>
      <c r="B432" s="2" t="s">
        <v>1459</v>
      </c>
      <c r="C432" s="2" t="s">
        <v>1460</v>
      </c>
      <c r="D432" s="2" t="s">
        <v>902</v>
      </c>
      <c r="E432" s="2" t="s">
        <v>1461</v>
      </c>
      <c r="F432" s="2">
        <v>11</v>
      </c>
      <c r="G432" s="2" t="s">
        <v>904</v>
      </c>
      <c r="H432" s="2">
        <v>23</v>
      </c>
      <c r="I432" s="6">
        <f t="shared" si="138"/>
        <v>253</v>
      </c>
      <c r="J432" s="6">
        <f t="shared" si="142"/>
        <v>26</v>
      </c>
      <c r="K432" s="6">
        <f t="shared" si="143"/>
        <v>26</v>
      </c>
      <c r="L432" s="6">
        <f t="shared" si="139"/>
        <v>23</v>
      </c>
      <c r="M432" s="6">
        <f t="shared" si="144"/>
        <v>1</v>
      </c>
      <c r="N432" s="6" t="b">
        <f t="shared" si="125"/>
        <v>1</v>
      </c>
      <c r="O432" s="6" t="b">
        <f t="shared" si="140"/>
        <v>1</v>
      </c>
      <c r="P432" s="6" t="str">
        <f t="shared" si="126"/>
        <v>C004485-bars</v>
      </c>
      <c r="Q432" s="7" t="str">
        <f t="shared" si="127"/>
        <v>T088660
11</v>
      </c>
      <c r="R432" s="6" t="b">
        <f t="shared" si="128"/>
        <v>0</v>
      </c>
      <c r="S432" s="6" t="str">
        <f t="shared" si="129"/>
        <v>19</v>
      </c>
      <c r="T432" s="6" t="str">
        <f t="shared" si="130"/>
        <v>BARS</v>
      </c>
      <c r="U432" s="6" t="str">
        <f t="shared" si="131"/>
        <v>bars</v>
      </c>
      <c r="V432" s="6">
        <f t="shared" si="132"/>
        <v>2</v>
      </c>
      <c r="W432" s="6" t="str">
        <f t="shared" si="133"/>
        <v>T088660 11</v>
      </c>
      <c r="X432" s="6" t="str">
        <f t="shared" si="134"/>
        <v>S55332</v>
      </c>
      <c r="Y432" s="6" t="str">
        <f t="shared" si="135"/>
        <v>T08</v>
      </c>
      <c r="Z432" s="6" t="str">
        <f t="shared" si="136"/>
        <v>660</v>
      </c>
      <c r="AA432" s="6">
        <f t="shared" si="141"/>
        <v>2</v>
      </c>
      <c r="AB432" s="6">
        <f t="shared" si="137"/>
        <v>4</v>
      </c>
      <c r="AC432" s="6"/>
      <c r="AD432" s="23"/>
    </row>
    <row r="433" spans="1:30" ht="30" x14ac:dyDescent="0.25">
      <c r="A433" s="2" t="s">
        <v>523</v>
      </c>
      <c r="B433" s="2" t="s">
        <v>1462</v>
      </c>
      <c r="C433" s="2" t="s">
        <v>1463</v>
      </c>
      <c r="D433" s="2" t="s">
        <v>623</v>
      </c>
      <c r="E433" s="2" t="s">
        <v>1464</v>
      </c>
      <c r="F433" s="2">
        <v>6</v>
      </c>
      <c r="G433" s="2" t="s">
        <v>35</v>
      </c>
      <c r="H433" s="2">
        <v>16.25</v>
      </c>
      <c r="I433" s="6">
        <f t="shared" si="138"/>
        <v>97.5</v>
      </c>
      <c r="J433" s="6">
        <f t="shared" si="142"/>
        <v>225</v>
      </c>
      <c r="K433" s="6">
        <f t="shared" si="143"/>
        <v>223</v>
      </c>
      <c r="L433" s="6">
        <f t="shared" si="139"/>
        <v>377.5</v>
      </c>
      <c r="M433" s="6">
        <f t="shared" si="144"/>
        <v>22</v>
      </c>
      <c r="N433" s="6" t="b">
        <f t="shared" si="125"/>
        <v>0</v>
      </c>
      <c r="O433" s="6" t="b">
        <f t="shared" si="140"/>
        <v>1</v>
      </c>
      <c r="P433" s="6" t="str">
        <f t="shared" si="126"/>
        <v>C008345-cans</v>
      </c>
      <c r="Q433" s="7" t="str">
        <f t="shared" si="127"/>
        <v>T042469
6</v>
      </c>
      <c r="R433" s="6" t="b">
        <f t="shared" si="128"/>
        <v>0</v>
      </c>
      <c r="S433" s="6" t="str">
        <f t="shared" si="129"/>
        <v>00</v>
      </c>
      <c r="T433" s="6" t="str">
        <f t="shared" si="130"/>
        <v>CANS</v>
      </c>
      <c r="U433" s="6" t="str">
        <f t="shared" si="131"/>
        <v>cans</v>
      </c>
      <c r="V433" s="6">
        <f t="shared" si="132"/>
        <v>2</v>
      </c>
      <c r="W433" s="6" t="str">
        <f t="shared" si="133"/>
        <v>T042469 6</v>
      </c>
      <c r="X433" s="6" t="str">
        <f t="shared" si="134"/>
        <v>S55525</v>
      </c>
      <c r="Y433" s="6" t="str">
        <f t="shared" si="135"/>
        <v>T04</v>
      </c>
      <c r="Z433" s="6" t="str">
        <f t="shared" si="136"/>
        <v>469</v>
      </c>
      <c r="AA433" s="6">
        <f t="shared" si="141"/>
        <v>2</v>
      </c>
      <c r="AB433" s="6">
        <f t="shared" si="137"/>
        <v>4</v>
      </c>
      <c r="AC433" s="6"/>
      <c r="AD433" s="23"/>
    </row>
    <row r="434" spans="1:30" ht="30" x14ac:dyDescent="0.25">
      <c r="A434" s="2" t="s">
        <v>519</v>
      </c>
      <c r="B434" s="2" t="s">
        <v>1465</v>
      </c>
      <c r="C434" s="2" t="s">
        <v>1466</v>
      </c>
      <c r="D434" s="2" t="s">
        <v>385</v>
      </c>
      <c r="E434" s="2" t="s">
        <v>1467</v>
      </c>
      <c r="F434" s="2">
        <v>3</v>
      </c>
      <c r="G434" s="2" t="s">
        <v>269</v>
      </c>
      <c r="H434" s="2">
        <v>14</v>
      </c>
      <c r="I434" s="6">
        <f t="shared" si="138"/>
        <v>42</v>
      </c>
      <c r="J434" s="6">
        <f t="shared" si="142"/>
        <v>404</v>
      </c>
      <c r="K434" s="6">
        <f t="shared" si="143"/>
        <v>400</v>
      </c>
      <c r="L434" s="6">
        <f t="shared" si="139"/>
        <v>55</v>
      </c>
      <c r="M434" s="6">
        <f t="shared" si="144"/>
        <v>4</v>
      </c>
      <c r="N434" s="6" t="b">
        <f t="shared" si="125"/>
        <v>0</v>
      </c>
      <c r="O434" s="6" t="b">
        <f t="shared" si="140"/>
        <v>1</v>
      </c>
      <c r="P434" s="6" t="str">
        <f t="shared" si="126"/>
        <v>C008999-ct.</v>
      </c>
      <c r="Q434" s="7" t="str">
        <f t="shared" si="127"/>
        <v>T044369
3</v>
      </c>
      <c r="R434" s="6" t="b">
        <f t="shared" si="128"/>
        <v>0</v>
      </c>
      <c r="S434" s="6" t="str">
        <f t="shared" si="129"/>
        <v>21</v>
      </c>
      <c r="T434" s="6" t="str">
        <f t="shared" si="130"/>
        <v>CT.</v>
      </c>
      <c r="U434" s="6" t="str">
        <f t="shared" si="131"/>
        <v>ct.</v>
      </c>
      <c r="V434" s="6">
        <f t="shared" si="132"/>
        <v>2</v>
      </c>
      <c r="W434" s="6" t="str">
        <f t="shared" si="133"/>
        <v>T044369 3</v>
      </c>
      <c r="X434" s="6" t="str">
        <f t="shared" si="134"/>
        <v>S55281</v>
      </c>
      <c r="Y434" s="6" t="str">
        <f t="shared" si="135"/>
        <v>T04</v>
      </c>
      <c r="Z434" s="6" t="str">
        <f t="shared" si="136"/>
        <v>369</v>
      </c>
      <c r="AA434" s="6">
        <f t="shared" si="141"/>
        <v>2</v>
      </c>
      <c r="AB434" s="6">
        <f t="shared" si="137"/>
        <v>3</v>
      </c>
      <c r="AC434" s="6"/>
      <c r="AD434" s="23"/>
    </row>
    <row r="435" spans="1:30" ht="30" x14ac:dyDescent="0.25">
      <c r="A435" s="2" t="s">
        <v>523</v>
      </c>
      <c r="B435" s="2" t="s">
        <v>1468</v>
      </c>
      <c r="C435" s="2" t="s">
        <v>1469</v>
      </c>
      <c r="D435" s="2" t="s">
        <v>782</v>
      </c>
      <c r="E435" s="2" t="s">
        <v>1208</v>
      </c>
      <c r="F435" s="2">
        <v>5</v>
      </c>
      <c r="G435" s="2" t="s">
        <v>13</v>
      </c>
      <c r="H435" s="2">
        <v>26</v>
      </c>
      <c r="I435" s="6">
        <f t="shared" si="138"/>
        <v>130</v>
      </c>
      <c r="J435" s="6">
        <f t="shared" si="142"/>
        <v>145</v>
      </c>
      <c r="K435" s="6">
        <f t="shared" si="143"/>
        <v>143</v>
      </c>
      <c r="L435" s="6">
        <f t="shared" si="139"/>
        <v>567</v>
      </c>
      <c r="M435" s="6">
        <f t="shared" si="144"/>
        <v>29</v>
      </c>
      <c r="N435" s="6" t="b">
        <f t="shared" si="125"/>
        <v>1</v>
      </c>
      <c r="O435" s="6" t="b">
        <f t="shared" si="140"/>
        <v>1</v>
      </c>
      <c r="P435" s="6" t="str">
        <f t="shared" si="126"/>
        <v>C007101-ct</v>
      </c>
      <c r="Q435" s="7" t="str">
        <f t="shared" si="127"/>
        <v>T077876
5</v>
      </c>
      <c r="R435" s="6" t="b">
        <f t="shared" si="128"/>
        <v>0</v>
      </c>
      <c r="S435" s="6" t="str">
        <f t="shared" si="129"/>
        <v>18</v>
      </c>
      <c r="T435" s="6" t="str">
        <f t="shared" si="130"/>
        <v>CT</v>
      </c>
      <c r="U435" s="6" t="str">
        <f t="shared" si="131"/>
        <v>ct</v>
      </c>
      <c r="V435" s="6">
        <f t="shared" si="132"/>
        <v>2</v>
      </c>
      <c r="W435" s="6" t="str">
        <f t="shared" si="133"/>
        <v>T077876 5</v>
      </c>
      <c r="X435" s="6" t="str">
        <f t="shared" si="134"/>
        <v>S55121</v>
      </c>
      <c r="Y435" s="6" t="str">
        <f t="shared" si="135"/>
        <v>T07</v>
      </c>
      <c r="Z435" s="6" t="str">
        <f t="shared" si="136"/>
        <v>876</v>
      </c>
      <c r="AA435" s="6">
        <f t="shared" si="141"/>
        <v>2</v>
      </c>
      <c r="AB435" s="6">
        <f t="shared" si="137"/>
        <v>2</v>
      </c>
      <c r="AC435" s="6"/>
      <c r="AD435" s="23"/>
    </row>
    <row r="436" spans="1:30" ht="30" x14ac:dyDescent="0.25">
      <c r="A436" s="2" t="s">
        <v>274</v>
      </c>
      <c r="B436" s="2" t="s">
        <v>1470</v>
      </c>
      <c r="C436" s="2" t="s">
        <v>1471</v>
      </c>
      <c r="D436" s="2" t="s">
        <v>859</v>
      </c>
      <c r="E436" s="2" t="s">
        <v>418</v>
      </c>
      <c r="F436" s="2">
        <v>5</v>
      </c>
      <c r="G436" s="2" t="s">
        <v>35</v>
      </c>
      <c r="H436" s="2">
        <v>16</v>
      </c>
      <c r="I436" s="6">
        <f t="shared" si="138"/>
        <v>80</v>
      </c>
      <c r="J436" s="6">
        <f t="shared" si="142"/>
        <v>275</v>
      </c>
      <c r="K436" s="6">
        <f t="shared" si="143"/>
        <v>272</v>
      </c>
      <c r="L436" s="6">
        <f t="shared" si="139"/>
        <v>361.25</v>
      </c>
      <c r="M436" s="6">
        <f t="shared" si="144"/>
        <v>21</v>
      </c>
      <c r="N436" s="6" t="b">
        <f t="shared" si="125"/>
        <v>0</v>
      </c>
      <c r="O436" s="6" t="b">
        <f t="shared" si="140"/>
        <v>1</v>
      </c>
      <c r="P436" s="6" t="str">
        <f t="shared" si="126"/>
        <v>C009113-cans</v>
      </c>
      <c r="Q436" s="7" t="str">
        <f t="shared" si="127"/>
        <v>T090721
5</v>
      </c>
      <c r="R436" s="6" t="b">
        <f t="shared" si="128"/>
        <v>0</v>
      </c>
      <c r="S436" s="6" t="str">
        <f t="shared" si="129"/>
        <v>03</v>
      </c>
      <c r="T436" s="6" t="str">
        <f t="shared" si="130"/>
        <v>CANS</v>
      </c>
      <c r="U436" s="6" t="str">
        <f t="shared" si="131"/>
        <v>cans</v>
      </c>
      <c r="V436" s="6">
        <f t="shared" si="132"/>
        <v>2</v>
      </c>
      <c r="W436" s="6" t="str">
        <f t="shared" si="133"/>
        <v>T090721 5</v>
      </c>
      <c r="X436" s="6" t="str">
        <f t="shared" si="134"/>
        <v>S55255</v>
      </c>
      <c r="Y436" s="6" t="str">
        <f t="shared" si="135"/>
        <v>T09</v>
      </c>
      <c r="Z436" s="6" t="str">
        <f t="shared" si="136"/>
        <v>721</v>
      </c>
      <c r="AA436" s="6">
        <f t="shared" si="141"/>
        <v>2</v>
      </c>
      <c r="AB436" s="6">
        <f t="shared" si="137"/>
        <v>4</v>
      </c>
      <c r="AC436" s="6"/>
      <c r="AD436" s="23"/>
    </row>
    <row r="437" spans="1:30" ht="30" x14ac:dyDescent="0.25">
      <c r="A437" s="2" t="s">
        <v>743</v>
      </c>
      <c r="B437" s="2" t="s">
        <v>1472</v>
      </c>
      <c r="C437" s="2" t="s">
        <v>1473</v>
      </c>
      <c r="D437" s="2" t="s">
        <v>1474</v>
      </c>
      <c r="E437" s="2" t="s">
        <v>1302</v>
      </c>
      <c r="F437" s="2">
        <v>4</v>
      </c>
      <c r="G437" s="2" t="s">
        <v>167</v>
      </c>
      <c r="H437" s="2">
        <v>20.5</v>
      </c>
      <c r="I437" s="6">
        <f t="shared" si="138"/>
        <v>82</v>
      </c>
      <c r="J437" s="6">
        <f t="shared" si="142"/>
        <v>269</v>
      </c>
      <c r="K437" s="6">
        <f t="shared" si="143"/>
        <v>269</v>
      </c>
      <c r="L437" s="6">
        <f t="shared" si="139"/>
        <v>40</v>
      </c>
      <c r="M437" s="6">
        <f t="shared" si="144"/>
        <v>2</v>
      </c>
      <c r="N437" s="6" t="b">
        <f t="shared" si="125"/>
        <v>1</v>
      </c>
      <c r="O437" s="6" t="b">
        <f t="shared" si="140"/>
        <v>1</v>
      </c>
      <c r="P437" s="6" t="str">
        <f t="shared" si="126"/>
        <v>C007343-oz</v>
      </c>
      <c r="Q437" s="7" t="str">
        <f t="shared" si="127"/>
        <v>T053885
4</v>
      </c>
      <c r="R437" s="6" t="b">
        <f t="shared" si="128"/>
        <v>0</v>
      </c>
      <c r="S437" s="6" t="str">
        <f t="shared" si="129"/>
        <v>21</v>
      </c>
      <c r="T437" s="6" t="str">
        <f t="shared" si="130"/>
        <v>OZ</v>
      </c>
      <c r="U437" s="6" t="str">
        <f t="shared" si="131"/>
        <v>oz</v>
      </c>
      <c r="V437" s="6">
        <f t="shared" si="132"/>
        <v>2</v>
      </c>
      <c r="W437" s="6" t="str">
        <f t="shared" si="133"/>
        <v>T053885 4</v>
      </c>
      <c r="X437" s="6" t="str">
        <f t="shared" si="134"/>
        <v>S55186</v>
      </c>
      <c r="Y437" s="6" t="str">
        <f t="shared" si="135"/>
        <v>T05</v>
      </c>
      <c r="Z437" s="6" t="str">
        <f t="shared" si="136"/>
        <v>885</v>
      </c>
      <c r="AA437" s="6">
        <f t="shared" si="141"/>
        <v>2</v>
      </c>
      <c r="AB437" s="6">
        <f t="shared" si="137"/>
        <v>2</v>
      </c>
      <c r="AC437" s="6"/>
      <c r="AD437" s="23"/>
    </row>
    <row r="438" spans="1:30" ht="30" x14ac:dyDescent="0.25">
      <c r="A438" s="2" t="s">
        <v>121</v>
      </c>
      <c r="B438" s="2" t="s">
        <v>1475</v>
      </c>
      <c r="C438" s="2" t="s">
        <v>1476</v>
      </c>
      <c r="D438" s="2" t="s">
        <v>1477</v>
      </c>
      <c r="E438" s="2" t="s">
        <v>742</v>
      </c>
      <c r="F438" s="2">
        <v>8</v>
      </c>
      <c r="G438" s="2" t="s">
        <v>13</v>
      </c>
      <c r="H438" s="2">
        <v>15</v>
      </c>
      <c r="I438" s="6">
        <f t="shared" si="138"/>
        <v>120</v>
      </c>
      <c r="J438" s="6">
        <f t="shared" si="142"/>
        <v>169.5</v>
      </c>
      <c r="K438" s="6">
        <f t="shared" si="143"/>
        <v>162</v>
      </c>
      <c r="L438" s="6">
        <f t="shared" si="139"/>
        <v>541</v>
      </c>
      <c r="M438" s="6">
        <f t="shared" si="144"/>
        <v>28</v>
      </c>
      <c r="N438" s="6" t="b">
        <f t="shared" si="125"/>
        <v>0</v>
      </c>
      <c r="O438" s="6" t="b">
        <f t="shared" si="140"/>
        <v>1</v>
      </c>
      <c r="P438" s="6" t="str">
        <f t="shared" si="126"/>
        <v>C005110-ct</v>
      </c>
      <c r="Q438" s="7" t="str">
        <f t="shared" si="127"/>
        <v>T061665
8</v>
      </c>
      <c r="R438" s="6" t="b">
        <f t="shared" si="128"/>
        <v>0</v>
      </c>
      <c r="S438" s="6" t="str">
        <f t="shared" si="129"/>
        <v>14</v>
      </c>
      <c r="T438" s="6" t="str">
        <f t="shared" si="130"/>
        <v>CT</v>
      </c>
      <c r="U438" s="6" t="str">
        <f t="shared" si="131"/>
        <v>ct</v>
      </c>
      <c r="V438" s="6">
        <f t="shared" si="132"/>
        <v>2</v>
      </c>
      <c r="W438" s="6" t="str">
        <f t="shared" si="133"/>
        <v>T061665 8</v>
      </c>
      <c r="X438" s="6" t="str">
        <f t="shared" si="134"/>
        <v>S55243</v>
      </c>
      <c r="Y438" s="6" t="str">
        <f t="shared" si="135"/>
        <v>T06</v>
      </c>
      <c r="Z438" s="6" t="str">
        <f t="shared" si="136"/>
        <v>665</v>
      </c>
      <c r="AA438" s="6">
        <f t="shared" si="141"/>
        <v>2</v>
      </c>
      <c r="AB438" s="6">
        <f t="shared" si="137"/>
        <v>2</v>
      </c>
      <c r="AC438" s="6"/>
      <c r="AD438" s="23"/>
    </row>
    <row r="439" spans="1:30" ht="30" x14ac:dyDescent="0.25">
      <c r="A439" s="2" t="s">
        <v>459</v>
      </c>
      <c r="B439" s="2" t="s">
        <v>1478</v>
      </c>
      <c r="C439" s="2" t="s">
        <v>1479</v>
      </c>
      <c r="D439" s="2" t="s">
        <v>1480</v>
      </c>
      <c r="E439" s="2" t="s">
        <v>1481</v>
      </c>
      <c r="F439" s="2">
        <v>6</v>
      </c>
      <c r="G439" s="2" t="s">
        <v>13</v>
      </c>
      <c r="H439" s="2">
        <v>13</v>
      </c>
      <c r="I439" s="6">
        <f t="shared" si="138"/>
        <v>78</v>
      </c>
      <c r="J439" s="6">
        <f t="shared" si="142"/>
        <v>279.5</v>
      </c>
      <c r="K439" s="6">
        <f t="shared" si="143"/>
        <v>279</v>
      </c>
      <c r="L439" s="6">
        <f t="shared" si="139"/>
        <v>526</v>
      </c>
      <c r="M439" s="6">
        <f t="shared" si="144"/>
        <v>27</v>
      </c>
      <c r="N439" s="6" t="b">
        <f t="shared" si="125"/>
        <v>0</v>
      </c>
      <c r="O439" s="6" t="b">
        <f t="shared" si="140"/>
        <v>1</v>
      </c>
      <c r="P439" s="6" t="str">
        <f t="shared" si="126"/>
        <v>C005222-ct</v>
      </c>
      <c r="Q439" s="7" t="str">
        <f t="shared" si="127"/>
        <v>T063291
6</v>
      </c>
      <c r="R439" s="6" t="b">
        <f t="shared" si="128"/>
        <v>0</v>
      </c>
      <c r="S439" s="6" t="str">
        <f t="shared" si="129"/>
        <v>23</v>
      </c>
      <c r="T439" s="6" t="str">
        <f t="shared" si="130"/>
        <v>CT</v>
      </c>
      <c r="U439" s="6" t="str">
        <f t="shared" si="131"/>
        <v>ct</v>
      </c>
      <c r="V439" s="6">
        <f t="shared" si="132"/>
        <v>2</v>
      </c>
      <c r="W439" s="6" t="str">
        <f t="shared" si="133"/>
        <v>T063291 6</v>
      </c>
      <c r="X439" s="6" t="str">
        <f t="shared" si="134"/>
        <v>S55348</v>
      </c>
      <c r="Y439" s="6" t="str">
        <f t="shared" si="135"/>
        <v>T06</v>
      </c>
      <c r="Z439" s="6" t="str">
        <f t="shared" si="136"/>
        <v>291</v>
      </c>
      <c r="AA439" s="6">
        <f t="shared" si="141"/>
        <v>2</v>
      </c>
      <c r="AB439" s="6">
        <f t="shared" si="137"/>
        <v>2</v>
      </c>
      <c r="AC439" s="6"/>
      <c r="AD439" s="23"/>
    </row>
    <row r="440" spans="1:30" ht="30" x14ac:dyDescent="0.25">
      <c r="A440" s="2" t="s">
        <v>168</v>
      </c>
      <c r="B440" s="2" t="s">
        <v>1482</v>
      </c>
      <c r="C440" s="2" t="s">
        <v>1483</v>
      </c>
      <c r="D440" s="2" t="s">
        <v>1484</v>
      </c>
      <c r="E440" s="2" t="s">
        <v>1485</v>
      </c>
      <c r="F440" s="2">
        <v>9</v>
      </c>
      <c r="G440" s="2" t="s">
        <v>13</v>
      </c>
      <c r="H440" s="2">
        <v>26</v>
      </c>
      <c r="I440" s="6">
        <f t="shared" si="138"/>
        <v>234</v>
      </c>
      <c r="J440" s="6">
        <f t="shared" si="142"/>
        <v>30</v>
      </c>
      <c r="K440" s="6">
        <f t="shared" si="143"/>
        <v>30</v>
      </c>
      <c r="L440" s="6">
        <f t="shared" si="139"/>
        <v>513</v>
      </c>
      <c r="M440" s="6">
        <f t="shared" si="144"/>
        <v>26</v>
      </c>
      <c r="N440" s="6" t="b">
        <f t="shared" si="125"/>
        <v>1</v>
      </c>
      <c r="O440" s="6" t="b">
        <f t="shared" si="140"/>
        <v>1</v>
      </c>
      <c r="P440" s="6" t="str">
        <f t="shared" si="126"/>
        <v>C006733-ct</v>
      </c>
      <c r="Q440" s="7" t="str">
        <f t="shared" si="127"/>
        <v>T044352
9</v>
      </c>
      <c r="R440" s="6" t="b">
        <f t="shared" si="128"/>
        <v>0</v>
      </c>
      <c r="S440" s="6" t="str">
        <f t="shared" si="129"/>
        <v>17</v>
      </c>
      <c r="T440" s="6" t="str">
        <f t="shared" si="130"/>
        <v>CT</v>
      </c>
      <c r="U440" s="6" t="str">
        <f t="shared" si="131"/>
        <v>ct</v>
      </c>
      <c r="V440" s="6">
        <f t="shared" si="132"/>
        <v>2</v>
      </c>
      <c r="W440" s="6" t="str">
        <f t="shared" si="133"/>
        <v>T044352 9</v>
      </c>
      <c r="X440" s="6" t="str">
        <f t="shared" si="134"/>
        <v>S55458</v>
      </c>
      <c r="Y440" s="6" t="str">
        <f t="shared" si="135"/>
        <v>T04</v>
      </c>
      <c r="Z440" s="6" t="str">
        <f t="shared" si="136"/>
        <v>352</v>
      </c>
      <c r="AA440" s="6">
        <f t="shared" si="141"/>
        <v>2</v>
      </c>
      <c r="AB440" s="6">
        <f t="shared" si="137"/>
        <v>2</v>
      </c>
      <c r="AC440" s="6"/>
      <c r="AD440" s="23"/>
    </row>
    <row r="441" spans="1:30" ht="30" x14ac:dyDescent="0.25">
      <c r="A441" s="2" t="s">
        <v>121</v>
      </c>
      <c r="B441" s="2" t="s">
        <v>1486</v>
      </c>
      <c r="C441" s="2" t="s">
        <v>1487</v>
      </c>
      <c r="D441" s="2" t="s">
        <v>203</v>
      </c>
      <c r="E441" s="2" t="s">
        <v>1488</v>
      </c>
      <c r="F441" s="2">
        <v>7</v>
      </c>
      <c r="G441" s="2" t="s">
        <v>35</v>
      </c>
      <c r="H441" s="2">
        <v>6.75</v>
      </c>
      <c r="I441" s="6">
        <f t="shared" si="138"/>
        <v>47.25</v>
      </c>
      <c r="J441" s="6">
        <f t="shared" si="142"/>
        <v>389</v>
      </c>
      <c r="K441" s="6">
        <f t="shared" si="143"/>
        <v>387</v>
      </c>
      <c r="L441" s="6">
        <f t="shared" si="139"/>
        <v>345.25</v>
      </c>
      <c r="M441" s="6">
        <f t="shared" si="144"/>
        <v>20</v>
      </c>
      <c r="N441" s="6" t="b">
        <f t="shared" si="125"/>
        <v>0</v>
      </c>
      <c r="O441" s="6" t="b">
        <f t="shared" si="140"/>
        <v>1</v>
      </c>
      <c r="P441" s="6" t="str">
        <f t="shared" si="126"/>
        <v>C007105-cans</v>
      </c>
      <c r="Q441" s="7" t="str">
        <f t="shared" si="127"/>
        <v>T085209
7</v>
      </c>
      <c r="R441" s="6" t="b">
        <f t="shared" si="128"/>
        <v>0</v>
      </c>
      <c r="S441" s="6" t="str">
        <f t="shared" si="129"/>
        <v>01</v>
      </c>
      <c r="T441" s="6" t="str">
        <f t="shared" si="130"/>
        <v>CANS</v>
      </c>
      <c r="U441" s="6" t="str">
        <f t="shared" si="131"/>
        <v>cans</v>
      </c>
      <c r="V441" s="6">
        <f t="shared" si="132"/>
        <v>2</v>
      </c>
      <c r="W441" s="6" t="str">
        <f t="shared" si="133"/>
        <v>T085209 7</v>
      </c>
      <c r="X441" s="6" t="str">
        <f t="shared" si="134"/>
        <v>S55682</v>
      </c>
      <c r="Y441" s="6" t="str">
        <f t="shared" si="135"/>
        <v>T08</v>
      </c>
      <c r="Z441" s="6" t="str">
        <f t="shared" si="136"/>
        <v>209</v>
      </c>
      <c r="AA441" s="6">
        <f t="shared" si="141"/>
        <v>2</v>
      </c>
      <c r="AB441" s="6">
        <f t="shared" si="137"/>
        <v>4</v>
      </c>
      <c r="AC441" s="6"/>
      <c r="AD441" s="23"/>
    </row>
    <row r="442" spans="1:30" ht="30" x14ac:dyDescent="0.25">
      <c r="A442" s="2" t="s">
        <v>283</v>
      </c>
      <c r="B442" s="2" t="s">
        <v>1489</v>
      </c>
      <c r="C442" s="2" t="s">
        <v>1490</v>
      </c>
      <c r="D442" s="2" t="s">
        <v>1413</v>
      </c>
      <c r="E442" s="2" t="s">
        <v>1394</v>
      </c>
      <c r="F442" s="2">
        <v>9</v>
      </c>
      <c r="G442" s="2" t="s">
        <v>13</v>
      </c>
      <c r="H442" s="2">
        <v>14</v>
      </c>
      <c r="I442" s="6">
        <f t="shared" si="138"/>
        <v>126</v>
      </c>
      <c r="J442" s="6">
        <f t="shared" si="142"/>
        <v>157</v>
      </c>
      <c r="K442" s="6">
        <f t="shared" si="143"/>
        <v>154</v>
      </c>
      <c r="L442" s="6">
        <f t="shared" si="139"/>
        <v>487</v>
      </c>
      <c r="M442" s="6">
        <f t="shared" si="144"/>
        <v>25</v>
      </c>
      <c r="N442" s="6" t="b">
        <f t="shared" si="125"/>
        <v>0</v>
      </c>
      <c r="O442" s="6" t="b">
        <f t="shared" si="140"/>
        <v>1</v>
      </c>
      <c r="P442" s="6" t="str">
        <f t="shared" si="126"/>
        <v>C008009-ct</v>
      </c>
      <c r="Q442" s="7" t="str">
        <f t="shared" si="127"/>
        <v>T012056
9</v>
      </c>
      <c r="R442" s="6" t="b">
        <f t="shared" si="128"/>
        <v>0</v>
      </c>
      <c r="S442" s="6" t="str">
        <f t="shared" si="129"/>
        <v>20</v>
      </c>
      <c r="T442" s="6" t="str">
        <f t="shared" si="130"/>
        <v>CT</v>
      </c>
      <c r="U442" s="6" t="str">
        <f t="shared" si="131"/>
        <v>ct</v>
      </c>
      <c r="V442" s="6">
        <f t="shared" si="132"/>
        <v>2</v>
      </c>
      <c r="W442" s="6" t="str">
        <f t="shared" si="133"/>
        <v>T012056 9</v>
      </c>
      <c r="X442" s="6" t="str">
        <f t="shared" si="134"/>
        <v>S5523</v>
      </c>
      <c r="Y442" s="6" t="str">
        <f t="shared" si="135"/>
        <v>T01</v>
      </c>
      <c r="Z442" s="6" t="str">
        <f t="shared" si="136"/>
        <v>056</v>
      </c>
      <c r="AA442" s="6">
        <f t="shared" si="141"/>
        <v>2</v>
      </c>
      <c r="AB442" s="6">
        <f t="shared" si="137"/>
        <v>2</v>
      </c>
      <c r="AC442" s="6"/>
      <c r="AD442" s="23"/>
    </row>
    <row r="443" spans="1:30" ht="30" x14ac:dyDescent="0.25">
      <c r="A443" s="2" t="s">
        <v>162</v>
      </c>
      <c r="B443" s="2" t="s">
        <v>1491</v>
      </c>
      <c r="C443" s="2" t="s">
        <v>1492</v>
      </c>
      <c r="D443" s="2" t="s">
        <v>1070</v>
      </c>
      <c r="E443" s="2" t="s">
        <v>1493</v>
      </c>
      <c r="F443" s="2">
        <v>8</v>
      </c>
      <c r="G443" s="2" t="s">
        <v>1072</v>
      </c>
      <c r="H443" s="2">
        <v>16</v>
      </c>
      <c r="I443" s="6">
        <f t="shared" si="138"/>
        <v>128</v>
      </c>
      <c r="J443" s="6">
        <f t="shared" si="142"/>
        <v>150</v>
      </c>
      <c r="K443" s="6">
        <f t="shared" si="143"/>
        <v>148</v>
      </c>
      <c r="L443" s="6">
        <f t="shared" si="139"/>
        <v>81</v>
      </c>
      <c r="M443" s="6">
        <f t="shared" si="144"/>
        <v>5</v>
      </c>
      <c r="N443" s="6" t="b">
        <f t="shared" si="125"/>
        <v>0</v>
      </c>
      <c r="O443" s="6" t="b">
        <f t="shared" si="140"/>
        <v>1</v>
      </c>
      <c r="P443" s="6" t="str">
        <f t="shared" si="126"/>
        <v>C006122-Bags</v>
      </c>
      <c r="Q443" s="7" t="str">
        <f t="shared" si="127"/>
        <v>T078365
8</v>
      </c>
      <c r="R443" s="6" t="b">
        <f t="shared" si="128"/>
        <v>0</v>
      </c>
      <c r="S443" s="6" t="str">
        <f t="shared" si="129"/>
        <v>16</v>
      </c>
      <c r="T443" s="6" t="str">
        <f t="shared" si="130"/>
        <v>BAGS</v>
      </c>
      <c r="U443" s="6" t="str">
        <f t="shared" si="131"/>
        <v>bags</v>
      </c>
      <c r="V443" s="6">
        <f t="shared" si="132"/>
        <v>2</v>
      </c>
      <c r="W443" s="6" t="str">
        <f t="shared" si="133"/>
        <v>T078365 8</v>
      </c>
      <c r="X443" s="6" t="str">
        <f t="shared" si="134"/>
        <v>S5531</v>
      </c>
      <c r="Y443" s="6" t="str">
        <f t="shared" si="135"/>
        <v>T07</v>
      </c>
      <c r="Z443" s="6" t="str">
        <f t="shared" si="136"/>
        <v>365</v>
      </c>
      <c r="AA443" s="6">
        <f t="shared" si="141"/>
        <v>2</v>
      </c>
      <c r="AB443" s="6">
        <f t="shared" si="137"/>
        <v>4</v>
      </c>
      <c r="AC443" s="6"/>
      <c r="AD443" s="23"/>
    </row>
    <row r="444" spans="1:30" ht="30" x14ac:dyDescent="0.25">
      <c r="A444" s="2" t="s">
        <v>121</v>
      </c>
      <c r="B444" s="2" t="s">
        <v>1494</v>
      </c>
      <c r="C444" s="2" t="s">
        <v>1495</v>
      </c>
      <c r="D444" s="2" t="s">
        <v>58</v>
      </c>
      <c r="E444" s="2" t="s">
        <v>177</v>
      </c>
      <c r="F444" s="2">
        <v>7</v>
      </c>
      <c r="G444" s="2" t="s">
        <v>60</v>
      </c>
      <c r="H444" s="2">
        <v>22</v>
      </c>
      <c r="I444" s="6">
        <f t="shared" si="138"/>
        <v>154</v>
      </c>
      <c r="J444" s="6">
        <f t="shared" si="142"/>
        <v>100.5</v>
      </c>
      <c r="K444" s="6">
        <f t="shared" si="143"/>
        <v>99</v>
      </c>
      <c r="L444" s="6">
        <f t="shared" si="139"/>
        <v>188</v>
      </c>
      <c r="M444" s="6">
        <f t="shared" si="144"/>
        <v>10</v>
      </c>
      <c r="N444" s="6" t="b">
        <f t="shared" si="125"/>
        <v>1</v>
      </c>
      <c r="O444" s="6" t="b">
        <f t="shared" si="140"/>
        <v>1</v>
      </c>
      <c r="P444" s="6" t="str">
        <f t="shared" si="126"/>
        <v>C004477-bottles</v>
      </c>
      <c r="Q444" s="7" t="str">
        <f t="shared" si="127"/>
        <v>T084209
7</v>
      </c>
      <c r="R444" s="6" t="b">
        <f t="shared" si="128"/>
        <v>0</v>
      </c>
      <c r="S444" s="6" t="str">
        <f t="shared" si="129"/>
        <v>05</v>
      </c>
      <c r="T444" s="6" t="str">
        <f t="shared" si="130"/>
        <v>BOTTLES</v>
      </c>
      <c r="U444" s="6" t="str">
        <f t="shared" si="131"/>
        <v>bottles</v>
      </c>
      <c r="V444" s="6">
        <f t="shared" si="132"/>
        <v>2</v>
      </c>
      <c r="W444" s="6" t="str">
        <f t="shared" si="133"/>
        <v>T084209 7</v>
      </c>
      <c r="X444" s="6" t="str">
        <f t="shared" si="134"/>
        <v>S5595</v>
      </c>
      <c r="Y444" s="6" t="str">
        <f t="shared" si="135"/>
        <v>T08</v>
      </c>
      <c r="Z444" s="6" t="str">
        <f t="shared" si="136"/>
        <v>209</v>
      </c>
      <c r="AA444" s="6">
        <f t="shared" si="141"/>
        <v>2</v>
      </c>
      <c r="AB444" s="6">
        <f t="shared" si="137"/>
        <v>7</v>
      </c>
      <c r="AC444" s="6"/>
      <c r="AD444" s="23"/>
    </row>
    <row r="445" spans="1:30" ht="30" x14ac:dyDescent="0.25">
      <c r="A445" s="2" t="s">
        <v>125</v>
      </c>
      <c r="B445" s="2" t="s">
        <v>1496</v>
      </c>
      <c r="C445" s="2" t="s">
        <v>1497</v>
      </c>
      <c r="D445" s="2" t="s">
        <v>453</v>
      </c>
      <c r="E445" s="2" t="s">
        <v>1158</v>
      </c>
      <c r="F445" s="2">
        <v>4</v>
      </c>
      <c r="G445" s="2" t="s">
        <v>35</v>
      </c>
      <c r="H445" s="2">
        <v>40</v>
      </c>
      <c r="I445" s="6">
        <f t="shared" si="138"/>
        <v>160</v>
      </c>
      <c r="J445" s="6">
        <f t="shared" si="142"/>
        <v>90.5</v>
      </c>
      <c r="K445" s="6">
        <f t="shared" si="143"/>
        <v>84</v>
      </c>
      <c r="L445" s="6">
        <f t="shared" si="139"/>
        <v>338.5</v>
      </c>
      <c r="M445" s="6">
        <f t="shared" si="144"/>
        <v>19</v>
      </c>
      <c r="N445" s="6" t="b">
        <f t="shared" si="125"/>
        <v>1</v>
      </c>
      <c r="O445" s="6" t="b">
        <f t="shared" si="140"/>
        <v>1</v>
      </c>
      <c r="P445" s="6" t="str">
        <f t="shared" si="126"/>
        <v>C008910-cans</v>
      </c>
      <c r="Q445" s="7" t="str">
        <f t="shared" si="127"/>
        <v>T030742
4</v>
      </c>
      <c r="R445" s="6" t="b">
        <f t="shared" si="128"/>
        <v>0</v>
      </c>
      <c r="S445" s="6" t="str">
        <f t="shared" si="129"/>
        <v>06</v>
      </c>
      <c r="T445" s="6" t="str">
        <f t="shared" si="130"/>
        <v>CANS</v>
      </c>
      <c r="U445" s="6" t="str">
        <f t="shared" si="131"/>
        <v>cans</v>
      </c>
      <c r="V445" s="6">
        <f t="shared" si="132"/>
        <v>2</v>
      </c>
      <c r="W445" s="6" t="str">
        <f t="shared" si="133"/>
        <v>T030742 4</v>
      </c>
      <c r="X445" s="6" t="str">
        <f t="shared" si="134"/>
        <v>S55392</v>
      </c>
      <c r="Y445" s="6" t="str">
        <f t="shared" si="135"/>
        <v>T03</v>
      </c>
      <c r="Z445" s="6" t="str">
        <f t="shared" si="136"/>
        <v>742</v>
      </c>
      <c r="AA445" s="6">
        <f t="shared" si="141"/>
        <v>2</v>
      </c>
      <c r="AB445" s="6">
        <f t="shared" si="137"/>
        <v>4</v>
      </c>
      <c r="AC445" s="6"/>
      <c r="AD445" s="23"/>
    </row>
    <row r="446" spans="1:30" ht="30" x14ac:dyDescent="0.25">
      <c r="A446" s="2" t="s">
        <v>224</v>
      </c>
      <c r="B446" s="2" t="s">
        <v>1498</v>
      </c>
      <c r="C446" s="2" t="s">
        <v>1499</v>
      </c>
      <c r="D446" s="2" t="s">
        <v>785</v>
      </c>
      <c r="E446" s="2" t="s">
        <v>1500</v>
      </c>
      <c r="F446" s="2">
        <v>2</v>
      </c>
      <c r="G446" s="2" t="s">
        <v>13</v>
      </c>
      <c r="H446" s="2">
        <v>29</v>
      </c>
      <c r="I446" s="6">
        <f t="shared" si="138"/>
        <v>58</v>
      </c>
      <c r="J446" s="6">
        <f t="shared" si="142"/>
        <v>353</v>
      </c>
      <c r="K446" s="6">
        <f t="shared" si="143"/>
        <v>353</v>
      </c>
      <c r="L446" s="6">
        <f t="shared" si="139"/>
        <v>473</v>
      </c>
      <c r="M446" s="6">
        <f t="shared" si="144"/>
        <v>24</v>
      </c>
      <c r="N446" s="6" t="b">
        <f t="shared" si="125"/>
        <v>1</v>
      </c>
      <c r="O446" s="6" t="b">
        <f t="shared" si="140"/>
        <v>1</v>
      </c>
      <c r="P446" s="6" t="str">
        <f t="shared" si="126"/>
        <v>C002244-ct</v>
      </c>
      <c r="Q446" s="7" t="str">
        <f t="shared" si="127"/>
        <v>T077328
2</v>
      </c>
      <c r="R446" s="6" t="b">
        <f t="shared" si="128"/>
        <v>0</v>
      </c>
      <c r="S446" s="6" t="str">
        <f t="shared" si="129"/>
        <v>14</v>
      </c>
      <c r="T446" s="6" t="str">
        <f t="shared" si="130"/>
        <v>CT</v>
      </c>
      <c r="U446" s="6" t="str">
        <f t="shared" si="131"/>
        <v>ct</v>
      </c>
      <c r="V446" s="6">
        <f t="shared" si="132"/>
        <v>2</v>
      </c>
      <c r="W446" s="6" t="str">
        <f t="shared" si="133"/>
        <v>T077328 2</v>
      </c>
      <c r="X446" s="6" t="str">
        <f t="shared" si="134"/>
        <v>S55432</v>
      </c>
      <c r="Y446" s="6" t="str">
        <f t="shared" si="135"/>
        <v>T07</v>
      </c>
      <c r="Z446" s="6" t="str">
        <f t="shared" si="136"/>
        <v>328</v>
      </c>
      <c r="AA446" s="6">
        <f t="shared" si="141"/>
        <v>2</v>
      </c>
      <c r="AB446" s="6">
        <f t="shared" si="137"/>
        <v>2</v>
      </c>
      <c r="AC446" s="6"/>
      <c r="AD446" s="23"/>
    </row>
    <row r="447" spans="1:30" ht="30" x14ac:dyDescent="0.25">
      <c r="A447" s="2" t="s">
        <v>61</v>
      </c>
      <c r="B447" s="2" t="s">
        <v>1501</v>
      </c>
      <c r="C447" s="2" t="s">
        <v>1502</v>
      </c>
      <c r="D447" s="2" t="s">
        <v>385</v>
      </c>
      <c r="E447" s="2" t="s">
        <v>1503</v>
      </c>
      <c r="F447" s="2">
        <v>3</v>
      </c>
      <c r="G447" s="2" t="s">
        <v>269</v>
      </c>
      <c r="H447" s="2">
        <v>14</v>
      </c>
      <c r="I447" s="6">
        <f t="shared" si="138"/>
        <v>42</v>
      </c>
      <c r="J447" s="6">
        <f t="shared" si="142"/>
        <v>404</v>
      </c>
      <c r="K447" s="6">
        <f t="shared" si="143"/>
        <v>400</v>
      </c>
      <c r="L447" s="6">
        <f t="shared" si="139"/>
        <v>41</v>
      </c>
      <c r="M447" s="6">
        <f t="shared" si="144"/>
        <v>3</v>
      </c>
      <c r="N447" s="6" t="b">
        <f t="shared" si="125"/>
        <v>0</v>
      </c>
      <c r="O447" s="6" t="b">
        <f t="shared" si="140"/>
        <v>1</v>
      </c>
      <c r="P447" s="6" t="str">
        <f t="shared" si="126"/>
        <v>C004829-ct.</v>
      </c>
      <c r="Q447" s="7" t="str">
        <f t="shared" si="127"/>
        <v>T06630
3</v>
      </c>
      <c r="R447" s="6" t="b">
        <f t="shared" si="128"/>
        <v>0</v>
      </c>
      <c r="S447" s="6" t="str">
        <f t="shared" si="129"/>
        <v>21</v>
      </c>
      <c r="T447" s="6" t="str">
        <f t="shared" si="130"/>
        <v>CT.</v>
      </c>
      <c r="U447" s="6" t="str">
        <f t="shared" si="131"/>
        <v>ct.</v>
      </c>
      <c r="V447" s="6">
        <f t="shared" si="132"/>
        <v>2</v>
      </c>
      <c r="W447" s="6" t="str">
        <f t="shared" si="133"/>
        <v>T06630 3</v>
      </c>
      <c r="X447" s="6" t="str">
        <f t="shared" si="134"/>
        <v>S55715</v>
      </c>
      <c r="Y447" s="6" t="str">
        <f t="shared" si="135"/>
        <v>T06</v>
      </c>
      <c r="Z447" s="6" t="str">
        <f t="shared" si="136"/>
        <v>630</v>
      </c>
      <c r="AA447" s="6">
        <f t="shared" si="141"/>
        <v>2</v>
      </c>
      <c r="AB447" s="6">
        <f t="shared" si="137"/>
        <v>3</v>
      </c>
      <c r="AC447" s="6"/>
      <c r="AD447" s="23"/>
    </row>
    <row r="448" spans="1:30" ht="30" x14ac:dyDescent="0.25">
      <c r="A448" s="2" t="s">
        <v>20</v>
      </c>
      <c r="B448" s="2" t="s">
        <v>1504</v>
      </c>
      <c r="C448" s="2" t="s">
        <v>1505</v>
      </c>
      <c r="D448" s="2" t="s">
        <v>1506</v>
      </c>
      <c r="E448" s="2" t="s">
        <v>18</v>
      </c>
      <c r="F448" s="2">
        <v>10</v>
      </c>
      <c r="G448" s="2" t="s">
        <v>167</v>
      </c>
      <c r="H448" s="2">
        <v>19.5</v>
      </c>
      <c r="I448" s="6">
        <f t="shared" si="138"/>
        <v>195</v>
      </c>
      <c r="J448" s="6">
        <f t="shared" si="142"/>
        <v>53.5</v>
      </c>
      <c r="K448" s="6">
        <f t="shared" si="143"/>
        <v>53</v>
      </c>
      <c r="L448" s="6">
        <f t="shared" si="139"/>
        <v>19.5</v>
      </c>
      <c r="M448" s="6">
        <f t="shared" si="144"/>
        <v>1</v>
      </c>
      <c r="N448" s="6" t="b">
        <f t="shared" si="125"/>
        <v>0</v>
      </c>
      <c r="O448" s="6" t="b">
        <f t="shared" si="140"/>
        <v>1</v>
      </c>
      <c r="P448" s="6" t="str">
        <f t="shared" si="126"/>
        <v>C003519-oz</v>
      </c>
      <c r="Q448" s="7" t="str">
        <f t="shared" si="127"/>
        <v>T071952
10</v>
      </c>
      <c r="R448" s="6" t="b">
        <f t="shared" si="128"/>
        <v>0</v>
      </c>
      <c r="S448" s="6" t="str">
        <f t="shared" si="129"/>
        <v>21</v>
      </c>
      <c r="T448" s="6" t="str">
        <f t="shared" si="130"/>
        <v>OZ</v>
      </c>
      <c r="U448" s="6" t="str">
        <f t="shared" si="131"/>
        <v>oz</v>
      </c>
      <c r="V448" s="6">
        <f t="shared" si="132"/>
        <v>2</v>
      </c>
      <c r="W448" s="6" t="str">
        <f t="shared" si="133"/>
        <v>T071952 10</v>
      </c>
      <c r="X448" s="6" t="str">
        <f t="shared" si="134"/>
        <v>S55595</v>
      </c>
      <c r="Y448" s="6" t="str">
        <f t="shared" si="135"/>
        <v>T07</v>
      </c>
      <c r="Z448" s="6" t="str">
        <f t="shared" si="136"/>
        <v>952</v>
      </c>
      <c r="AA448" s="6">
        <f t="shared" si="141"/>
        <v>2</v>
      </c>
      <c r="AB448" s="6">
        <f t="shared" si="137"/>
        <v>2</v>
      </c>
      <c r="AC448" s="6"/>
      <c r="AD448" s="23"/>
    </row>
    <row r="449" spans="1:30" ht="30" x14ac:dyDescent="0.25">
      <c r="A449" s="2" t="s">
        <v>307</v>
      </c>
      <c r="B449" s="2" t="s">
        <v>1507</v>
      </c>
      <c r="C449" s="2" t="s">
        <v>1508</v>
      </c>
      <c r="D449" s="2" t="s">
        <v>1242</v>
      </c>
      <c r="E449" s="2" t="s">
        <v>1509</v>
      </c>
      <c r="F449" s="2">
        <v>11</v>
      </c>
      <c r="G449" s="2" t="s">
        <v>35</v>
      </c>
      <c r="H449" s="2">
        <v>40</v>
      </c>
      <c r="I449" s="6">
        <f t="shared" si="138"/>
        <v>440</v>
      </c>
      <c r="J449" s="6">
        <f t="shared" si="142"/>
        <v>3.5</v>
      </c>
      <c r="K449" s="6">
        <f t="shared" si="143"/>
        <v>2</v>
      </c>
      <c r="L449" s="6">
        <f t="shared" si="139"/>
        <v>298.5</v>
      </c>
      <c r="M449" s="6">
        <f t="shared" si="144"/>
        <v>18</v>
      </c>
      <c r="N449" s="6" t="b">
        <f t="shared" si="125"/>
        <v>1</v>
      </c>
      <c r="O449" s="6" t="b">
        <f t="shared" si="140"/>
        <v>1</v>
      </c>
      <c r="P449" s="6" t="str">
        <f t="shared" si="126"/>
        <v>C003486-cans</v>
      </c>
      <c r="Q449" s="7" t="str">
        <f t="shared" si="127"/>
        <v>T088152
11</v>
      </c>
      <c r="R449" s="6" t="b">
        <f t="shared" si="128"/>
        <v>0</v>
      </c>
      <c r="S449" s="6" t="str">
        <f t="shared" si="129"/>
        <v>05</v>
      </c>
      <c r="T449" s="6" t="str">
        <f t="shared" si="130"/>
        <v>CANS</v>
      </c>
      <c r="U449" s="6" t="str">
        <f t="shared" si="131"/>
        <v>cans</v>
      </c>
      <c r="V449" s="6">
        <f t="shared" si="132"/>
        <v>2</v>
      </c>
      <c r="W449" s="6" t="str">
        <f t="shared" si="133"/>
        <v>T088152 11</v>
      </c>
      <c r="X449" s="6" t="str">
        <f t="shared" si="134"/>
        <v>S55154</v>
      </c>
      <c r="Y449" s="6" t="str">
        <f t="shared" si="135"/>
        <v>T08</v>
      </c>
      <c r="Z449" s="6" t="str">
        <f t="shared" si="136"/>
        <v>152</v>
      </c>
      <c r="AA449" s="6">
        <f t="shared" si="141"/>
        <v>2</v>
      </c>
      <c r="AB449" s="6">
        <f t="shared" si="137"/>
        <v>4</v>
      </c>
      <c r="AC449" s="6"/>
      <c r="AD449" s="23"/>
    </row>
    <row r="450" spans="1:30" ht="30" x14ac:dyDescent="0.25">
      <c r="A450" s="2" t="s">
        <v>743</v>
      </c>
      <c r="B450" s="2" t="s">
        <v>1510</v>
      </c>
      <c r="C450" s="2" t="s">
        <v>1511</v>
      </c>
      <c r="D450" s="2" t="s">
        <v>782</v>
      </c>
      <c r="E450" s="2" t="s">
        <v>1085</v>
      </c>
      <c r="F450" s="2">
        <v>7</v>
      </c>
      <c r="G450" s="2" t="s">
        <v>13</v>
      </c>
      <c r="H450" s="2">
        <v>26</v>
      </c>
      <c r="I450" s="6">
        <f t="shared" si="138"/>
        <v>182</v>
      </c>
      <c r="J450" s="6">
        <f t="shared" si="142"/>
        <v>58</v>
      </c>
      <c r="K450" s="6">
        <f t="shared" si="143"/>
        <v>58</v>
      </c>
      <c r="L450" s="6">
        <f t="shared" si="139"/>
        <v>444</v>
      </c>
      <c r="M450" s="6">
        <f t="shared" si="144"/>
        <v>23</v>
      </c>
      <c r="N450" s="6" t="b">
        <f t="shared" si="125"/>
        <v>1</v>
      </c>
      <c r="O450" s="6" t="b">
        <f t="shared" si="140"/>
        <v>1</v>
      </c>
      <c r="P450" s="6" t="str">
        <f t="shared" si="126"/>
        <v>C002238-ct</v>
      </c>
      <c r="Q450" s="7" t="str">
        <f t="shared" si="127"/>
        <v>T028420
7</v>
      </c>
      <c r="R450" s="6" t="b">
        <f t="shared" si="128"/>
        <v>0</v>
      </c>
      <c r="S450" s="6" t="str">
        <f t="shared" si="129"/>
        <v>18</v>
      </c>
      <c r="T450" s="6" t="str">
        <f t="shared" si="130"/>
        <v>CT</v>
      </c>
      <c r="U450" s="6" t="str">
        <f t="shared" si="131"/>
        <v>ct</v>
      </c>
      <c r="V450" s="6">
        <f t="shared" si="132"/>
        <v>2</v>
      </c>
      <c r="W450" s="6" t="str">
        <f t="shared" si="133"/>
        <v>T028420 7</v>
      </c>
      <c r="X450" s="6" t="str">
        <f t="shared" si="134"/>
        <v>S55162</v>
      </c>
      <c r="Y450" s="6" t="str">
        <f t="shared" si="135"/>
        <v>T02</v>
      </c>
      <c r="Z450" s="6" t="str">
        <f t="shared" si="136"/>
        <v>420</v>
      </c>
      <c r="AA450" s="6">
        <f t="shared" si="141"/>
        <v>2</v>
      </c>
      <c r="AB450" s="6">
        <f t="shared" si="137"/>
        <v>2</v>
      </c>
      <c r="AC450" s="6"/>
      <c r="AD450" s="23"/>
    </row>
    <row r="451" spans="1:30" ht="30" x14ac:dyDescent="0.25">
      <c r="A451" s="2" t="s">
        <v>107</v>
      </c>
      <c r="B451" s="2" t="s">
        <v>1512</v>
      </c>
      <c r="C451" s="2" t="s">
        <v>1513</v>
      </c>
      <c r="D451" s="2" t="s">
        <v>677</v>
      </c>
      <c r="E451" s="2" t="s">
        <v>1514</v>
      </c>
      <c r="F451" s="2">
        <v>8</v>
      </c>
      <c r="G451" s="2" t="s">
        <v>60</v>
      </c>
      <c r="H451" s="2">
        <v>20</v>
      </c>
      <c r="I451" s="6">
        <f t="shared" si="138"/>
        <v>160</v>
      </c>
      <c r="J451" s="6">
        <f t="shared" si="142"/>
        <v>90.5</v>
      </c>
      <c r="K451" s="6">
        <f t="shared" si="143"/>
        <v>84</v>
      </c>
      <c r="L451" s="6">
        <f t="shared" si="139"/>
        <v>166</v>
      </c>
      <c r="M451" s="6">
        <f t="shared" si="144"/>
        <v>9</v>
      </c>
      <c r="N451" s="6" t="b">
        <f t="shared" si="125"/>
        <v>0</v>
      </c>
      <c r="O451" s="6" t="b">
        <f t="shared" si="140"/>
        <v>1</v>
      </c>
      <c r="P451" s="6" t="str">
        <f t="shared" si="126"/>
        <v>C002905-bottles</v>
      </c>
      <c r="Q451" s="7" t="str">
        <f t="shared" si="127"/>
        <v>T049666
8</v>
      </c>
      <c r="R451" s="6" t="b">
        <f t="shared" si="128"/>
        <v>0</v>
      </c>
      <c r="S451" s="6" t="str">
        <f t="shared" si="129"/>
        <v>07</v>
      </c>
      <c r="T451" s="6" t="str">
        <f t="shared" si="130"/>
        <v>BOTTLES</v>
      </c>
      <c r="U451" s="6" t="str">
        <f t="shared" si="131"/>
        <v>bottles</v>
      </c>
      <c r="V451" s="6">
        <f t="shared" si="132"/>
        <v>2</v>
      </c>
      <c r="W451" s="6" t="str">
        <f t="shared" si="133"/>
        <v>T049666 8</v>
      </c>
      <c r="X451" s="6" t="str">
        <f t="shared" si="134"/>
        <v>S55415</v>
      </c>
      <c r="Y451" s="6" t="str">
        <f t="shared" si="135"/>
        <v>T04</v>
      </c>
      <c r="Z451" s="6" t="str">
        <f t="shared" si="136"/>
        <v>666</v>
      </c>
      <c r="AA451" s="6">
        <f t="shared" si="141"/>
        <v>2</v>
      </c>
      <c r="AB451" s="6">
        <f t="shared" si="137"/>
        <v>7</v>
      </c>
      <c r="AC451" s="6"/>
      <c r="AD451" s="23"/>
    </row>
    <row r="452" spans="1:30" ht="30" x14ac:dyDescent="0.25">
      <c r="A452" s="2" t="s">
        <v>519</v>
      </c>
      <c r="B452" s="2" t="s">
        <v>1515</v>
      </c>
      <c r="C452" s="2" t="s">
        <v>1516</v>
      </c>
      <c r="D452" s="2" t="s">
        <v>1023</v>
      </c>
      <c r="E452" s="2" t="s">
        <v>1517</v>
      </c>
      <c r="F452" s="2">
        <v>9</v>
      </c>
      <c r="G452" s="2" t="s">
        <v>13</v>
      </c>
      <c r="H452" s="2">
        <v>14</v>
      </c>
      <c r="I452" s="6">
        <f t="shared" si="138"/>
        <v>126</v>
      </c>
      <c r="J452" s="6">
        <f t="shared" si="142"/>
        <v>157</v>
      </c>
      <c r="K452" s="6">
        <f t="shared" si="143"/>
        <v>154</v>
      </c>
      <c r="L452" s="6">
        <f t="shared" si="139"/>
        <v>418</v>
      </c>
      <c r="M452" s="6">
        <f t="shared" si="144"/>
        <v>22</v>
      </c>
      <c r="N452" s="6" t="b">
        <f t="shared" si="125"/>
        <v>0</v>
      </c>
      <c r="O452" s="6" t="b">
        <f t="shared" si="140"/>
        <v>1</v>
      </c>
      <c r="P452" s="6" t="str">
        <f t="shared" si="126"/>
        <v>C000662-ct</v>
      </c>
      <c r="Q452" s="7" t="str">
        <f t="shared" si="127"/>
        <v>T014946
9</v>
      </c>
      <c r="R452" s="6" t="b">
        <f t="shared" si="128"/>
        <v>0</v>
      </c>
      <c r="S452" s="6" t="str">
        <f t="shared" si="129"/>
        <v>18</v>
      </c>
      <c r="T452" s="6" t="str">
        <f t="shared" si="130"/>
        <v>CT</v>
      </c>
      <c r="U452" s="6" t="str">
        <f t="shared" si="131"/>
        <v>ct</v>
      </c>
      <c r="V452" s="6">
        <f t="shared" si="132"/>
        <v>2</v>
      </c>
      <c r="W452" s="6" t="str">
        <f t="shared" si="133"/>
        <v>T014946 9</v>
      </c>
      <c r="X452" s="6" t="str">
        <f t="shared" si="134"/>
        <v>S55216</v>
      </c>
      <c r="Y452" s="6" t="str">
        <f t="shared" si="135"/>
        <v>T01</v>
      </c>
      <c r="Z452" s="6" t="str">
        <f t="shared" si="136"/>
        <v>946</v>
      </c>
      <c r="AA452" s="6">
        <f t="shared" si="141"/>
        <v>2</v>
      </c>
      <c r="AB452" s="6">
        <f t="shared" si="137"/>
        <v>2</v>
      </c>
      <c r="AC452" s="6"/>
      <c r="AD452" s="23"/>
    </row>
    <row r="453" spans="1:30" ht="30" x14ac:dyDescent="0.25">
      <c r="A453" s="2" t="s">
        <v>283</v>
      </c>
      <c r="B453" s="2" t="s">
        <v>1518</v>
      </c>
      <c r="C453" s="2" t="s">
        <v>1519</v>
      </c>
      <c r="D453" s="2" t="s">
        <v>476</v>
      </c>
      <c r="E453" s="2" t="s">
        <v>815</v>
      </c>
      <c r="F453" s="2">
        <v>3</v>
      </c>
      <c r="G453" s="2" t="s">
        <v>13</v>
      </c>
      <c r="H453" s="2">
        <v>32</v>
      </c>
      <c r="I453" s="6">
        <f t="shared" si="138"/>
        <v>96</v>
      </c>
      <c r="J453" s="6">
        <f t="shared" si="142"/>
        <v>231.5</v>
      </c>
      <c r="K453" s="6">
        <f t="shared" si="143"/>
        <v>228</v>
      </c>
      <c r="L453" s="6">
        <f t="shared" si="139"/>
        <v>404</v>
      </c>
      <c r="M453" s="6">
        <f t="shared" si="144"/>
        <v>21</v>
      </c>
      <c r="N453" s="6" t="b">
        <f t="shared" si="125"/>
        <v>1</v>
      </c>
      <c r="O453" s="6" t="b">
        <f t="shared" si="140"/>
        <v>1</v>
      </c>
      <c r="P453" s="6" t="str">
        <f t="shared" si="126"/>
        <v>C004563-ct</v>
      </c>
      <c r="Q453" s="7" t="str">
        <f t="shared" si="127"/>
        <v>T089441
3</v>
      </c>
      <c r="R453" s="6" t="b">
        <f t="shared" si="128"/>
        <v>0</v>
      </c>
      <c r="S453" s="6" t="str">
        <f t="shared" si="129"/>
        <v>13</v>
      </c>
      <c r="T453" s="6" t="str">
        <f t="shared" si="130"/>
        <v>CT</v>
      </c>
      <c r="U453" s="6" t="str">
        <f t="shared" si="131"/>
        <v>ct</v>
      </c>
      <c r="V453" s="6">
        <f t="shared" si="132"/>
        <v>2</v>
      </c>
      <c r="W453" s="6" t="str">
        <f t="shared" si="133"/>
        <v>T089441 3</v>
      </c>
      <c r="X453" s="6" t="str">
        <f t="shared" si="134"/>
        <v>S55515</v>
      </c>
      <c r="Y453" s="6" t="str">
        <f t="shared" si="135"/>
        <v>T08</v>
      </c>
      <c r="Z453" s="6" t="str">
        <f t="shared" si="136"/>
        <v>441</v>
      </c>
      <c r="AA453" s="6">
        <f t="shared" si="141"/>
        <v>2</v>
      </c>
      <c r="AB453" s="6">
        <f t="shared" si="137"/>
        <v>2</v>
      </c>
      <c r="AC453" s="6"/>
      <c r="AD453" s="23"/>
    </row>
    <row r="454" spans="1:30" ht="30" x14ac:dyDescent="0.25">
      <c r="A454" s="2" t="s">
        <v>91</v>
      </c>
      <c r="B454" s="2" t="s">
        <v>1520</v>
      </c>
      <c r="C454" s="2" t="s">
        <v>1521</v>
      </c>
      <c r="D454" s="2" t="s">
        <v>1522</v>
      </c>
      <c r="E454" s="2" t="s">
        <v>1523</v>
      </c>
      <c r="F454" s="2">
        <v>4</v>
      </c>
      <c r="G454" s="2" t="s">
        <v>13</v>
      </c>
      <c r="H454" s="2">
        <v>16</v>
      </c>
      <c r="I454" s="6">
        <f t="shared" ref="I454:I500" si="145">$F454*H454</f>
        <v>64</v>
      </c>
      <c r="J454" s="6">
        <f t="shared" si="142"/>
        <v>328</v>
      </c>
      <c r="K454" s="6">
        <f t="shared" si="143"/>
        <v>324</v>
      </c>
      <c r="L454" s="6">
        <f t="shared" ref="L454:L500" si="146">SUMIF(G454:G866,G454,H454:H949)</f>
        <v>372</v>
      </c>
      <c r="M454" s="6">
        <f t="shared" si="144"/>
        <v>20</v>
      </c>
      <c r="N454" s="6" t="b">
        <f t="shared" ref="N454:N500" si="147">AND(H454&gt;20,H454&lt;70)</f>
        <v>0</v>
      </c>
      <c r="O454" s="6" t="b">
        <f t="shared" si="140"/>
        <v>1</v>
      </c>
      <c r="P454" s="6" t="str">
        <f t="shared" si="126"/>
        <v>C008136-ct</v>
      </c>
      <c r="Q454" s="7" t="str">
        <f t="shared" ref="Q454:Q500" si="148">_xlfn.CONCAT(C454,CHAR(10),F454)</f>
        <v>T048913
4</v>
      </c>
      <c r="R454" s="6" t="b">
        <f t="shared" ref="R454:R500" si="149">EXACT(D454,E454)</f>
        <v>0</v>
      </c>
      <c r="S454" s="6" t="str">
        <f t="shared" ref="S454:S500" si="150">MID(D454,4,2)</f>
        <v>19</v>
      </c>
      <c r="T454" s="6" t="str">
        <f t="shared" ref="T454:T500" si="151">UPPER(G454)</f>
        <v>CT</v>
      </c>
      <c r="U454" s="6" t="str">
        <f t="shared" ref="U454:U500" si="152">LOWER(G454)</f>
        <v>ct</v>
      </c>
      <c r="V454" s="6">
        <f t="shared" ref="V454:V500" si="153">SEARCH("0",E454)</f>
        <v>2</v>
      </c>
      <c r="W454" s="6" t="str">
        <f t="shared" ref="W454:W500" si="154">_xlfn.TEXTJOIN(" ",TRUE,C454,F454)</f>
        <v>T048913 4</v>
      </c>
      <c r="X454" s="6" t="str">
        <f t="shared" ref="X454:X500" si="155">SUBSTITUTE(E454,"0","5")</f>
        <v>S55331</v>
      </c>
      <c r="Y454" s="6" t="str">
        <f t="shared" ref="Y454:Y500" si="156">LEFT(C454,3)</f>
        <v>T04</v>
      </c>
      <c r="Z454" s="6" t="str">
        <f t="shared" ref="Z454:Z500" si="157">RIGHT(C454,3)</f>
        <v>913</v>
      </c>
      <c r="AA454" s="6">
        <f t="shared" ref="AA454:AA500" si="158">FIND("0",A454)</f>
        <v>2</v>
      </c>
      <c r="AB454" s="6">
        <f t="shared" ref="AB454:AB500" si="159">LEN(G454)</f>
        <v>2</v>
      </c>
      <c r="AC454" s="6"/>
      <c r="AD454" s="23"/>
    </row>
    <row r="455" spans="1:30" ht="30" x14ac:dyDescent="0.25">
      <c r="A455" s="2" t="s">
        <v>121</v>
      </c>
      <c r="B455" s="2" t="s">
        <v>1524</v>
      </c>
      <c r="C455" s="2" t="s">
        <v>1525</v>
      </c>
      <c r="D455" s="2" t="s">
        <v>1526</v>
      </c>
      <c r="E455" s="2" t="s">
        <v>1527</v>
      </c>
      <c r="F455" s="2">
        <v>1</v>
      </c>
      <c r="G455" s="2" t="s">
        <v>13</v>
      </c>
      <c r="H455" s="2">
        <v>46</v>
      </c>
      <c r="I455" s="6">
        <f t="shared" si="145"/>
        <v>46</v>
      </c>
      <c r="J455" s="6">
        <f t="shared" si="142"/>
        <v>393</v>
      </c>
      <c r="K455" s="6">
        <f t="shared" si="143"/>
        <v>393</v>
      </c>
      <c r="L455" s="6">
        <f t="shared" si="146"/>
        <v>356</v>
      </c>
      <c r="M455" s="6">
        <f t="shared" si="144"/>
        <v>19</v>
      </c>
      <c r="N455" s="6" t="b">
        <f t="shared" si="147"/>
        <v>1</v>
      </c>
      <c r="O455" s="6" t="b">
        <f t="shared" si="140"/>
        <v>1</v>
      </c>
      <c r="P455" s="6" t="str">
        <f t="shared" ref="P455:P500" si="160">_xlfn.CONCAT(B455,"-",G455)</f>
        <v>C005345-ct</v>
      </c>
      <c r="Q455" s="7" t="str">
        <f t="shared" si="148"/>
        <v>T046359
1</v>
      </c>
      <c r="R455" s="6" t="b">
        <f t="shared" si="149"/>
        <v>0</v>
      </c>
      <c r="S455" s="6" t="str">
        <f t="shared" si="150"/>
        <v>11</v>
      </c>
      <c r="T455" s="6" t="str">
        <f t="shared" si="151"/>
        <v>CT</v>
      </c>
      <c r="U455" s="6" t="str">
        <f t="shared" si="152"/>
        <v>ct</v>
      </c>
      <c r="V455" s="6">
        <f t="shared" si="153"/>
        <v>2</v>
      </c>
      <c r="W455" s="6" t="str">
        <f t="shared" si="154"/>
        <v>T046359 1</v>
      </c>
      <c r="X455" s="6" t="str">
        <f t="shared" si="155"/>
        <v>S55695</v>
      </c>
      <c r="Y455" s="6" t="str">
        <f t="shared" si="156"/>
        <v>T04</v>
      </c>
      <c r="Z455" s="6" t="str">
        <f t="shared" si="157"/>
        <v>359</v>
      </c>
      <c r="AA455" s="6">
        <f t="shared" si="158"/>
        <v>2</v>
      </c>
      <c r="AB455" s="6">
        <f t="shared" si="159"/>
        <v>2</v>
      </c>
      <c r="AC455" s="6"/>
      <c r="AD455" s="23"/>
    </row>
    <row r="456" spans="1:30" ht="30" x14ac:dyDescent="0.25">
      <c r="A456" s="2" t="s">
        <v>25</v>
      </c>
      <c r="B456" s="2" t="s">
        <v>1528</v>
      </c>
      <c r="C456" s="2" t="s">
        <v>1529</v>
      </c>
      <c r="D456" s="2" t="s">
        <v>132</v>
      </c>
      <c r="E456" s="2" t="s">
        <v>470</v>
      </c>
      <c r="F456" s="2">
        <v>6</v>
      </c>
      <c r="G456" s="2" t="s">
        <v>35</v>
      </c>
      <c r="H456" s="2">
        <v>8</v>
      </c>
      <c r="I456" s="6">
        <f t="shared" si="145"/>
        <v>48</v>
      </c>
      <c r="J456" s="6">
        <f t="shared" si="142"/>
        <v>382.5</v>
      </c>
      <c r="K456" s="6">
        <f t="shared" si="143"/>
        <v>379</v>
      </c>
      <c r="L456" s="6">
        <f t="shared" si="146"/>
        <v>258.5</v>
      </c>
      <c r="M456" s="6">
        <f t="shared" si="144"/>
        <v>17</v>
      </c>
      <c r="N456" s="6" t="b">
        <f t="shared" si="147"/>
        <v>0</v>
      </c>
      <c r="O456" s="6" t="b">
        <f t="shared" ref="O456:O500" si="161">OR(H456&gt;10,I456&lt;60)</f>
        <v>1</v>
      </c>
      <c r="P456" s="6" t="str">
        <f t="shared" si="160"/>
        <v>C001581-cans</v>
      </c>
      <c r="Q456" s="7" t="str">
        <f t="shared" si="148"/>
        <v>T01327
6</v>
      </c>
      <c r="R456" s="6" t="b">
        <f t="shared" si="149"/>
        <v>0</v>
      </c>
      <c r="S456" s="6" t="str">
        <f t="shared" si="150"/>
        <v>04</v>
      </c>
      <c r="T456" s="6" t="str">
        <f t="shared" si="151"/>
        <v>CANS</v>
      </c>
      <c r="U456" s="6" t="str">
        <f t="shared" si="152"/>
        <v>cans</v>
      </c>
      <c r="V456" s="6">
        <f t="shared" si="153"/>
        <v>2</v>
      </c>
      <c r="W456" s="6" t="str">
        <f t="shared" si="154"/>
        <v>T01327 6</v>
      </c>
      <c r="X456" s="6" t="str">
        <f t="shared" si="155"/>
        <v>S55636</v>
      </c>
      <c r="Y456" s="6" t="str">
        <f t="shared" si="156"/>
        <v>T01</v>
      </c>
      <c r="Z456" s="6" t="str">
        <f t="shared" si="157"/>
        <v>327</v>
      </c>
      <c r="AA456" s="6">
        <f t="shared" si="158"/>
        <v>2</v>
      </c>
      <c r="AB456" s="6">
        <f t="shared" si="159"/>
        <v>4</v>
      </c>
      <c r="AC456" s="6"/>
      <c r="AD456" s="23"/>
    </row>
    <row r="457" spans="1:30" ht="30" x14ac:dyDescent="0.25">
      <c r="A457" s="2" t="s">
        <v>66</v>
      </c>
      <c r="B457" s="2" t="s">
        <v>1530</v>
      </c>
      <c r="C457" s="2" t="s">
        <v>1531</v>
      </c>
      <c r="D457" s="2" t="s">
        <v>1532</v>
      </c>
      <c r="E457" s="2" t="s">
        <v>1533</v>
      </c>
      <c r="F457" s="2">
        <v>9</v>
      </c>
      <c r="G457" s="2" t="s">
        <v>13</v>
      </c>
      <c r="H457" s="2">
        <v>24</v>
      </c>
      <c r="I457" s="6">
        <f t="shared" si="145"/>
        <v>216</v>
      </c>
      <c r="J457" s="6">
        <f t="shared" si="142"/>
        <v>38</v>
      </c>
      <c r="K457" s="6">
        <f t="shared" si="143"/>
        <v>37</v>
      </c>
      <c r="L457" s="6">
        <f t="shared" si="146"/>
        <v>310</v>
      </c>
      <c r="M457" s="6">
        <f t="shared" si="144"/>
        <v>18</v>
      </c>
      <c r="N457" s="6" t="b">
        <f t="shared" si="147"/>
        <v>1</v>
      </c>
      <c r="O457" s="6" t="b">
        <f t="shared" si="161"/>
        <v>1</v>
      </c>
      <c r="P457" s="6" t="str">
        <f t="shared" si="160"/>
        <v>C003430-ct</v>
      </c>
      <c r="Q457" s="7" t="str">
        <f t="shared" si="148"/>
        <v>T048593
9</v>
      </c>
      <c r="R457" s="6" t="b">
        <f t="shared" si="149"/>
        <v>0</v>
      </c>
      <c r="S457" s="6" t="str">
        <f t="shared" si="150"/>
        <v>13</v>
      </c>
      <c r="T457" s="6" t="str">
        <f t="shared" si="151"/>
        <v>CT</v>
      </c>
      <c r="U457" s="6" t="str">
        <f t="shared" si="152"/>
        <v>ct</v>
      </c>
      <c r="V457" s="6">
        <f t="shared" si="153"/>
        <v>2</v>
      </c>
      <c r="W457" s="6" t="str">
        <f t="shared" si="154"/>
        <v>T048593 9</v>
      </c>
      <c r="X457" s="6" t="str">
        <f t="shared" si="155"/>
        <v>S55565</v>
      </c>
      <c r="Y457" s="6" t="str">
        <f t="shared" si="156"/>
        <v>T04</v>
      </c>
      <c r="Z457" s="6" t="str">
        <f t="shared" si="157"/>
        <v>593</v>
      </c>
      <c r="AA457" s="6">
        <f t="shared" si="158"/>
        <v>2</v>
      </c>
      <c r="AB457" s="6">
        <f t="shared" si="159"/>
        <v>2</v>
      </c>
      <c r="AC457" s="6"/>
      <c r="AD457" s="23"/>
    </row>
    <row r="458" spans="1:30" ht="30" x14ac:dyDescent="0.25">
      <c r="A458" s="2" t="s">
        <v>339</v>
      </c>
      <c r="B458" s="2" t="s">
        <v>1534</v>
      </c>
      <c r="C458" s="2" t="s">
        <v>1535</v>
      </c>
      <c r="D458" s="2" t="s">
        <v>28</v>
      </c>
      <c r="E458" s="2" t="s">
        <v>1536</v>
      </c>
      <c r="F458" s="2">
        <v>11</v>
      </c>
      <c r="G458" s="2" t="s">
        <v>13</v>
      </c>
      <c r="H458" s="2">
        <v>14</v>
      </c>
      <c r="I458" s="6">
        <f t="shared" si="145"/>
        <v>154</v>
      </c>
      <c r="J458" s="6">
        <f t="shared" si="142"/>
        <v>100.5</v>
      </c>
      <c r="K458" s="6">
        <f t="shared" si="143"/>
        <v>99</v>
      </c>
      <c r="L458" s="6">
        <f t="shared" si="146"/>
        <v>286</v>
      </c>
      <c r="M458" s="6">
        <f t="shared" si="144"/>
        <v>17</v>
      </c>
      <c r="N458" s="6" t="b">
        <f t="shared" si="147"/>
        <v>0</v>
      </c>
      <c r="O458" s="6" t="b">
        <f t="shared" si="161"/>
        <v>1</v>
      </c>
      <c r="P458" s="6" t="str">
        <f t="shared" si="160"/>
        <v>C003069-ct</v>
      </c>
      <c r="Q458" s="7" t="str">
        <f t="shared" si="148"/>
        <v>T054261
11</v>
      </c>
      <c r="R458" s="6" t="b">
        <f t="shared" si="149"/>
        <v>0</v>
      </c>
      <c r="S458" s="6" t="str">
        <f t="shared" si="150"/>
        <v>13</v>
      </c>
      <c r="T458" s="6" t="str">
        <f t="shared" si="151"/>
        <v>CT</v>
      </c>
      <c r="U458" s="6" t="str">
        <f t="shared" si="152"/>
        <v>ct</v>
      </c>
      <c r="V458" s="6">
        <f t="shared" si="153"/>
        <v>2</v>
      </c>
      <c r="W458" s="6" t="str">
        <f t="shared" si="154"/>
        <v>T054261 11</v>
      </c>
      <c r="X458" s="6" t="str">
        <f t="shared" si="155"/>
        <v>S55722</v>
      </c>
      <c r="Y458" s="6" t="str">
        <f t="shared" si="156"/>
        <v>T05</v>
      </c>
      <c r="Z458" s="6" t="str">
        <f t="shared" si="157"/>
        <v>261</v>
      </c>
      <c r="AA458" s="6">
        <f t="shared" si="158"/>
        <v>2</v>
      </c>
      <c r="AB458" s="6">
        <f t="shared" si="159"/>
        <v>2</v>
      </c>
      <c r="AC458" s="6"/>
      <c r="AD458" s="23"/>
    </row>
    <row r="459" spans="1:30" ht="30" x14ac:dyDescent="0.25">
      <c r="A459" s="2" t="s">
        <v>283</v>
      </c>
      <c r="B459" s="2" t="s">
        <v>1537</v>
      </c>
      <c r="C459" s="2" t="s">
        <v>1538</v>
      </c>
      <c r="D459" s="2" t="s">
        <v>326</v>
      </c>
      <c r="E459" s="2" t="s">
        <v>1376</v>
      </c>
      <c r="F459" s="2">
        <v>3</v>
      </c>
      <c r="G459" s="2" t="s">
        <v>35</v>
      </c>
      <c r="H459" s="2">
        <v>40</v>
      </c>
      <c r="I459" s="6">
        <f t="shared" si="145"/>
        <v>120</v>
      </c>
      <c r="J459" s="6">
        <f t="shared" si="142"/>
        <v>169.5</v>
      </c>
      <c r="K459" s="6">
        <f t="shared" si="143"/>
        <v>162</v>
      </c>
      <c r="L459" s="6">
        <f t="shared" si="146"/>
        <v>250.5</v>
      </c>
      <c r="M459" s="6">
        <f t="shared" si="144"/>
        <v>16</v>
      </c>
      <c r="N459" s="6" t="b">
        <f t="shared" si="147"/>
        <v>1</v>
      </c>
      <c r="O459" s="6" t="b">
        <f t="shared" si="161"/>
        <v>1</v>
      </c>
      <c r="P459" s="6" t="str">
        <f t="shared" si="160"/>
        <v>C005155-cans</v>
      </c>
      <c r="Q459" s="7" t="str">
        <f t="shared" si="148"/>
        <v>T037158
3</v>
      </c>
      <c r="R459" s="6" t="b">
        <f t="shared" si="149"/>
        <v>0</v>
      </c>
      <c r="S459" s="6" t="str">
        <f t="shared" si="150"/>
        <v>05</v>
      </c>
      <c r="T459" s="6" t="str">
        <f t="shared" si="151"/>
        <v>CANS</v>
      </c>
      <c r="U459" s="6" t="str">
        <f t="shared" si="152"/>
        <v>cans</v>
      </c>
      <c r="V459" s="6">
        <f t="shared" si="153"/>
        <v>2</v>
      </c>
      <c r="W459" s="6" t="str">
        <f t="shared" si="154"/>
        <v>T037158 3</v>
      </c>
      <c r="X459" s="6" t="str">
        <f t="shared" si="155"/>
        <v>S5528</v>
      </c>
      <c r="Y459" s="6" t="str">
        <f t="shared" si="156"/>
        <v>T03</v>
      </c>
      <c r="Z459" s="6" t="str">
        <f t="shared" si="157"/>
        <v>158</v>
      </c>
      <c r="AA459" s="6">
        <f t="shared" si="158"/>
        <v>2</v>
      </c>
      <c r="AB459" s="6">
        <f t="shared" si="159"/>
        <v>4</v>
      </c>
      <c r="AC459" s="6"/>
      <c r="AD459" s="23"/>
    </row>
    <row r="460" spans="1:30" ht="30" x14ac:dyDescent="0.25">
      <c r="A460" s="2" t="s">
        <v>218</v>
      </c>
      <c r="B460" s="2" t="s">
        <v>1539</v>
      </c>
      <c r="C460" s="2" t="s">
        <v>1540</v>
      </c>
      <c r="D460" s="2" t="s">
        <v>1541</v>
      </c>
      <c r="E460" s="2" t="s">
        <v>486</v>
      </c>
      <c r="F460" s="2">
        <v>7</v>
      </c>
      <c r="G460" s="2" t="s">
        <v>35</v>
      </c>
      <c r="H460" s="2">
        <v>23</v>
      </c>
      <c r="I460" s="6">
        <f t="shared" si="145"/>
        <v>161</v>
      </c>
      <c r="J460" s="6">
        <f t="shared" ref="J460:J500" si="162">_xlfn.RANK.AVG(I460,$I$5:$I$500)</f>
        <v>83</v>
      </c>
      <c r="K460" s="6">
        <f t="shared" ref="K460:K500" si="163">_xlfn.RANK.EQ(I460,$I$5:$I$500)</f>
        <v>83</v>
      </c>
      <c r="L460" s="6">
        <f t="shared" si="146"/>
        <v>210.5</v>
      </c>
      <c r="M460" s="6">
        <f t="shared" ref="M460:M523" si="164">COUNTIF(G460:G872,G460)</f>
        <v>15</v>
      </c>
      <c r="N460" s="6" t="b">
        <f t="shared" si="147"/>
        <v>1</v>
      </c>
      <c r="O460" s="6" t="b">
        <f t="shared" si="161"/>
        <v>1</v>
      </c>
      <c r="P460" s="6" t="str">
        <f t="shared" si="160"/>
        <v>C001500-cans</v>
      </c>
      <c r="Q460" s="7" t="str">
        <f t="shared" si="148"/>
        <v>T089177
7</v>
      </c>
      <c r="R460" s="6" t="b">
        <f t="shared" si="149"/>
        <v>0</v>
      </c>
      <c r="S460" s="6" t="str">
        <f t="shared" si="150"/>
        <v>05</v>
      </c>
      <c r="T460" s="6" t="str">
        <f t="shared" si="151"/>
        <v>CANS</v>
      </c>
      <c r="U460" s="6" t="str">
        <f t="shared" si="152"/>
        <v>cans</v>
      </c>
      <c r="V460" s="6">
        <f t="shared" si="153"/>
        <v>2</v>
      </c>
      <c r="W460" s="6" t="str">
        <f t="shared" si="154"/>
        <v>T089177 7</v>
      </c>
      <c r="X460" s="6" t="str">
        <f t="shared" si="155"/>
        <v>S55312</v>
      </c>
      <c r="Y460" s="6" t="str">
        <f t="shared" si="156"/>
        <v>T08</v>
      </c>
      <c r="Z460" s="6" t="str">
        <f t="shared" si="157"/>
        <v>177</v>
      </c>
      <c r="AA460" s="6">
        <f t="shared" si="158"/>
        <v>2</v>
      </c>
      <c r="AB460" s="6">
        <f t="shared" si="159"/>
        <v>4</v>
      </c>
      <c r="AC460" s="6"/>
      <c r="AD460" s="23"/>
    </row>
    <row r="461" spans="1:30" ht="30" x14ac:dyDescent="0.25">
      <c r="A461" s="2" t="s">
        <v>116</v>
      </c>
      <c r="B461" s="2" t="s">
        <v>1542</v>
      </c>
      <c r="C461" s="2" t="s">
        <v>1543</v>
      </c>
      <c r="D461" s="2" t="s">
        <v>1544</v>
      </c>
      <c r="E461" s="2" t="s">
        <v>549</v>
      </c>
      <c r="F461" s="2">
        <v>10</v>
      </c>
      <c r="G461" s="2" t="s">
        <v>35</v>
      </c>
      <c r="H461" s="2">
        <v>6.75</v>
      </c>
      <c r="I461" s="6">
        <f t="shared" si="145"/>
        <v>67.5</v>
      </c>
      <c r="J461" s="6">
        <f t="shared" si="162"/>
        <v>311.5</v>
      </c>
      <c r="K461" s="6">
        <f t="shared" si="163"/>
        <v>309</v>
      </c>
      <c r="L461" s="6">
        <f t="shared" si="146"/>
        <v>187.5</v>
      </c>
      <c r="M461" s="6">
        <f t="shared" si="164"/>
        <v>14</v>
      </c>
      <c r="N461" s="6" t="b">
        <f t="shared" si="147"/>
        <v>0</v>
      </c>
      <c r="O461" s="6" t="b">
        <f t="shared" si="161"/>
        <v>0</v>
      </c>
      <c r="P461" s="6" t="str">
        <f t="shared" si="160"/>
        <v>C008667-cans</v>
      </c>
      <c r="Q461" s="7" t="str">
        <f t="shared" si="148"/>
        <v>T050366
10</v>
      </c>
      <c r="R461" s="6" t="b">
        <f t="shared" si="149"/>
        <v>0</v>
      </c>
      <c r="S461" s="6" t="str">
        <f t="shared" si="150"/>
        <v>00</v>
      </c>
      <c r="T461" s="6" t="str">
        <f t="shared" si="151"/>
        <v>CANS</v>
      </c>
      <c r="U461" s="6" t="str">
        <f t="shared" si="152"/>
        <v>cans</v>
      </c>
      <c r="V461" s="6">
        <f t="shared" si="153"/>
        <v>2</v>
      </c>
      <c r="W461" s="6" t="str">
        <f t="shared" si="154"/>
        <v>T050366 10</v>
      </c>
      <c r="X461" s="6" t="str">
        <f t="shared" si="155"/>
        <v>S55429</v>
      </c>
      <c r="Y461" s="6" t="str">
        <f t="shared" si="156"/>
        <v>T05</v>
      </c>
      <c r="Z461" s="6" t="str">
        <f t="shared" si="157"/>
        <v>366</v>
      </c>
      <c r="AA461" s="6">
        <f t="shared" si="158"/>
        <v>2</v>
      </c>
      <c r="AB461" s="6">
        <f t="shared" si="159"/>
        <v>4</v>
      </c>
      <c r="AC461" s="6"/>
      <c r="AD461" s="23"/>
    </row>
    <row r="462" spans="1:30" ht="30" x14ac:dyDescent="0.25">
      <c r="A462" s="2" t="s">
        <v>459</v>
      </c>
      <c r="B462" s="2" t="s">
        <v>1545</v>
      </c>
      <c r="C462" s="2" t="s">
        <v>1546</v>
      </c>
      <c r="D462" s="2" t="s">
        <v>1547</v>
      </c>
      <c r="E462" s="2" t="s">
        <v>1548</v>
      </c>
      <c r="F462" s="2">
        <v>8</v>
      </c>
      <c r="G462" s="2" t="s">
        <v>35</v>
      </c>
      <c r="H462" s="2">
        <v>16.25</v>
      </c>
      <c r="I462" s="6">
        <f t="shared" si="145"/>
        <v>130</v>
      </c>
      <c r="J462" s="6">
        <f t="shared" si="162"/>
        <v>145</v>
      </c>
      <c r="K462" s="6">
        <f t="shared" si="163"/>
        <v>143</v>
      </c>
      <c r="L462" s="6">
        <f t="shared" si="146"/>
        <v>180.75</v>
      </c>
      <c r="M462" s="6">
        <f t="shared" si="164"/>
        <v>13</v>
      </c>
      <c r="N462" s="6" t="b">
        <f t="shared" si="147"/>
        <v>0</v>
      </c>
      <c r="O462" s="6" t="b">
        <f t="shared" si="161"/>
        <v>1</v>
      </c>
      <c r="P462" s="6" t="str">
        <f t="shared" si="160"/>
        <v>C006351-cans</v>
      </c>
      <c r="Q462" s="7" t="str">
        <f t="shared" si="148"/>
        <v>T070393
8</v>
      </c>
      <c r="R462" s="6" t="b">
        <f t="shared" si="149"/>
        <v>0</v>
      </c>
      <c r="S462" s="6" t="str">
        <f t="shared" si="150"/>
        <v>02</v>
      </c>
      <c r="T462" s="6" t="str">
        <f t="shared" si="151"/>
        <v>CANS</v>
      </c>
      <c r="U462" s="6" t="str">
        <f t="shared" si="152"/>
        <v>cans</v>
      </c>
      <c r="V462" s="6">
        <f t="shared" si="153"/>
        <v>2</v>
      </c>
      <c r="W462" s="6" t="str">
        <f t="shared" si="154"/>
        <v>T070393 8</v>
      </c>
      <c r="X462" s="6" t="str">
        <f t="shared" si="155"/>
        <v>S55419</v>
      </c>
      <c r="Y462" s="6" t="str">
        <f t="shared" si="156"/>
        <v>T07</v>
      </c>
      <c r="Z462" s="6" t="str">
        <f t="shared" si="157"/>
        <v>393</v>
      </c>
      <c r="AA462" s="6">
        <f t="shared" si="158"/>
        <v>2</v>
      </c>
      <c r="AB462" s="6">
        <f t="shared" si="159"/>
        <v>4</v>
      </c>
      <c r="AC462" s="6"/>
      <c r="AD462" s="23"/>
    </row>
    <row r="463" spans="1:30" ht="30" x14ac:dyDescent="0.25">
      <c r="A463" s="2" t="s">
        <v>209</v>
      </c>
      <c r="B463" s="2" t="s">
        <v>1549</v>
      </c>
      <c r="C463" s="2" t="s">
        <v>1550</v>
      </c>
      <c r="D463" s="2" t="s">
        <v>1250</v>
      </c>
      <c r="E463" s="2" t="s">
        <v>306</v>
      </c>
      <c r="F463" s="2">
        <v>5</v>
      </c>
      <c r="G463" s="2" t="s">
        <v>60</v>
      </c>
      <c r="H463" s="2">
        <v>18</v>
      </c>
      <c r="I463" s="6">
        <f t="shared" si="145"/>
        <v>90</v>
      </c>
      <c r="J463" s="6">
        <f t="shared" si="162"/>
        <v>245</v>
      </c>
      <c r="K463" s="6">
        <f t="shared" si="163"/>
        <v>239</v>
      </c>
      <c r="L463" s="6">
        <f t="shared" si="146"/>
        <v>146</v>
      </c>
      <c r="M463" s="6">
        <f t="shared" si="164"/>
        <v>8</v>
      </c>
      <c r="N463" s="6" t="b">
        <f t="shared" si="147"/>
        <v>0</v>
      </c>
      <c r="O463" s="6" t="b">
        <f t="shared" si="161"/>
        <v>1</v>
      </c>
      <c r="P463" s="6" t="str">
        <f t="shared" si="160"/>
        <v>C004102-bottles</v>
      </c>
      <c r="Q463" s="7" t="str">
        <f t="shared" si="148"/>
        <v>T03121
5</v>
      </c>
      <c r="R463" s="6" t="b">
        <f t="shared" si="149"/>
        <v>0</v>
      </c>
      <c r="S463" s="6" t="str">
        <f t="shared" si="150"/>
        <v>08</v>
      </c>
      <c r="T463" s="6" t="str">
        <f t="shared" si="151"/>
        <v>BOTTLES</v>
      </c>
      <c r="U463" s="6" t="str">
        <f t="shared" si="152"/>
        <v>bottles</v>
      </c>
      <c r="V463" s="6">
        <f t="shared" si="153"/>
        <v>2</v>
      </c>
      <c r="W463" s="6" t="str">
        <f t="shared" si="154"/>
        <v>T03121 5</v>
      </c>
      <c r="X463" s="6" t="str">
        <f t="shared" si="155"/>
        <v>S55218</v>
      </c>
      <c r="Y463" s="6" t="str">
        <f t="shared" si="156"/>
        <v>T03</v>
      </c>
      <c r="Z463" s="6" t="str">
        <f t="shared" si="157"/>
        <v>121</v>
      </c>
      <c r="AA463" s="6">
        <f t="shared" si="158"/>
        <v>2</v>
      </c>
      <c r="AB463" s="6">
        <f t="shared" si="159"/>
        <v>7</v>
      </c>
      <c r="AC463" s="6"/>
      <c r="AD463" s="23"/>
    </row>
    <row r="464" spans="1:30" ht="30" x14ac:dyDescent="0.25">
      <c r="A464" s="2" t="s">
        <v>116</v>
      </c>
      <c r="B464" s="2" t="s">
        <v>1551</v>
      </c>
      <c r="C464" s="2" t="s">
        <v>1552</v>
      </c>
      <c r="D464" s="2" t="s">
        <v>785</v>
      </c>
      <c r="E464" s="2" t="s">
        <v>1553</v>
      </c>
      <c r="F464" s="2">
        <v>7</v>
      </c>
      <c r="G464" s="2" t="s">
        <v>13</v>
      </c>
      <c r="H464" s="2">
        <v>29</v>
      </c>
      <c r="I464" s="6">
        <f t="shared" si="145"/>
        <v>203</v>
      </c>
      <c r="J464" s="6">
        <f t="shared" si="162"/>
        <v>45</v>
      </c>
      <c r="K464" s="6">
        <f t="shared" si="163"/>
        <v>45</v>
      </c>
      <c r="L464" s="6">
        <f t="shared" si="146"/>
        <v>272</v>
      </c>
      <c r="M464" s="6">
        <f t="shared" si="164"/>
        <v>16</v>
      </c>
      <c r="N464" s="6" t="b">
        <f t="shared" si="147"/>
        <v>1</v>
      </c>
      <c r="O464" s="6" t="b">
        <f t="shared" si="161"/>
        <v>1</v>
      </c>
      <c r="P464" s="6" t="str">
        <f t="shared" si="160"/>
        <v>C007664-ct</v>
      </c>
      <c r="Q464" s="7" t="str">
        <f t="shared" si="148"/>
        <v>T066869
7</v>
      </c>
      <c r="R464" s="6" t="b">
        <f t="shared" si="149"/>
        <v>0</v>
      </c>
      <c r="S464" s="6" t="str">
        <f t="shared" si="150"/>
        <v>14</v>
      </c>
      <c r="T464" s="6" t="str">
        <f t="shared" si="151"/>
        <v>CT</v>
      </c>
      <c r="U464" s="6" t="str">
        <f t="shared" si="152"/>
        <v>ct</v>
      </c>
      <c r="V464" s="6">
        <f t="shared" si="153"/>
        <v>2</v>
      </c>
      <c r="W464" s="6" t="str">
        <f t="shared" si="154"/>
        <v>T066869 7</v>
      </c>
      <c r="X464" s="6" t="str">
        <f t="shared" si="155"/>
        <v>S55255</v>
      </c>
      <c r="Y464" s="6" t="str">
        <f t="shared" si="156"/>
        <v>T06</v>
      </c>
      <c r="Z464" s="6" t="str">
        <f t="shared" si="157"/>
        <v>869</v>
      </c>
      <c r="AA464" s="6">
        <f t="shared" si="158"/>
        <v>2</v>
      </c>
      <c r="AB464" s="6">
        <f t="shared" si="159"/>
        <v>2</v>
      </c>
      <c r="AC464" s="6"/>
      <c r="AD464" s="23"/>
    </row>
    <row r="465" spans="1:30" ht="30" x14ac:dyDescent="0.25">
      <c r="A465" s="2" t="s">
        <v>168</v>
      </c>
      <c r="B465" s="2" t="s">
        <v>1554</v>
      </c>
      <c r="C465" s="2" t="s">
        <v>1555</v>
      </c>
      <c r="D465" s="2" t="s">
        <v>939</v>
      </c>
      <c r="E465" s="2" t="s">
        <v>1536</v>
      </c>
      <c r="F465" s="2">
        <v>9</v>
      </c>
      <c r="G465" s="2" t="s">
        <v>35</v>
      </c>
      <c r="H465" s="2">
        <v>11.5</v>
      </c>
      <c r="I465" s="6">
        <f t="shared" si="145"/>
        <v>103.5</v>
      </c>
      <c r="J465" s="6">
        <f t="shared" si="162"/>
        <v>209</v>
      </c>
      <c r="K465" s="6">
        <f t="shared" si="163"/>
        <v>209</v>
      </c>
      <c r="L465" s="6">
        <f t="shared" si="146"/>
        <v>164.5</v>
      </c>
      <c r="M465" s="6">
        <f t="shared" si="164"/>
        <v>12</v>
      </c>
      <c r="N465" s="6" t="b">
        <f t="shared" si="147"/>
        <v>0</v>
      </c>
      <c r="O465" s="6" t="b">
        <f t="shared" si="161"/>
        <v>1</v>
      </c>
      <c r="P465" s="6" t="str">
        <f t="shared" si="160"/>
        <v>C007293-cans</v>
      </c>
      <c r="Q465" s="7" t="str">
        <f t="shared" si="148"/>
        <v>T072748
9</v>
      </c>
      <c r="R465" s="6" t="b">
        <f t="shared" si="149"/>
        <v>0</v>
      </c>
      <c r="S465" s="6" t="str">
        <f t="shared" si="150"/>
        <v>02</v>
      </c>
      <c r="T465" s="6" t="str">
        <f t="shared" si="151"/>
        <v>CANS</v>
      </c>
      <c r="U465" s="6" t="str">
        <f t="shared" si="152"/>
        <v>cans</v>
      </c>
      <c r="V465" s="6">
        <f t="shared" si="153"/>
        <v>2</v>
      </c>
      <c r="W465" s="6" t="str">
        <f t="shared" si="154"/>
        <v>T072748 9</v>
      </c>
      <c r="X465" s="6" t="str">
        <f t="shared" si="155"/>
        <v>S55722</v>
      </c>
      <c r="Y465" s="6" t="str">
        <f t="shared" si="156"/>
        <v>T07</v>
      </c>
      <c r="Z465" s="6" t="str">
        <f t="shared" si="157"/>
        <v>748</v>
      </c>
      <c r="AA465" s="6">
        <f t="shared" si="158"/>
        <v>2</v>
      </c>
      <c r="AB465" s="6">
        <f t="shared" si="159"/>
        <v>4</v>
      </c>
      <c r="AC465" s="6"/>
      <c r="AD465" s="23"/>
    </row>
    <row r="466" spans="1:30" ht="30" x14ac:dyDescent="0.25">
      <c r="A466" s="2" t="s">
        <v>82</v>
      </c>
      <c r="B466" s="2" t="s">
        <v>1556</v>
      </c>
      <c r="C466" s="2" t="s">
        <v>1557</v>
      </c>
      <c r="D466" s="2" t="s">
        <v>1558</v>
      </c>
      <c r="E466" s="2" t="s">
        <v>75</v>
      </c>
      <c r="F466" s="2">
        <v>10</v>
      </c>
      <c r="G466" s="2" t="s">
        <v>60</v>
      </c>
      <c r="H466" s="2">
        <v>26</v>
      </c>
      <c r="I466" s="6">
        <f t="shared" si="145"/>
        <v>260</v>
      </c>
      <c r="J466" s="6">
        <f t="shared" si="162"/>
        <v>24</v>
      </c>
      <c r="K466" s="6">
        <f t="shared" si="163"/>
        <v>24</v>
      </c>
      <c r="L466" s="6">
        <f t="shared" si="146"/>
        <v>128</v>
      </c>
      <c r="M466" s="6">
        <f t="shared" si="164"/>
        <v>7</v>
      </c>
      <c r="N466" s="6" t="b">
        <f t="shared" si="147"/>
        <v>1</v>
      </c>
      <c r="O466" s="6" t="b">
        <f t="shared" si="161"/>
        <v>1</v>
      </c>
      <c r="P466" s="6" t="str">
        <f t="shared" si="160"/>
        <v>C001095-bottles</v>
      </c>
      <c r="Q466" s="7" t="str">
        <f t="shared" si="148"/>
        <v>T083957
10</v>
      </c>
      <c r="R466" s="6" t="b">
        <f t="shared" si="149"/>
        <v>0</v>
      </c>
      <c r="S466" s="6" t="str">
        <f t="shared" si="150"/>
        <v>03</v>
      </c>
      <c r="T466" s="6" t="str">
        <f t="shared" si="151"/>
        <v>BOTTLES</v>
      </c>
      <c r="U466" s="6" t="str">
        <f t="shared" si="152"/>
        <v>bottles</v>
      </c>
      <c r="V466" s="6">
        <f t="shared" si="153"/>
        <v>2</v>
      </c>
      <c r="W466" s="6" t="str">
        <f t="shared" si="154"/>
        <v>T083957 10</v>
      </c>
      <c r="X466" s="6" t="str">
        <f t="shared" si="155"/>
        <v>S55164</v>
      </c>
      <c r="Y466" s="6" t="str">
        <f t="shared" si="156"/>
        <v>T08</v>
      </c>
      <c r="Z466" s="6" t="str">
        <f t="shared" si="157"/>
        <v>957</v>
      </c>
      <c r="AA466" s="6">
        <f t="shared" si="158"/>
        <v>2</v>
      </c>
      <c r="AB466" s="6">
        <f t="shared" si="159"/>
        <v>7</v>
      </c>
      <c r="AC466" s="6"/>
      <c r="AD466" s="23"/>
    </row>
    <row r="467" spans="1:30" ht="30" x14ac:dyDescent="0.25">
      <c r="A467" s="2" t="s">
        <v>76</v>
      </c>
      <c r="B467" s="2" t="s">
        <v>1559</v>
      </c>
      <c r="C467" s="2" t="s">
        <v>1560</v>
      </c>
      <c r="D467" s="2" t="s">
        <v>1280</v>
      </c>
      <c r="E467" s="2" t="s">
        <v>141</v>
      </c>
      <c r="F467" s="2">
        <v>5</v>
      </c>
      <c r="G467" s="2" t="s">
        <v>35</v>
      </c>
      <c r="H467" s="2">
        <v>18</v>
      </c>
      <c r="I467" s="6">
        <f t="shared" si="145"/>
        <v>90</v>
      </c>
      <c r="J467" s="6">
        <f t="shared" si="162"/>
        <v>245</v>
      </c>
      <c r="K467" s="6">
        <f t="shared" si="163"/>
        <v>239</v>
      </c>
      <c r="L467" s="6">
        <f t="shared" si="146"/>
        <v>153</v>
      </c>
      <c r="M467" s="6">
        <f t="shared" si="164"/>
        <v>11</v>
      </c>
      <c r="N467" s="6" t="b">
        <f t="shared" si="147"/>
        <v>0</v>
      </c>
      <c r="O467" s="6" t="b">
        <f t="shared" si="161"/>
        <v>1</v>
      </c>
      <c r="P467" s="6" t="str">
        <f t="shared" si="160"/>
        <v>C004985-cans</v>
      </c>
      <c r="Q467" s="7" t="str">
        <f t="shared" si="148"/>
        <v>T033333
5</v>
      </c>
      <c r="R467" s="6" t="b">
        <f t="shared" si="149"/>
        <v>0</v>
      </c>
      <c r="S467" s="6" t="str">
        <f t="shared" si="150"/>
        <v>08</v>
      </c>
      <c r="T467" s="6" t="str">
        <f t="shared" si="151"/>
        <v>CANS</v>
      </c>
      <c r="U467" s="6" t="str">
        <f t="shared" si="152"/>
        <v>cans</v>
      </c>
      <c r="V467" s="6">
        <f t="shared" si="153"/>
        <v>2</v>
      </c>
      <c r="W467" s="6" t="str">
        <f t="shared" si="154"/>
        <v>T033333 5</v>
      </c>
      <c r="X467" s="6" t="str">
        <f t="shared" si="155"/>
        <v>S55172</v>
      </c>
      <c r="Y467" s="6" t="str">
        <f t="shared" si="156"/>
        <v>T03</v>
      </c>
      <c r="Z467" s="6" t="str">
        <f t="shared" si="157"/>
        <v>333</v>
      </c>
      <c r="AA467" s="6">
        <f t="shared" si="158"/>
        <v>2</v>
      </c>
      <c r="AB467" s="6">
        <f t="shared" si="159"/>
        <v>4</v>
      </c>
      <c r="AC467" s="6"/>
      <c r="AD467" s="23"/>
    </row>
    <row r="468" spans="1:30" ht="30" x14ac:dyDescent="0.25">
      <c r="A468" s="2" t="s">
        <v>71</v>
      </c>
      <c r="B468" s="2" t="s">
        <v>1561</v>
      </c>
      <c r="C468" s="2" t="s">
        <v>1562</v>
      </c>
      <c r="D468" s="2" t="s">
        <v>1563</v>
      </c>
      <c r="E468" s="2" t="s">
        <v>1261</v>
      </c>
      <c r="F468" s="2">
        <v>8</v>
      </c>
      <c r="G468" s="2" t="s">
        <v>35</v>
      </c>
      <c r="H468" s="2">
        <v>6.75</v>
      </c>
      <c r="I468" s="6">
        <f t="shared" si="145"/>
        <v>54</v>
      </c>
      <c r="J468" s="6">
        <f t="shared" si="162"/>
        <v>366.5</v>
      </c>
      <c r="K468" s="6">
        <f t="shared" si="163"/>
        <v>365</v>
      </c>
      <c r="L468" s="6">
        <f t="shared" si="146"/>
        <v>135</v>
      </c>
      <c r="M468" s="6">
        <f t="shared" si="164"/>
        <v>10</v>
      </c>
      <c r="N468" s="6" t="b">
        <f t="shared" si="147"/>
        <v>0</v>
      </c>
      <c r="O468" s="6" t="b">
        <f t="shared" si="161"/>
        <v>1</v>
      </c>
      <c r="P468" s="6" t="str">
        <f t="shared" si="160"/>
        <v>C005107-cans</v>
      </c>
      <c r="Q468" s="7" t="str">
        <f t="shared" si="148"/>
        <v>T092118
8</v>
      </c>
      <c r="R468" s="6" t="b">
        <f t="shared" si="149"/>
        <v>0</v>
      </c>
      <c r="S468" s="6" t="str">
        <f t="shared" si="150"/>
        <v>00</v>
      </c>
      <c r="T468" s="6" t="str">
        <f t="shared" si="151"/>
        <v>CANS</v>
      </c>
      <c r="U468" s="6" t="str">
        <f t="shared" si="152"/>
        <v>cans</v>
      </c>
      <c r="V468" s="6">
        <f t="shared" si="153"/>
        <v>2</v>
      </c>
      <c r="W468" s="6" t="str">
        <f t="shared" si="154"/>
        <v>T092118 8</v>
      </c>
      <c r="X468" s="6" t="str">
        <f t="shared" si="155"/>
        <v>S55153</v>
      </c>
      <c r="Y468" s="6" t="str">
        <f t="shared" si="156"/>
        <v>T09</v>
      </c>
      <c r="Z468" s="6" t="str">
        <f t="shared" si="157"/>
        <v>118</v>
      </c>
      <c r="AA468" s="6">
        <f t="shared" si="158"/>
        <v>2</v>
      </c>
      <c r="AB468" s="6">
        <f t="shared" si="159"/>
        <v>4</v>
      </c>
      <c r="AC468" s="6"/>
      <c r="AD468" s="23"/>
    </row>
    <row r="469" spans="1:30" ht="30" x14ac:dyDescent="0.25">
      <c r="A469" s="2" t="s">
        <v>30</v>
      </c>
      <c r="B469" s="2" t="s">
        <v>1564</v>
      </c>
      <c r="C469" s="2" t="s">
        <v>1565</v>
      </c>
      <c r="D469" s="2" t="s">
        <v>949</v>
      </c>
      <c r="E469" s="2" t="s">
        <v>1566</v>
      </c>
      <c r="F469" s="2">
        <v>4</v>
      </c>
      <c r="G469" s="2" t="s">
        <v>106</v>
      </c>
      <c r="H469" s="2">
        <v>17</v>
      </c>
      <c r="I469" s="6">
        <f t="shared" si="145"/>
        <v>68</v>
      </c>
      <c r="J469" s="6">
        <f t="shared" si="162"/>
        <v>306</v>
      </c>
      <c r="K469" s="6">
        <f t="shared" si="163"/>
        <v>304</v>
      </c>
      <c r="L469" s="6">
        <f t="shared" si="146"/>
        <v>65</v>
      </c>
      <c r="M469" s="6">
        <f t="shared" si="164"/>
        <v>4</v>
      </c>
      <c r="N469" s="6" t="b">
        <f t="shared" si="147"/>
        <v>0</v>
      </c>
      <c r="O469" s="6" t="b">
        <f t="shared" si="161"/>
        <v>1</v>
      </c>
      <c r="P469" s="6" t="str">
        <f t="shared" si="160"/>
        <v>C007256-bags</v>
      </c>
      <c r="Q469" s="7" t="str">
        <f t="shared" si="148"/>
        <v>T058485
4</v>
      </c>
      <c r="R469" s="6" t="b">
        <f t="shared" si="149"/>
        <v>0</v>
      </c>
      <c r="S469" s="6" t="str">
        <f t="shared" si="150"/>
        <v>15</v>
      </c>
      <c r="T469" s="6" t="str">
        <f t="shared" si="151"/>
        <v>BAGS</v>
      </c>
      <c r="U469" s="6" t="str">
        <f t="shared" si="152"/>
        <v>bags</v>
      </c>
      <c r="V469" s="6">
        <f t="shared" si="153"/>
        <v>2</v>
      </c>
      <c r="W469" s="6" t="str">
        <f t="shared" si="154"/>
        <v>T058485 4</v>
      </c>
      <c r="X469" s="6" t="str">
        <f t="shared" si="155"/>
        <v>S55635</v>
      </c>
      <c r="Y469" s="6" t="str">
        <f t="shared" si="156"/>
        <v>T05</v>
      </c>
      <c r="Z469" s="6" t="str">
        <f t="shared" si="157"/>
        <v>485</v>
      </c>
      <c r="AA469" s="6">
        <f t="shared" si="158"/>
        <v>2</v>
      </c>
      <c r="AB469" s="6">
        <f t="shared" si="159"/>
        <v>4</v>
      </c>
      <c r="AC469" s="6"/>
      <c r="AD469" s="23"/>
    </row>
    <row r="470" spans="1:30" ht="30" x14ac:dyDescent="0.25">
      <c r="A470" s="2" t="s">
        <v>76</v>
      </c>
      <c r="B470" s="2" t="s">
        <v>1567</v>
      </c>
      <c r="C470" s="2" t="s">
        <v>1568</v>
      </c>
      <c r="D470" s="2" t="s">
        <v>237</v>
      </c>
      <c r="E470" s="2" t="s">
        <v>1452</v>
      </c>
      <c r="F470" s="2">
        <v>3</v>
      </c>
      <c r="G470" s="2" t="s">
        <v>239</v>
      </c>
      <c r="H470" s="2">
        <v>15</v>
      </c>
      <c r="I470" s="6">
        <f t="shared" si="145"/>
        <v>45</v>
      </c>
      <c r="J470" s="6">
        <f t="shared" si="162"/>
        <v>396.5</v>
      </c>
      <c r="K470" s="6">
        <f t="shared" si="163"/>
        <v>394</v>
      </c>
      <c r="L470" s="6">
        <f t="shared" si="146"/>
        <v>30</v>
      </c>
      <c r="M470" s="6">
        <f t="shared" si="164"/>
        <v>2</v>
      </c>
      <c r="N470" s="6" t="b">
        <f t="shared" si="147"/>
        <v>0</v>
      </c>
      <c r="O470" s="6" t="b">
        <f t="shared" si="161"/>
        <v>1</v>
      </c>
      <c r="P470" s="6" t="str">
        <f t="shared" si="160"/>
        <v>C005770-lb</v>
      </c>
      <c r="Q470" s="7" t="str">
        <f t="shared" si="148"/>
        <v>T050025
3</v>
      </c>
      <c r="R470" s="6" t="b">
        <f t="shared" si="149"/>
        <v>0</v>
      </c>
      <c r="S470" s="6" t="str">
        <f t="shared" si="150"/>
        <v>22</v>
      </c>
      <c r="T470" s="6" t="str">
        <f t="shared" si="151"/>
        <v>LB</v>
      </c>
      <c r="U470" s="6" t="str">
        <f t="shared" si="152"/>
        <v>lb</v>
      </c>
      <c r="V470" s="6">
        <f t="shared" si="153"/>
        <v>2</v>
      </c>
      <c r="W470" s="6" t="str">
        <f t="shared" si="154"/>
        <v>T050025 3</v>
      </c>
      <c r="X470" s="6" t="str">
        <f t="shared" si="155"/>
        <v>S55674</v>
      </c>
      <c r="Y470" s="6" t="str">
        <f t="shared" si="156"/>
        <v>T05</v>
      </c>
      <c r="Z470" s="6" t="str">
        <f t="shared" si="157"/>
        <v>025</v>
      </c>
      <c r="AA470" s="6">
        <f t="shared" si="158"/>
        <v>2</v>
      </c>
      <c r="AB470" s="6">
        <f t="shared" si="159"/>
        <v>2</v>
      </c>
      <c r="AC470" s="6"/>
      <c r="AD470" s="23"/>
    </row>
    <row r="471" spans="1:30" ht="30" x14ac:dyDescent="0.25">
      <c r="A471" s="2" t="s">
        <v>91</v>
      </c>
      <c r="B471" s="2" t="s">
        <v>1569</v>
      </c>
      <c r="C471" s="2" t="s">
        <v>1570</v>
      </c>
      <c r="D471" s="2" t="s">
        <v>89</v>
      </c>
      <c r="E471" s="2" t="s">
        <v>903</v>
      </c>
      <c r="F471" s="2">
        <v>6</v>
      </c>
      <c r="G471" s="2" t="s">
        <v>35</v>
      </c>
      <c r="H471" s="2">
        <v>6.75</v>
      </c>
      <c r="I471" s="6">
        <f t="shared" si="145"/>
        <v>40.5</v>
      </c>
      <c r="J471" s="6">
        <f t="shared" si="162"/>
        <v>409.5</v>
      </c>
      <c r="K471" s="6">
        <f t="shared" si="163"/>
        <v>409</v>
      </c>
      <c r="L471" s="6">
        <f t="shared" si="146"/>
        <v>128.25</v>
      </c>
      <c r="M471" s="6">
        <f t="shared" si="164"/>
        <v>9</v>
      </c>
      <c r="N471" s="6" t="b">
        <f t="shared" si="147"/>
        <v>0</v>
      </c>
      <c r="O471" s="6" t="b">
        <f t="shared" si="161"/>
        <v>1</v>
      </c>
      <c r="P471" s="6" t="str">
        <f t="shared" si="160"/>
        <v>C005111-cans</v>
      </c>
      <c r="Q471" s="7" t="str">
        <f t="shared" si="148"/>
        <v>T056556
6</v>
      </c>
      <c r="R471" s="6" t="b">
        <f t="shared" si="149"/>
        <v>0</v>
      </c>
      <c r="S471" s="6" t="str">
        <f t="shared" si="150"/>
        <v>02</v>
      </c>
      <c r="T471" s="6" t="str">
        <f t="shared" si="151"/>
        <v>CANS</v>
      </c>
      <c r="U471" s="6" t="str">
        <f t="shared" si="152"/>
        <v>cans</v>
      </c>
      <c r="V471" s="6">
        <f t="shared" si="153"/>
        <v>2</v>
      </c>
      <c r="W471" s="6" t="str">
        <f t="shared" si="154"/>
        <v>T056556 6</v>
      </c>
      <c r="X471" s="6" t="str">
        <f t="shared" si="155"/>
        <v>S55649</v>
      </c>
      <c r="Y471" s="6" t="str">
        <f t="shared" si="156"/>
        <v>T05</v>
      </c>
      <c r="Z471" s="6" t="str">
        <f t="shared" si="157"/>
        <v>556</v>
      </c>
      <c r="AA471" s="6">
        <f t="shared" si="158"/>
        <v>2</v>
      </c>
      <c r="AB471" s="6">
        <f t="shared" si="159"/>
        <v>4</v>
      </c>
      <c r="AC471" s="6"/>
      <c r="AD471" s="23"/>
    </row>
    <row r="472" spans="1:30" ht="30" x14ac:dyDescent="0.25">
      <c r="A472" s="2" t="s">
        <v>162</v>
      </c>
      <c r="B472" s="2" t="s">
        <v>1571</v>
      </c>
      <c r="C472" s="2" t="s">
        <v>1572</v>
      </c>
      <c r="D472" s="2" t="s">
        <v>757</v>
      </c>
      <c r="E472" s="2" t="s">
        <v>327</v>
      </c>
      <c r="F472" s="2">
        <v>5</v>
      </c>
      <c r="G472" s="2" t="s">
        <v>13</v>
      </c>
      <c r="H472" s="2">
        <v>19.5</v>
      </c>
      <c r="I472" s="6">
        <f t="shared" si="145"/>
        <v>97.5</v>
      </c>
      <c r="J472" s="6">
        <f t="shared" si="162"/>
        <v>225</v>
      </c>
      <c r="K472" s="6">
        <f t="shared" si="163"/>
        <v>223</v>
      </c>
      <c r="L472" s="6">
        <f t="shared" si="146"/>
        <v>243</v>
      </c>
      <c r="M472" s="6">
        <f t="shared" si="164"/>
        <v>15</v>
      </c>
      <c r="N472" s="6" t="b">
        <f t="shared" si="147"/>
        <v>0</v>
      </c>
      <c r="O472" s="6" t="b">
        <f t="shared" si="161"/>
        <v>1</v>
      </c>
      <c r="P472" s="6" t="str">
        <f t="shared" si="160"/>
        <v>C004900-ct</v>
      </c>
      <c r="Q472" s="7" t="str">
        <f t="shared" si="148"/>
        <v>T077775
5</v>
      </c>
      <c r="R472" s="6" t="b">
        <f t="shared" si="149"/>
        <v>0</v>
      </c>
      <c r="S472" s="6" t="str">
        <f t="shared" si="150"/>
        <v>13</v>
      </c>
      <c r="T472" s="6" t="str">
        <f t="shared" si="151"/>
        <v>CT</v>
      </c>
      <c r="U472" s="6" t="str">
        <f t="shared" si="152"/>
        <v>ct</v>
      </c>
      <c r="V472" s="6">
        <f t="shared" si="153"/>
        <v>2</v>
      </c>
      <c r="W472" s="6" t="str">
        <f t="shared" si="154"/>
        <v>T077775 5</v>
      </c>
      <c r="X472" s="6" t="str">
        <f t="shared" si="155"/>
        <v>S55324</v>
      </c>
      <c r="Y472" s="6" t="str">
        <f t="shared" si="156"/>
        <v>T07</v>
      </c>
      <c r="Z472" s="6" t="str">
        <f t="shared" si="157"/>
        <v>775</v>
      </c>
      <c r="AA472" s="6">
        <f t="shared" si="158"/>
        <v>2</v>
      </c>
      <c r="AB472" s="6">
        <f t="shared" si="159"/>
        <v>2</v>
      </c>
      <c r="AC472" s="6"/>
      <c r="AD472" s="23"/>
    </row>
    <row r="473" spans="1:30" ht="30" x14ac:dyDescent="0.25">
      <c r="A473" s="2" t="s">
        <v>107</v>
      </c>
      <c r="B473" s="2" t="s">
        <v>1573</v>
      </c>
      <c r="C473" s="2" t="s">
        <v>1574</v>
      </c>
      <c r="D473" s="2" t="s">
        <v>1167</v>
      </c>
      <c r="E473" s="2" t="s">
        <v>1575</v>
      </c>
      <c r="F473" s="2">
        <v>7</v>
      </c>
      <c r="G473" s="2" t="s">
        <v>35</v>
      </c>
      <c r="H473" s="2">
        <v>6.75</v>
      </c>
      <c r="I473" s="6">
        <f t="shared" si="145"/>
        <v>47.25</v>
      </c>
      <c r="J473" s="6">
        <f t="shared" si="162"/>
        <v>389</v>
      </c>
      <c r="K473" s="6">
        <f t="shared" si="163"/>
        <v>387</v>
      </c>
      <c r="L473" s="6">
        <f t="shared" si="146"/>
        <v>121.5</v>
      </c>
      <c r="M473" s="6">
        <f t="shared" ref="M473:M500" si="165">COUNTIF(G473:G885,G473)</f>
        <v>8</v>
      </c>
      <c r="N473" s="6" t="b">
        <f t="shared" si="147"/>
        <v>0</v>
      </c>
      <c r="O473" s="6" t="b">
        <f t="shared" si="161"/>
        <v>1</v>
      </c>
      <c r="P473" s="6" t="str">
        <f t="shared" si="160"/>
        <v>C007152-cans</v>
      </c>
      <c r="Q473" s="7" t="str">
        <f t="shared" si="148"/>
        <v>T075701
7</v>
      </c>
      <c r="R473" s="6" t="b">
        <f t="shared" si="149"/>
        <v>0</v>
      </c>
      <c r="S473" s="6" t="str">
        <f t="shared" si="150"/>
        <v>01</v>
      </c>
      <c r="T473" s="6" t="str">
        <f t="shared" si="151"/>
        <v>CANS</v>
      </c>
      <c r="U473" s="6" t="str">
        <f t="shared" si="152"/>
        <v>cans</v>
      </c>
      <c r="V473" s="6">
        <f t="shared" si="153"/>
        <v>2</v>
      </c>
      <c r="W473" s="6" t="str">
        <f t="shared" si="154"/>
        <v>T075701 7</v>
      </c>
      <c r="X473" s="6" t="str">
        <f t="shared" si="155"/>
        <v>S55157</v>
      </c>
      <c r="Y473" s="6" t="str">
        <f t="shared" si="156"/>
        <v>T07</v>
      </c>
      <c r="Z473" s="6" t="str">
        <f t="shared" si="157"/>
        <v>701</v>
      </c>
      <c r="AA473" s="6">
        <f t="shared" si="158"/>
        <v>2</v>
      </c>
      <c r="AB473" s="6">
        <f t="shared" si="159"/>
        <v>4</v>
      </c>
      <c r="AC473" s="6"/>
      <c r="AD473" s="23"/>
    </row>
    <row r="474" spans="1:30" ht="30" x14ac:dyDescent="0.25">
      <c r="A474" s="2" t="s">
        <v>523</v>
      </c>
      <c r="B474" s="2" t="s">
        <v>1576</v>
      </c>
      <c r="C474" s="2" t="s">
        <v>1577</v>
      </c>
      <c r="D474" s="2" t="s">
        <v>277</v>
      </c>
      <c r="E474" s="2" t="s">
        <v>662</v>
      </c>
      <c r="F474" s="2">
        <v>10</v>
      </c>
      <c r="G474" s="2" t="s">
        <v>13</v>
      </c>
      <c r="H474" s="2">
        <v>15</v>
      </c>
      <c r="I474" s="6">
        <f t="shared" si="145"/>
        <v>150</v>
      </c>
      <c r="J474" s="6">
        <f t="shared" si="162"/>
        <v>111</v>
      </c>
      <c r="K474" s="6">
        <f t="shared" si="163"/>
        <v>110</v>
      </c>
      <c r="L474" s="6">
        <f t="shared" si="146"/>
        <v>223.5</v>
      </c>
      <c r="M474" s="6">
        <f t="shared" si="165"/>
        <v>14</v>
      </c>
      <c r="N474" s="6" t="b">
        <f t="shared" si="147"/>
        <v>0</v>
      </c>
      <c r="O474" s="6" t="b">
        <f t="shared" si="161"/>
        <v>1</v>
      </c>
      <c r="P474" s="6" t="str">
        <f t="shared" si="160"/>
        <v>C001914-ct</v>
      </c>
      <c r="Q474" s="7" t="str">
        <f t="shared" si="148"/>
        <v>T064614
10</v>
      </c>
      <c r="R474" s="6" t="b">
        <f t="shared" si="149"/>
        <v>0</v>
      </c>
      <c r="S474" s="6" t="str">
        <f t="shared" si="150"/>
        <v>12</v>
      </c>
      <c r="T474" s="6" t="str">
        <f t="shared" si="151"/>
        <v>CT</v>
      </c>
      <c r="U474" s="6" t="str">
        <f t="shared" si="152"/>
        <v>ct</v>
      </c>
      <c r="V474" s="6">
        <f t="shared" si="153"/>
        <v>2</v>
      </c>
      <c r="W474" s="6" t="str">
        <f t="shared" si="154"/>
        <v>T064614 10</v>
      </c>
      <c r="X474" s="6" t="str">
        <f t="shared" si="155"/>
        <v>S55274</v>
      </c>
      <c r="Y474" s="6" t="str">
        <f t="shared" si="156"/>
        <v>T06</v>
      </c>
      <c r="Z474" s="6" t="str">
        <f t="shared" si="157"/>
        <v>614</v>
      </c>
      <c r="AA474" s="6">
        <f t="shared" si="158"/>
        <v>2</v>
      </c>
      <c r="AB474" s="6">
        <f t="shared" si="159"/>
        <v>2</v>
      </c>
      <c r="AC474" s="6"/>
      <c r="AD474" s="23"/>
    </row>
    <row r="475" spans="1:30" ht="30" x14ac:dyDescent="0.25">
      <c r="A475" s="2" t="s">
        <v>61</v>
      </c>
      <c r="B475" s="2" t="s">
        <v>1578</v>
      </c>
      <c r="C475" s="2" t="s">
        <v>1579</v>
      </c>
      <c r="D475" s="2" t="s">
        <v>526</v>
      </c>
      <c r="E475" s="2" t="s">
        <v>1580</v>
      </c>
      <c r="F475" s="2">
        <v>10</v>
      </c>
      <c r="G475" s="2" t="s">
        <v>13</v>
      </c>
      <c r="H475" s="2">
        <v>13</v>
      </c>
      <c r="I475" s="6">
        <f t="shared" si="145"/>
        <v>130</v>
      </c>
      <c r="J475" s="6">
        <f t="shared" si="162"/>
        <v>145</v>
      </c>
      <c r="K475" s="6">
        <f t="shared" si="163"/>
        <v>143</v>
      </c>
      <c r="L475" s="6">
        <f t="shared" si="146"/>
        <v>208.5</v>
      </c>
      <c r="M475" s="6">
        <f t="shared" si="165"/>
        <v>13</v>
      </c>
      <c r="N475" s="6" t="b">
        <f t="shared" si="147"/>
        <v>0</v>
      </c>
      <c r="O475" s="6" t="b">
        <f t="shared" si="161"/>
        <v>1</v>
      </c>
      <c r="P475" s="6" t="str">
        <f t="shared" si="160"/>
        <v>C001911-ct</v>
      </c>
      <c r="Q475" s="7" t="str">
        <f t="shared" si="148"/>
        <v>T060777
10</v>
      </c>
      <c r="R475" s="6" t="b">
        <f t="shared" si="149"/>
        <v>0</v>
      </c>
      <c r="S475" s="6" t="str">
        <f t="shared" si="150"/>
        <v>18</v>
      </c>
      <c r="T475" s="6" t="str">
        <f t="shared" si="151"/>
        <v>CT</v>
      </c>
      <c r="U475" s="6" t="str">
        <f t="shared" si="152"/>
        <v>ct</v>
      </c>
      <c r="V475" s="6">
        <f t="shared" si="153"/>
        <v>2</v>
      </c>
      <c r="W475" s="6" t="str">
        <f t="shared" si="154"/>
        <v>T060777 10</v>
      </c>
      <c r="X475" s="6" t="str">
        <f t="shared" si="155"/>
        <v>S55438</v>
      </c>
      <c r="Y475" s="6" t="str">
        <f t="shared" si="156"/>
        <v>T06</v>
      </c>
      <c r="Z475" s="6" t="str">
        <f t="shared" si="157"/>
        <v>777</v>
      </c>
      <c r="AA475" s="6">
        <f t="shared" si="158"/>
        <v>2</v>
      </c>
      <c r="AB475" s="6">
        <f t="shared" si="159"/>
        <v>2</v>
      </c>
      <c r="AC475" s="6"/>
      <c r="AD475" s="23"/>
    </row>
    <row r="476" spans="1:30" ht="30" x14ac:dyDescent="0.25">
      <c r="A476" s="2" t="s">
        <v>8</v>
      </c>
      <c r="B476" s="2" t="s">
        <v>1581</v>
      </c>
      <c r="C476" s="2" t="s">
        <v>1582</v>
      </c>
      <c r="D476" s="2" t="s">
        <v>243</v>
      </c>
      <c r="E476" s="2" t="s">
        <v>1583</v>
      </c>
      <c r="F476" s="2">
        <v>6</v>
      </c>
      <c r="G476" s="2" t="s">
        <v>245</v>
      </c>
      <c r="H476" s="2">
        <v>12</v>
      </c>
      <c r="I476" s="6">
        <f t="shared" si="145"/>
        <v>72</v>
      </c>
      <c r="J476" s="6">
        <f t="shared" si="162"/>
        <v>295.5</v>
      </c>
      <c r="K476" s="6">
        <f t="shared" si="163"/>
        <v>292</v>
      </c>
      <c r="L476" s="6">
        <f t="shared" si="146"/>
        <v>12</v>
      </c>
      <c r="M476" s="6">
        <f t="shared" si="165"/>
        <v>1</v>
      </c>
      <c r="N476" s="6" t="b">
        <f t="shared" si="147"/>
        <v>0</v>
      </c>
      <c r="O476" s="6" t="b">
        <f t="shared" si="161"/>
        <v>1</v>
      </c>
      <c r="P476" s="6" t="str">
        <f t="shared" si="160"/>
        <v>C000851-tins</v>
      </c>
      <c r="Q476" s="7" t="str">
        <f t="shared" si="148"/>
        <v>T039512
6</v>
      </c>
      <c r="R476" s="6" t="b">
        <f t="shared" si="149"/>
        <v>0</v>
      </c>
      <c r="S476" s="6" t="str">
        <f t="shared" si="150"/>
        <v>23</v>
      </c>
      <c r="T476" s="6" t="str">
        <f t="shared" si="151"/>
        <v>TINS</v>
      </c>
      <c r="U476" s="6" t="str">
        <f t="shared" si="152"/>
        <v>tins</v>
      </c>
      <c r="V476" s="6">
        <f t="shared" si="153"/>
        <v>2</v>
      </c>
      <c r="W476" s="6" t="str">
        <f t="shared" si="154"/>
        <v>T039512 6</v>
      </c>
      <c r="X476" s="6" t="str">
        <f t="shared" si="155"/>
        <v>S55183</v>
      </c>
      <c r="Y476" s="6" t="str">
        <f t="shared" si="156"/>
        <v>T03</v>
      </c>
      <c r="Z476" s="6" t="str">
        <f t="shared" si="157"/>
        <v>512</v>
      </c>
      <c r="AA476" s="6">
        <f t="shared" si="158"/>
        <v>2</v>
      </c>
      <c r="AB476" s="6">
        <f t="shared" si="159"/>
        <v>4</v>
      </c>
      <c r="AC476" s="6"/>
      <c r="AD476" s="23"/>
    </row>
    <row r="477" spans="1:30" ht="30" x14ac:dyDescent="0.25">
      <c r="A477" s="2" t="s">
        <v>71</v>
      </c>
      <c r="B477" s="2" t="s">
        <v>1584</v>
      </c>
      <c r="C477" s="2" t="s">
        <v>1585</v>
      </c>
      <c r="D477" s="2" t="s">
        <v>104</v>
      </c>
      <c r="E477" s="2" t="s">
        <v>1586</v>
      </c>
      <c r="F477" s="2">
        <v>1</v>
      </c>
      <c r="G477" s="2" t="s">
        <v>106</v>
      </c>
      <c r="H477" s="2">
        <v>15</v>
      </c>
      <c r="I477" s="6">
        <f t="shared" si="145"/>
        <v>15</v>
      </c>
      <c r="J477" s="6">
        <f t="shared" si="162"/>
        <v>476.5</v>
      </c>
      <c r="K477" s="6">
        <f t="shared" si="163"/>
        <v>473</v>
      </c>
      <c r="L477" s="6">
        <f t="shared" si="146"/>
        <v>48</v>
      </c>
      <c r="M477" s="6">
        <f t="shared" si="165"/>
        <v>3</v>
      </c>
      <c r="N477" s="6" t="b">
        <f t="shared" si="147"/>
        <v>0</v>
      </c>
      <c r="O477" s="6" t="b">
        <f t="shared" si="161"/>
        <v>1</v>
      </c>
      <c r="P477" s="6" t="str">
        <f t="shared" si="160"/>
        <v>C004489-bags</v>
      </c>
      <c r="Q477" s="7" t="str">
        <f t="shared" si="148"/>
        <v>T07739
1</v>
      </c>
      <c r="R477" s="6" t="b">
        <f t="shared" si="149"/>
        <v>0</v>
      </c>
      <c r="S477" s="6" t="str">
        <f t="shared" si="150"/>
        <v>16</v>
      </c>
      <c r="T477" s="6" t="str">
        <f t="shared" si="151"/>
        <v>BAGS</v>
      </c>
      <c r="U477" s="6" t="str">
        <f t="shared" si="152"/>
        <v>bags</v>
      </c>
      <c r="V477" s="6">
        <f t="shared" si="153"/>
        <v>2</v>
      </c>
      <c r="W477" s="6" t="str">
        <f t="shared" si="154"/>
        <v>T07739 1</v>
      </c>
      <c r="X477" s="6" t="str">
        <f t="shared" si="155"/>
        <v>S55215</v>
      </c>
      <c r="Y477" s="6" t="str">
        <f t="shared" si="156"/>
        <v>T07</v>
      </c>
      <c r="Z477" s="6" t="str">
        <f t="shared" si="157"/>
        <v>739</v>
      </c>
      <c r="AA477" s="6">
        <f t="shared" si="158"/>
        <v>2</v>
      </c>
      <c r="AB477" s="6">
        <f t="shared" si="159"/>
        <v>4</v>
      </c>
      <c r="AC477" s="6"/>
      <c r="AD477" s="23"/>
    </row>
    <row r="478" spans="1:30" ht="30" x14ac:dyDescent="0.25">
      <c r="A478" s="2" t="s">
        <v>359</v>
      </c>
      <c r="B478" s="2" t="s">
        <v>1587</v>
      </c>
      <c r="C478" s="2" t="s">
        <v>1588</v>
      </c>
      <c r="D478" s="2" t="s">
        <v>1589</v>
      </c>
      <c r="E478" s="2" t="s">
        <v>772</v>
      </c>
      <c r="F478" s="2">
        <v>4</v>
      </c>
      <c r="G478" s="2" t="s">
        <v>269</v>
      </c>
      <c r="H478" s="2">
        <v>14</v>
      </c>
      <c r="I478" s="6">
        <f t="shared" si="145"/>
        <v>56</v>
      </c>
      <c r="J478" s="6">
        <f t="shared" si="162"/>
        <v>360.5</v>
      </c>
      <c r="K478" s="6">
        <f t="shared" si="163"/>
        <v>357</v>
      </c>
      <c r="L478" s="6">
        <f t="shared" si="146"/>
        <v>27</v>
      </c>
      <c r="M478" s="6">
        <f t="shared" si="165"/>
        <v>2</v>
      </c>
      <c r="N478" s="6" t="b">
        <f t="shared" si="147"/>
        <v>0</v>
      </c>
      <c r="O478" s="6" t="b">
        <f t="shared" si="161"/>
        <v>1</v>
      </c>
      <c r="P478" s="6" t="str">
        <f t="shared" si="160"/>
        <v>C003496-ct.</v>
      </c>
      <c r="Q478" s="7" t="str">
        <f t="shared" si="148"/>
        <v>T055084
4</v>
      </c>
      <c r="R478" s="6" t="b">
        <f t="shared" si="149"/>
        <v>0</v>
      </c>
      <c r="S478" s="6" t="str">
        <f t="shared" si="150"/>
        <v>13</v>
      </c>
      <c r="T478" s="6" t="str">
        <f t="shared" si="151"/>
        <v>CT.</v>
      </c>
      <c r="U478" s="6" t="str">
        <f t="shared" si="152"/>
        <v>ct.</v>
      </c>
      <c r="V478" s="6">
        <f t="shared" si="153"/>
        <v>2</v>
      </c>
      <c r="W478" s="6" t="str">
        <f t="shared" si="154"/>
        <v>T055084 4</v>
      </c>
      <c r="X478" s="6" t="str">
        <f t="shared" si="155"/>
        <v>S55544</v>
      </c>
      <c r="Y478" s="6" t="str">
        <f t="shared" si="156"/>
        <v>T05</v>
      </c>
      <c r="Z478" s="6" t="str">
        <f t="shared" si="157"/>
        <v>084</v>
      </c>
      <c r="AA478" s="6">
        <f t="shared" si="158"/>
        <v>2</v>
      </c>
      <c r="AB478" s="6">
        <f t="shared" si="159"/>
        <v>3</v>
      </c>
      <c r="AC478" s="6"/>
      <c r="AD478" s="23"/>
    </row>
    <row r="479" spans="1:30" ht="30" x14ac:dyDescent="0.25">
      <c r="A479" s="2" t="s">
        <v>96</v>
      </c>
      <c r="B479" s="2" t="s">
        <v>1590</v>
      </c>
      <c r="C479" s="2" t="s">
        <v>1591</v>
      </c>
      <c r="D479" s="2" t="s">
        <v>832</v>
      </c>
      <c r="E479" s="2" t="s">
        <v>1592</v>
      </c>
      <c r="F479" s="2">
        <v>11</v>
      </c>
      <c r="G479" s="2" t="s">
        <v>13</v>
      </c>
      <c r="H479" s="2">
        <v>12</v>
      </c>
      <c r="I479" s="6">
        <f t="shared" si="145"/>
        <v>132</v>
      </c>
      <c r="J479" s="6">
        <f t="shared" si="162"/>
        <v>139.5</v>
      </c>
      <c r="K479" s="6">
        <f t="shared" si="163"/>
        <v>137</v>
      </c>
      <c r="L479" s="6">
        <f t="shared" si="146"/>
        <v>195.5</v>
      </c>
      <c r="M479" s="6">
        <f t="shared" si="165"/>
        <v>12</v>
      </c>
      <c r="N479" s="6" t="b">
        <f t="shared" si="147"/>
        <v>0</v>
      </c>
      <c r="O479" s="6" t="b">
        <f t="shared" si="161"/>
        <v>1</v>
      </c>
      <c r="P479" s="6" t="str">
        <f t="shared" si="160"/>
        <v>C001470-ct</v>
      </c>
      <c r="Q479" s="7" t="str">
        <f t="shared" si="148"/>
        <v>T043807
11</v>
      </c>
      <c r="R479" s="6" t="b">
        <f t="shared" si="149"/>
        <v>0</v>
      </c>
      <c r="S479" s="6" t="str">
        <f t="shared" si="150"/>
        <v>23</v>
      </c>
      <c r="T479" s="6" t="str">
        <f t="shared" si="151"/>
        <v>CT</v>
      </c>
      <c r="U479" s="6" t="str">
        <f t="shared" si="152"/>
        <v>ct</v>
      </c>
      <c r="V479" s="6">
        <f t="shared" si="153"/>
        <v>2</v>
      </c>
      <c r="W479" s="6" t="str">
        <f t="shared" si="154"/>
        <v>T043807 11</v>
      </c>
      <c r="X479" s="6" t="str">
        <f t="shared" si="155"/>
        <v>S55594</v>
      </c>
      <c r="Y479" s="6" t="str">
        <f t="shared" si="156"/>
        <v>T04</v>
      </c>
      <c r="Z479" s="6" t="str">
        <f t="shared" si="157"/>
        <v>807</v>
      </c>
      <c r="AA479" s="6">
        <f t="shared" si="158"/>
        <v>2</v>
      </c>
      <c r="AB479" s="6">
        <f t="shared" si="159"/>
        <v>2</v>
      </c>
      <c r="AC479" s="6"/>
      <c r="AD479" s="23"/>
    </row>
    <row r="480" spans="1:30" ht="30" x14ac:dyDescent="0.25">
      <c r="A480" s="2" t="s">
        <v>218</v>
      </c>
      <c r="B480" s="2" t="s">
        <v>1593</v>
      </c>
      <c r="C480" s="2" t="s">
        <v>1594</v>
      </c>
      <c r="D480" s="2" t="s">
        <v>567</v>
      </c>
      <c r="E480" s="2" t="s">
        <v>1595</v>
      </c>
      <c r="F480" s="2">
        <v>9</v>
      </c>
      <c r="G480" s="2" t="s">
        <v>60</v>
      </c>
      <c r="H480" s="2">
        <v>20</v>
      </c>
      <c r="I480" s="6">
        <f t="shared" si="145"/>
        <v>180</v>
      </c>
      <c r="J480" s="6">
        <f t="shared" si="162"/>
        <v>61.5</v>
      </c>
      <c r="K480" s="6">
        <f t="shared" si="163"/>
        <v>60</v>
      </c>
      <c r="L480" s="6">
        <f t="shared" si="146"/>
        <v>102</v>
      </c>
      <c r="M480" s="6">
        <f t="shared" si="165"/>
        <v>6</v>
      </c>
      <c r="N480" s="6" t="b">
        <f t="shared" si="147"/>
        <v>0</v>
      </c>
      <c r="O480" s="6" t="b">
        <f t="shared" si="161"/>
        <v>1</v>
      </c>
      <c r="P480" s="6" t="str">
        <f t="shared" si="160"/>
        <v>C001533-bottles</v>
      </c>
      <c r="Q480" s="7" t="str">
        <f t="shared" si="148"/>
        <v>T010488
9</v>
      </c>
      <c r="R480" s="6" t="b">
        <f t="shared" si="149"/>
        <v>0</v>
      </c>
      <c r="S480" s="6" t="str">
        <f t="shared" si="150"/>
        <v>09</v>
      </c>
      <c r="T480" s="6" t="str">
        <f t="shared" si="151"/>
        <v>BOTTLES</v>
      </c>
      <c r="U480" s="6" t="str">
        <f t="shared" si="152"/>
        <v>bottles</v>
      </c>
      <c r="V480" s="6">
        <f t="shared" si="153"/>
        <v>2</v>
      </c>
      <c r="W480" s="6" t="str">
        <f t="shared" si="154"/>
        <v>T010488 9</v>
      </c>
      <c r="X480" s="6" t="str">
        <f t="shared" si="155"/>
        <v>S55553</v>
      </c>
      <c r="Y480" s="6" t="str">
        <f t="shared" si="156"/>
        <v>T01</v>
      </c>
      <c r="Z480" s="6" t="str">
        <f t="shared" si="157"/>
        <v>488</v>
      </c>
      <c r="AA480" s="6">
        <f t="shared" si="158"/>
        <v>2</v>
      </c>
      <c r="AB480" s="6">
        <f t="shared" si="159"/>
        <v>7</v>
      </c>
      <c r="AC480" s="6"/>
      <c r="AD480" s="23"/>
    </row>
    <row r="481" spans="1:30" ht="30" x14ac:dyDescent="0.25">
      <c r="A481" s="2" t="s">
        <v>173</v>
      </c>
      <c r="B481" s="2" t="s">
        <v>1596</v>
      </c>
      <c r="C481" s="2" t="s">
        <v>1597</v>
      </c>
      <c r="D481" s="2" t="s">
        <v>1598</v>
      </c>
      <c r="E481" s="2" t="s">
        <v>500</v>
      </c>
      <c r="F481" s="2">
        <v>7</v>
      </c>
      <c r="G481" s="2" t="s">
        <v>13</v>
      </c>
      <c r="H481" s="2">
        <v>16</v>
      </c>
      <c r="I481" s="6">
        <f t="shared" si="145"/>
        <v>112</v>
      </c>
      <c r="J481" s="6">
        <f t="shared" si="162"/>
        <v>188.5</v>
      </c>
      <c r="K481" s="6">
        <f t="shared" si="163"/>
        <v>186</v>
      </c>
      <c r="L481" s="6">
        <f t="shared" si="146"/>
        <v>183.5</v>
      </c>
      <c r="M481" s="6">
        <f t="shared" si="165"/>
        <v>11</v>
      </c>
      <c r="N481" s="6" t="b">
        <f t="shared" si="147"/>
        <v>0</v>
      </c>
      <c r="O481" s="6" t="b">
        <f t="shared" si="161"/>
        <v>1</v>
      </c>
      <c r="P481" s="6" t="str">
        <f t="shared" si="160"/>
        <v>C000872-ct</v>
      </c>
      <c r="Q481" s="7" t="str">
        <f t="shared" si="148"/>
        <v>T09436
7</v>
      </c>
      <c r="R481" s="6" t="b">
        <f t="shared" si="149"/>
        <v>0</v>
      </c>
      <c r="S481" s="6" t="str">
        <f t="shared" si="150"/>
        <v>14</v>
      </c>
      <c r="T481" s="6" t="str">
        <f t="shared" si="151"/>
        <v>CT</v>
      </c>
      <c r="U481" s="6" t="str">
        <f t="shared" si="152"/>
        <v>ct</v>
      </c>
      <c r="V481" s="6">
        <f t="shared" si="153"/>
        <v>2</v>
      </c>
      <c r="W481" s="6" t="str">
        <f t="shared" si="154"/>
        <v>T09436 7</v>
      </c>
      <c r="X481" s="6" t="str">
        <f t="shared" si="155"/>
        <v>S55345</v>
      </c>
      <c r="Y481" s="6" t="str">
        <f t="shared" si="156"/>
        <v>T09</v>
      </c>
      <c r="Z481" s="6" t="str">
        <f t="shared" si="157"/>
        <v>436</v>
      </c>
      <c r="AA481" s="6">
        <f t="shared" si="158"/>
        <v>2</v>
      </c>
      <c r="AB481" s="6">
        <f t="shared" si="159"/>
        <v>2</v>
      </c>
      <c r="AC481" s="6"/>
      <c r="AD481" s="23"/>
    </row>
    <row r="482" spans="1:30" ht="30" x14ac:dyDescent="0.25">
      <c r="A482" s="2" t="s">
        <v>82</v>
      </c>
      <c r="B482" s="2" t="s">
        <v>1599</v>
      </c>
      <c r="C482" s="2" t="s">
        <v>1600</v>
      </c>
      <c r="D482" s="2" t="s">
        <v>719</v>
      </c>
      <c r="E482" s="2" t="s">
        <v>1601</v>
      </c>
      <c r="F482" s="2">
        <v>8</v>
      </c>
      <c r="G482" s="2" t="s">
        <v>178</v>
      </c>
      <c r="H482" s="2">
        <v>15</v>
      </c>
      <c r="I482" s="6">
        <f t="shared" si="145"/>
        <v>120</v>
      </c>
      <c r="J482" s="6">
        <f t="shared" si="162"/>
        <v>169.5</v>
      </c>
      <c r="K482" s="6">
        <f t="shared" si="163"/>
        <v>162</v>
      </c>
      <c r="L482" s="6">
        <f t="shared" si="146"/>
        <v>15</v>
      </c>
      <c r="M482" s="6">
        <f t="shared" si="165"/>
        <v>1</v>
      </c>
      <c r="N482" s="6" t="b">
        <f t="shared" si="147"/>
        <v>0</v>
      </c>
      <c r="O482" s="6" t="b">
        <f t="shared" si="161"/>
        <v>1</v>
      </c>
      <c r="P482" s="6" t="str">
        <f t="shared" si="160"/>
        <v>C006269-tubs</v>
      </c>
      <c r="Q482" s="7" t="str">
        <f t="shared" si="148"/>
        <v>T098613
8</v>
      </c>
      <c r="R482" s="6" t="b">
        <f t="shared" si="149"/>
        <v>0</v>
      </c>
      <c r="S482" s="6" t="str">
        <f t="shared" si="150"/>
        <v>10</v>
      </c>
      <c r="T482" s="6" t="str">
        <f t="shared" si="151"/>
        <v>TUBS</v>
      </c>
      <c r="U482" s="6" t="str">
        <f t="shared" si="152"/>
        <v>tubs</v>
      </c>
      <c r="V482" s="6">
        <f t="shared" si="153"/>
        <v>2</v>
      </c>
      <c r="W482" s="6" t="str">
        <f t="shared" si="154"/>
        <v>T098613 8</v>
      </c>
      <c r="X482" s="6" t="str">
        <f t="shared" si="155"/>
        <v>S55418</v>
      </c>
      <c r="Y482" s="6" t="str">
        <f t="shared" si="156"/>
        <v>T09</v>
      </c>
      <c r="Z482" s="6" t="str">
        <f t="shared" si="157"/>
        <v>613</v>
      </c>
      <c r="AA482" s="6">
        <f t="shared" si="158"/>
        <v>2</v>
      </c>
      <c r="AB482" s="6">
        <f t="shared" si="159"/>
        <v>4</v>
      </c>
      <c r="AC482" s="6"/>
      <c r="AD482" s="23"/>
    </row>
    <row r="483" spans="1:30" ht="30" x14ac:dyDescent="0.25">
      <c r="A483" s="2" t="s">
        <v>116</v>
      </c>
      <c r="B483" s="2" t="s">
        <v>1602</v>
      </c>
      <c r="C483" s="2" t="s">
        <v>1603</v>
      </c>
      <c r="D483" s="2" t="s">
        <v>1420</v>
      </c>
      <c r="E483" s="2" t="s">
        <v>1604</v>
      </c>
      <c r="F483" s="2">
        <v>9</v>
      </c>
      <c r="G483" s="2"/>
      <c r="H483" s="2">
        <v>17</v>
      </c>
      <c r="I483" s="6">
        <f t="shared" si="145"/>
        <v>153</v>
      </c>
      <c r="J483" s="6">
        <f t="shared" si="162"/>
        <v>105.5</v>
      </c>
      <c r="K483" s="6">
        <f t="shared" si="163"/>
        <v>103</v>
      </c>
      <c r="L483" s="6">
        <f t="shared" si="146"/>
        <v>0</v>
      </c>
      <c r="M483" s="6">
        <f t="shared" si="165"/>
        <v>0</v>
      </c>
      <c r="N483" s="6" t="b">
        <f t="shared" si="147"/>
        <v>0</v>
      </c>
      <c r="O483" s="6" t="b">
        <f t="shared" si="161"/>
        <v>1</v>
      </c>
      <c r="P483" s="6" t="str">
        <f t="shared" si="160"/>
        <v>C008861-</v>
      </c>
      <c r="Q483" s="7" t="str">
        <f t="shared" si="148"/>
        <v>T036513
9</v>
      </c>
      <c r="R483" s="6" t="b">
        <f t="shared" si="149"/>
        <v>0</v>
      </c>
      <c r="S483" s="6" t="str">
        <f t="shared" si="150"/>
        <v>15</v>
      </c>
      <c r="T483" s="6" t="str">
        <f t="shared" si="151"/>
        <v/>
      </c>
      <c r="U483" s="6" t="str">
        <f t="shared" si="152"/>
        <v/>
      </c>
      <c r="V483" s="6">
        <f t="shared" si="153"/>
        <v>2</v>
      </c>
      <c r="W483" s="6" t="str">
        <f t="shared" si="154"/>
        <v>T036513 9</v>
      </c>
      <c r="X483" s="6" t="str">
        <f t="shared" si="155"/>
        <v>S55285</v>
      </c>
      <c r="Y483" s="6" t="str">
        <f t="shared" si="156"/>
        <v>T03</v>
      </c>
      <c r="Z483" s="6" t="str">
        <f t="shared" si="157"/>
        <v>513</v>
      </c>
      <c r="AA483" s="6">
        <f t="shared" si="158"/>
        <v>2</v>
      </c>
      <c r="AB483" s="6">
        <f t="shared" si="159"/>
        <v>0</v>
      </c>
      <c r="AC483" s="6"/>
      <c r="AD483" s="23"/>
    </row>
    <row r="484" spans="1:30" ht="30" x14ac:dyDescent="0.25">
      <c r="A484" s="2" t="s">
        <v>121</v>
      </c>
      <c r="B484" s="2" t="s">
        <v>1605</v>
      </c>
      <c r="C484" s="2" t="s">
        <v>1606</v>
      </c>
      <c r="D484" s="2" t="s">
        <v>1532</v>
      </c>
      <c r="E484" s="2" t="s">
        <v>1397</v>
      </c>
      <c r="F484" s="2">
        <v>4</v>
      </c>
      <c r="G484" s="2" t="s">
        <v>13</v>
      </c>
      <c r="H484" s="2">
        <v>24</v>
      </c>
      <c r="I484" s="6">
        <f t="shared" si="145"/>
        <v>96</v>
      </c>
      <c r="J484" s="6">
        <f t="shared" si="162"/>
        <v>231.5</v>
      </c>
      <c r="K484" s="6">
        <f t="shared" si="163"/>
        <v>228</v>
      </c>
      <c r="L484" s="6">
        <f t="shared" si="146"/>
        <v>167.5</v>
      </c>
      <c r="M484" s="6">
        <f t="shared" si="165"/>
        <v>10</v>
      </c>
      <c r="N484" s="6" t="b">
        <f t="shared" si="147"/>
        <v>1</v>
      </c>
      <c r="O484" s="6" t="b">
        <f t="shared" si="161"/>
        <v>1</v>
      </c>
      <c r="P484" s="6" t="str">
        <f t="shared" si="160"/>
        <v>C002250-ct</v>
      </c>
      <c r="Q484" s="7" t="str">
        <f t="shared" si="148"/>
        <v>T024566
4</v>
      </c>
      <c r="R484" s="6" t="b">
        <f t="shared" si="149"/>
        <v>0</v>
      </c>
      <c r="S484" s="6" t="str">
        <f t="shared" si="150"/>
        <v>13</v>
      </c>
      <c r="T484" s="6" t="str">
        <f t="shared" si="151"/>
        <v>CT</v>
      </c>
      <c r="U484" s="6" t="str">
        <f t="shared" si="152"/>
        <v>ct</v>
      </c>
      <c r="V484" s="6">
        <f t="shared" si="153"/>
        <v>2</v>
      </c>
      <c r="W484" s="6" t="str">
        <f t="shared" si="154"/>
        <v>T024566 4</v>
      </c>
      <c r="X484" s="6" t="str">
        <f t="shared" si="155"/>
        <v>S5554</v>
      </c>
      <c r="Y484" s="6" t="str">
        <f t="shared" si="156"/>
        <v>T02</v>
      </c>
      <c r="Z484" s="6" t="str">
        <f t="shared" si="157"/>
        <v>566</v>
      </c>
      <c r="AA484" s="6">
        <f t="shared" si="158"/>
        <v>2</v>
      </c>
      <c r="AB484" s="6">
        <f t="shared" si="159"/>
        <v>2</v>
      </c>
      <c r="AC484" s="6"/>
      <c r="AD484" s="23"/>
    </row>
    <row r="485" spans="1:30" ht="30" x14ac:dyDescent="0.25">
      <c r="A485" s="2" t="s">
        <v>224</v>
      </c>
      <c r="B485" s="2" t="s">
        <v>1607</v>
      </c>
      <c r="C485" s="2" t="s">
        <v>1608</v>
      </c>
      <c r="D485" s="2" t="s">
        <v>237</v>
      </c>
      <c r="E485" s="2" t="s">
        <v>1100</v>
      </c>
      <c r="F485" s="2">
        <v>8</v>
      </c>
      <c r="G485" s="2" t="s">
        <v>239</v>
      </c>
      <c r="H485" s="2">
        <v>15</v>
      </c>
      <c r="I485" s="6">
        <f t="shared" si="145"/>
        <v>120</v>
      </c>
      <c r="J485" s="6">
        <f t="shared" si="162"/>
        <v>169.5</v>
      </c>
      <c r="K485" s="6">
        <f t="shared" si="163"/>
        <v>162</v>
      </c>
      <c r="L485" s="6">
        <f t="shared" si="146"/>
        <v>15</v>
      </c>
      <c r="M485" s="6">
        <f t="shared" si="165"/>
        <v>1</v>
      </c>
      <c r="N485" s="6" t="b">
        <f t="shared" si="147"/>
        <v>0</v>
      </c>
      <c r="O485" s="6" t="b">
        <f t="shared" si="161"/>
        <v>1</v>
      </c>
      <c r="P485" s="6" t="str">
        <f t="shared" si="160"/>
        <v>C003457-lb</v>
      </c>
      <c r="Q485" s="7" t="str">
        <f t="shared" si="148"/>
        <v>T09496
8</v>
      </c>
      <c r="R485" s="6" t="b">
        <f t="shared" si="149"/>
        <v>0</v>
      </c>
      <c r="S485" s="6" t="str">
        <f t="shared" si="150"/>
        <v>22</v>
      </c>
      <c r="T485" s="6" t="str">
        <f t="shared" si="151"/>
        <v>LB</v>
      </c>
      <c r="U485" s="6" t="str">
        <f t="shared" si="152"/>
        <v>lb</v>
      </c>
      <c r="V485" s="6">
        <f t="shared" si="153"/>
        <v>2</v>
      </c>
      <c r="W485" s="6" t="str">
        <f t="shared" si="154"/>
        <v>T09496 8</v>
      </c>
      <c r="X485" s="6" t="str">
        <f t="shared" si="155"/>
        <v>S55247</v>
      </c>
      <c r="Y485" s="6" t="str">
        <f t="shared" si="156"/>
        <v>T09</v>
      </c>
      <c r="Z485" s="6" t="str">
        <f t="shared" si="157"/>
        <v>496</v>
      </c>
      <c r="AA485" s="6">
        <f t="shared" si="158"/>
        <v>2</v>
      </c>
      <c r="AB485" s="6">
        <f t="shared" si="159"/>
        <v>2</v>
      </c>
      <c r="AC485" s="6"/>
      <c r="AD485" s="23"/>
    </row>
    <row r="486" spans="1:30" ht="30" x14ac:dyDescent="0.25">
      <c r="A486" s="2" t="s">
        <v>76</v>
      </c>
      <c r="B486" s="2" t="s">
        <v>1609</v>
      </c>
      <c r="C486" s="2" t="s">
        <v>1610</v>
      </c>
      <c r="D486" s="2" t="s">
        <v>1611</v>
      </c>
      <c r="E486" s="2" t="s">
        <v>1208</v>
      </c>
      <c r="F486" s="2">
        <v>5</v>
      </c>
      <c r="G486" s="2" t="s">
        <v>60</v>
      </c>
      <c r="H486" s="2">
        <v>9</v>
      </c>
      <c r="I486" s="6">
        <f t="shared" si="145"/>
        <v>45</v>
      </c>
      <c r="J486" s="6">
        <f t="shared" si="162"/>
        <v>396.5</v>
      </c>
      <c r="K486" s="6">
        <f t="shared" si="163"/>
        <v>394</v>
      </c>
      <c r="L486" s="6">
        <f t="shared" si="146"/>
        <v>82</v>
      </c>
      <c r="M486" s="6">
        <f t="shared" si="165"/>
        <v>5</v>
      </c>
      <c r="N486" s="6" t="b">
        <f t="shared" si="147"/>
        <v>0</v>
      </c>
      <c r="O486" s="6" t="b">
        <f t="shared" si="161"/>
        <v>1</v>
      </c>
      <c r="P486" s="6" t="str">
        <f t="shared" si="160"/>
        <v>C001654-bottles</v>
      </c>
      <c r="Q486" s="7" t="str">
        <f t="shared" si="148"/>
        <v>T064062
5</v>
      </c>
      <c r="R486" s="6" t="b">
        <f t="shared" si="149"/>
        <v>0</v>
      </c>
      <c r="S486" s="6" t="str">
        <f t="shared" si="150"/>
        <v>09</v>
      </c>
      <c r="T486" s="6" t="str">
        <f t="shared" si="151"/>
        <v>BOTTLES</v>
      </c>
      <c r="U486" s="6" t="str">
        <f t="shared" si="152"/>
        <v>bottles</v>
      </c>
      <c r="V486" s="6">
        <f t="shared" si="153"/>
        <v>2</v>
      </c>
      <c r="W486" s="6" t="str">
        <f t="shared" si="154"/>
        <v>T064062 5</v>
      </c>
      <c r="X486" s="6" t="str">
        <f t="shared" si="155"/>
        <v>S55121</v>
      </c>
      <c r="Y486" s="6" t="str">
        <f t="shared" si="156"/>
        <v>T06</v>
      </c>
      <c r="Z486" s="6" t="str">
        <f t="shared" si="157"/>
        <v>062</v>
      </c>
      <c r="AA486" s="6">
        <f t="shared" si="158"/>
        <v>2</v>
      </c>
      <c r="AB486" s="6">
        <f t="shared" si="159"/>
        <v>7</v>
      </c>
      <c r="AC486" s="6"/>
      <c r="AD486" s="23"/>
    </row>
    <row r="487" spans="1:30" ht="30" x14ac:dyDescent="0.25">
      <c r="A487" s="2" t="s">
        <v>14</v>
      </c>
      <c r="B487" s="2" t="s">
        <v>1612</v>
      </c>
      <c r="C487" s="2" t="s">
        <v>1613</v>
      </c>
      <c r="D487" s="2" t="s">
        <v>310</v>
      </c>
      <c r="E487" s="2" t="s">
        <v>1614</v>
      </c>
      <c r="F487" s="2">
        <v>2</v>
      </c>
      <c r="G487" s="2" t="s">
        <v>35</v>
      </c>
      <c r="H487" s="2">
        <v>40</v>
      </c>
      <c r="I487" s="6">
        <f t="shared" si="145"/>
        <v>80</v>
      </c>
      <c r="J487" s="6">
        <f t="shared" si="162"/>
        <v>275</v>
      </c>
      <c r="K487" s="6">
        <f t="shared" si="163"/>
        <v>272</v>
      </c>
      <c r="L487" s="6">
        <f t="shared" si="146"/>
        <v>114.75</v>
      </c>
      <c r="M487" s="6">
        <f t="shared" si="165"/>
        <v>7</v>
      </c>
      <c r="N487" s="6" t="b">
        <f t="shared" si="147"/>
        <v>1</v>
      </c>
      <c r="O487" s="6" t="b">
        <f t="shared" si="161"/>
        <v>1</v>
      </c>
      <c r="P487" s="6" t="str">
        <f t="shared" si="160"/>
        <v>C000225-cans</v>
      </c>
      <c r="Q487" s="7" t="str">
        <f t="shared" si="148"/>
        <v>T059289
2</v>
      </c>
      <c r="R487" s="6" t="b">
        <f t="shared" si="149"/>
        <v>0</v>
      </c>
      <c r="S487" s="6" t="str">
        <f t="shared" si="150"/>
        <v>05</v>
      </c>
      <c r="T487" s="6" t="str">
        <f t="shared" si="151"/>
        <v>CANS</v>
      </c>
      <c r="U487" s="6" t="str">
        <f t="shared" si="152"/>
        <v>cans</v>
      </c>
      <c r="V487" s="6">
        <f t="shared" si="153"/>
        <v>2</v>
      </c>
      <c r="W487" s="6" t="str">
        <f t="shared" si="154"/>
        <v>T059289 2</v>
      </c>
      <c r="X487" s="6" t="str">
        <f t="shared" si="155"/>
        <v>S55614</v>
      </c>
      <c r="Y487" s="6" t="str">
        <f t="shared" si="156"/>
        <v>T05</v>
      </c>
      <c r="Z487" s="6" t="str">
        <f t="shared" si="157"/>
        <v>289</v>
      </c>
      <c r="AA487" s="6">
        <f t="shared" si="158"/>
        <v>2</v>
      </c>
      <c r="AB487" s="6">
        <f t="shared" si="159"/>
        <v>4</v>
      </c>
      <c r="AC487" s="6"/>
      <c r="AD487" s="23"/>
    </row>
    <row r="488" spans="1:30" ht="30" x14ac:dyDescent="0.25">
      <c r="A488" s="2" t="s">
        <v>20</v>
      </c>
      <c r="B488" s="2" t="s">
        <v>1615</v>
      </c>
      <c r="C488" s="2" t="s">
        <v>1616</v>
      </c>
      <c r="D488" s="2" t="s">
        <v>1617</v>
      </c>
      <c r="E488" s="2" t="s">
        <v>315</v>
      </c>
      <c r="F488" s="2">
        <v>6</v>
      </c>
      <c r="G488" s="2" t="s">
        <v>13</v>
      </c>
      <c r="H488" s="2">
        <v>12</v>
      </c>
      <c r="I488" s="6">
        <f t="shared" si="145"/>
        <v>72</v>
      </c>
      <c r="J488" s="6">
        <f t="shared" si="162"/>
        <v>295.5</v>
      </c>
      <c r="K488" s="6">
        <f t="shared" si="163"/>
        <v>292</v>
      </c>
      <c r="L488" s="6">
        <f t="shared" si="146"/>
        <v>143.5</v>
      </c>
      <c r="M488" s="6">
        <f t="shared" si="165"/>
        <v>9</v>
      </c>
      <c r="N488" s="6" t="b">
        <f t="shared" si="147"/>
        <v>0</v>
      </c>
      <c r="O488" s="6" t="b">
        <f t="shared" si="161"/>
        <v>1</v>
      </c>
      <c r="P488" s="6" t="str">
        <f t="shared" si="160"/>
        <v>C007837-ct</v>
      </c>
      <c r="Q488" s="7" t="str">
        <f t="shared" si="148"/>
        <v>T012803
6</v>
      </c>
      <c r="R488" s="6" t="b">
        <f t="shared" si="149"/>
        <v>0</v>
      </c>
      <c r="S488" s="6" t="str">
        <f t="shared" si="150"/>
        <v>22</v>
      </c>
      <c r="T488" s="6" t="str">
        <f t="shared" si="151"/>
        <v>CT</v>
      </c>
      <c r="U488" s="6" t="str">
        <f t="shared" si="152"/>
        <v>ct</v>
      </c>
      <c r="V488" s="6">
        <f t="shared" si="153"/>
        <v>2</v>
      </c>
      <c r="W488" s="6" t="str">
        <f t="shared" si="154"/>
        <v>T012803 6</v>
      </c>
      <c r="X488" s="6" t="str">
        <f t="shared" si="155"/>
        <v>S55265</v>
      </c>
      <c r="Y488" s="6" t="str">
        <f t="shared" si="156"/>
        <v>T01</v>
      </c>
      <c r="Z488" s="6" t="str">
        <f t="shared" si="157"/>
        <v>803</v>
      </c>
      <c r="AA488" s="6">
        <f t="shared" si="158"/>
        <v>2</v>
      </c>
      <c r="AB488" s="6">
        <f t="shared" si="159"/>
        <v>2</v>
      </c>
      <c r="AC488" s="6"/>
      <c r="AD488" s="23"/>
    </row>
    <row r="489" spans="1:30" ht="30" x14ac:dyDescent="0.25">
      <c r="A489" s="2" t="s">
        <v>96</v>
      </c>
      <c r="B489" s="2" t="s">
        <v>1618</v>
      </c>
      <c r="C489" s="2" t="s">
        <v>1619</v>
      </c>
      <c r="D489" s="2" t="s">
        <v>198</v>
      </c>
      <c r="E489" s="2" t="s">
        <v>617</v>
      </c>
      <c r="F489" s="2">
        <v>6</v>
      </c>
      <c r="G489" s="2" t="s">
        <v>60</v>
      </c>
      <c r="H489" s="2">
        <v>20</v>
      </c>
      <c r="I489" s="6">
        <f t="shared" si="145"/>
        <v>120</v>
      </c>
      <c r="J489" s="6">
        <f t="shared" si="162"/>
        <v>169.5</v>
      </c>
      <c r="K489" s="6">
        <f t="shared" si="163"/>
        <v>162</v>
      </c>
      <c r="L489" s="6">
        <f t="shared" si="146"/>
        <v>73</v>
      </c>
      <c r="M489" s="6">
        <f t="shared" si="165"/>
        <v>4</v>
      </c>
      <c r="N489" s="6" t="b">
        <f t="shared" si="147"/>
        <v>0</v>
      </c>
      <c r="O489" s="6" t="b">
        <f t="shared" si="161"/>
        <v>1</v>
      </c>
      <c r="P489" s="6" t="str">
        <f t="shared" si="160"/>
        <v>C002928-bottles</v>
      </c>
      <c r="Q489" s="7" t="str">
        <f t="shared" si="148"/>
        <v>T083400
6</v>
      </c>
      <c r="R489" s="6" t="b">
        <f t="shared" si="149"/>
        <v>0</v>
      </c>
      <c r="S489" s="6" t="str">
        <f t="shared" si="150"/>
        <v>06</v>
      </c>
      <c r="T489" s="6" t="str">
        <f t="shared" si="151"/>
        <v>BOTTLES</v>
      </c>
      <c r="U489" s="6" t="str">
        <f t="shared" si="152"/>
        <v>bottles</v>
      </c>
      <c r="V489" s="6">
        <f t="shared" si="153"/>
        <v>2</v>
      </c>
      <c r="W489" s="6" t="str">
        <f t="shared" si="154"/>
        <v>T083400 6</v>
      </c>
      <c r="X489" s="6" t="str">
        <f t="shared" si="155"/>
        <v>S5514</v>
      </c>
      <c r="Y489" s="6" t="str">
        <f t="shared" si="156"/>
        <v>T08</v>
      </c>
      <c r="Z489" s="6" t="str">
        <f t="shared" si="157"/>
        <v>400</v>
      </c>
      <c r="AA489" s="6">
        <f t="shared" si="158"/>
        <v>2</v>
      </c>
      <c r="AB489" s="6">
        <f t="shared" si="159"/>
        <v>7</v>
      </c>
      <c r="AC489" s="6"/>
      <c r="AD489" s="23"/>
    </row>
    <row r="490" spans="1:30" ht="30" x14ac:dyDescent="0.25">
      <c r="A490" s="2" t="s">
        <v>116</v>
      </c>
      <c r="B490" s="2" t="s">
        <v>1620</v>
      </c>
      <c r="C490" s="2" t="s">
        <v>1621</v>
      </c>
      <c r="D490" s="2" t="s">
        <v>449</v>
      </c>
      <c r="E490" s="2" t="s">
        <v>1622</v>
      </c>
      <c r="F490" s="2">
        <v>5</v>
      </c>
      <c r="G490" s="2" t="s">
        <v>269</v>
      </c>
      <c r="H490" s="2">
        <v>13</v>
      </c>
      <c r="I490" s="6">
        <f t="shared" si="145"/>
        <v>65</v>
      </c>
      <c r="J490" s="6">
        <f t="shared" si="162"/>
        <v>321.5</v>
      </c>
      <c r="K490" s="6">
        <f t="shared" si="163"/>
        <v>320</v>
      </c>
      <c r="L490" s="6">
        <f t="shared" si="146"/>
        <v>13</v>
      </c>
      <c r="M490" s="6">
        <f t="shared" si="165"/>
        <v>1</v>
      </c>
      <c r="N490" s="6" t="b">
        <f t="shared" si="147"/>
        <v>0</v>
      </c>
      <c r="O490" s="6" t="b">
        <f t="shared" si="161"/>
        <v>1</v>
      </c>
      <c r="P490" s="6" t="str">
        <f t="shared" si="160"/>
        <v>C005340-ct.</v>
      </c>
      <c r="Q490" s="7" t="str">
        <f t="shared" si="148"/>
        <v>T067924
5</v>
      </c>
      <c r="R490" s="6" t="b">
        <f t="shared" si="149"/>
        <v>0</v>
      </c>
      <c r="S490" s="6" t="str">
        <f t="shared" si="150"/>
        <v>18</v>
      </c>
      <c r="T490" s="6" t="str">
        <f t="shared" si="151"/>
        <v>CT.</v>
      </c>
      <c r="U490" s="6" t="str">
        <f t="shared" si="152"/>
        <v>ct.</v>
      </c>
      <c r="V490" s="6">
        <f t="shared" si="153"/>
        <v>2</v>
      </c>
      <c r="W490" s="6" t="str">
        <f t="shared" si="154"/>
        <v>T067924 5</v>
      </c>
      <c r="X490" s="6" t="str">
        <f t="shared" si="155"/>
        <v>S55168</v>
      </c>
      <c r="Y490" s="6" t="str">
        <f t="shared" si="156"/>
        <v>T06</v>
      </c>
      <c r="Z490" s="6" t="str">
        <f t="shared" si="157"/>
        <v>924</v>
      </c>
      <c r="AA490" s="6">
        <f t="shared" si="158"/>
        <v>2</v>
      </c>
      <c r="AB490" s="6">
        <f t="shared" si="159"/>
        <v>3</v>
      </c>
      <c r="AC490" s="6"/>
      <c r="AD490" s="23"/>
    </row>
    <row r="491" spans="1:30" ht="30" x14ac:dyDescent="0.25">
      <c r="A491" s="2" t="s">
        <v>121</v>
      </c>
      <c r="B491" s="2" t="s">
        <v>1623</v>
      </c>
      <c r="C491" s="2" t="s">
        <v>1624</v>
      </c>
      <c r="D491" s="2" t="s">
        <v>1280</v>
      </c>
      <c r="E491" s="2" t="s">
        <v>1625</v>
      </c>
      <c r="F491" s="2">
        <v>2</v>
      </c>
      <c r="G491" s="2" t="s">
        <v>35</v>
      </c>
      <c r="H491" s="2">
        <v>18</v>
      </c>
      <c r="I491" s="6">
        <f t="shared" si="145"/>
        <v>36</v>
      </c>
      <c r="J491" s="6">
        <f t="shared" si="162"/>
        <v>417.5</v>
      </c>
      <c r="K491" s="6">
        <f t="shared" si="163"/>
        <v>416</v>
      </c>
      <c r="L491" s="6">
        <f t="shared" si="146"/>
        <v>74.75</v>
      </c>
      <c r="M491" s="6">
        <f t="shared" si="165"/>
        <v>6</v>
      </c>
      <c r="N491" s="6" t="b">
        <f t="shared" si="147"/>
        <v>0</v>
      </c>
      <c r="O491" s="6" t="b">
        <f t="shared" si="161"/>
        <v>1</v>
      </c>
      <c r="P491" s="6" t="str">
        <f t="shared" si="160"/>
        <v>C002993-cans</v>
      </c>
      <c r="Q491" s="7" t="str">
        <f t="shared" si="148"/>
        <v>T023419
2</v>
      </c>
      <c r="R491" s="6" t="b">
        <f t="shared" si="149"/>
        <v>0</v>
      </c>
      <c r="S491" s="6" t="str">
        <f t="shared" si="150"/>
        <v>08</v>
      </c>
      <c r="T491" s="6" t="str">
        <f t="shared" si="151"/>
        <v>CANS</v>
      </c>
      <c r="U491" s="6" t="str">
        <f t="shared" si="152"/>
        <v>cans</v>
      </c>
      <c r="V491" s="6">
        <f t="shared" si="153"/>
        <v>2</v>
      </c>
      <c r="W491" s="6" t="str">
        <f t="shared" si="154"/>
        <v>T023419 2</v>
      </c>
      <c r="X491" s="6" t="str">
        <f t="shared" si="155"/>
        <v>S55144</v>
      </c>
      <c r="Y491" s="6" t="str">
        <f t="shared" si="156"/>
        <v>T02</v>
      </c>
      <c r="Z491" s="6" t="str">
        <f t="shared" si="157"/>
        <v>419</v>
      </c>
      <c r="AA491" s="6">
        <f t="shared" si="158"/>
        <v>2</v>
      </c>
      <c r="AB491" s="6">
        <f t="shared" si="159"/>
        <v>4</v>
      </c>
      <c r="AC491" s="6"/>
      <c r="AD491" s="23"/>
    </row>
    <row r="492" spans="1:30" ht="30" x14ac:dyDescent="0.25">
      <c r="A492" s="2" t="s">
        <v>61</v>
      </c>
      <c r="B492" s="2" t="s">
        <v>1626</v>
      </c>
      <c r="C492" s="2" t="s">
        <v>1627</v>
      </c>
      <c r="D492" s="2" t="s">
        <v>588</v>
      </c>
      <c r="E492" s="2" t="s">
        <v>1628</v>
      </c>
      <c r="F492" s="2">
        <v>5</v>
      </c>
      <c r="G492" s="2" t="s">
        <v>106</v>
      </c>
      <c r="H492" s="2">
        <v>16</v>
      </c>
      <c r="I492" s="6">
        <f t="shared" si="145"/>
        <v>80</v>
      </c>
      <c r="J492" s="6">
        <f t="shared" si="162"/>
        <v>275</v>
      </c>
      <c r="K492" s="6">
        <f t="shared" si="163"/>
        <v>272</v>
      </c>
      <c r="L492" s="6">
        <f t="shared" si="146"/>
        <v>33</v>
      </c>
      <c r="M492" s="6">
        <f t="shared" si="165"/>
        <v>2</v>
      </c>
      <c r="N492" s="6" t="b">
        <f t="shared" si="147"/>
        <v>0</v>
      </c>
      <c r="O492" s="6" t="b">
        <f t="shared" si="161"/>
        <v>1</v>
      </c>
      <c r="P492" s="6" t="str">
        <f t="shared" si="160"/>
        <v>C007592-bags</v>
      </c>
      <c r="Q492" s="7" t="str">
        <f t="shared" si="148"/>
        <v>T07056
5</v>
      </c>
      <c r="R492" s="6" t="b">
        <f t="shared" si="149"/>
        <v>0</v>
      </c>
      <c r="S492" s="6" t="str">
        <f t="shared" si="150"/>
        <v>15</v>
      </c>
      <c r="T492" s="6" t="str">
        <f t="shared" si="151"/>
        <v>BAGS</v>
      </c>
      <c r="U492" s="6" t="str">
        <f t="shared" si="152"/>
        <v>bags</v>
      </c>
      <c r="V492" s="6">
        <f t="shared" si="153"/>
        <v>2</v>
      </c>
      <c r="W492" s="6" t="str">
        <f t="shared" si="154"/>
        <v>T07056 5</v>
      </c>
      <c r="X492" s="6" t="str">
        <f t="shared" si="155"/>
        <v>S5525</v>
      </c>
      <c r="Y492" s="6" t="str">
        <f t="shared" si="156"/>
        <v>T07</v>
      </c>
      <c r="Z492" s="6" t="str">
        <f t="shared" si="157"/>
        <v>056</v>
      </c>
      <c r="AA492" s="6">
        <f t="shared" si="158"/>
        <v>2</v>
      </c>
      <c r="AB492" s="6">
        <f t="shared" si="159"/>
        <v>4</v>
      </c>
      <c r="AC492" s="6"/>
      <c r="AD492" s="23"/>
    </row>
    <row r="493" spans="1:30" ht="30" x14ac:dyDescent="0.25">
      <c r="A493" s="2" t="s">
        <v>146</v>
      </c>
      <c r="B493" s="2" t="s">
        <v>1629</v>
      </c>
      <c r="C493" s="2" t="s">
        <v>1630</v>
      </c>
      <c r="D493" s="2" t="s">
        <v>836</v>
      </c>
      <c r="E493" s="2" t="s">
        <v>1631</v>
      </c>
      <c r="F493" s="2">
        <v>11</v>
      </c>
      <c r="G493" s="2" t="s">
        <v>35</v>
      </c>
      <c r="H493" s="2">
        <v>16.25</v>
      </c>
      <c r="I493" s="6">
        <f t="shared" si="145"/>
        <v>178.75</v>
      </c>
      <c r="J493" s="6">
        <f t="shared" si="162"/>
        <v>64</v>
      </c>
      <c r="K493" s="6">
        <f t="shared" si="163"/>
        <v>64</v>
      </c>
      <c r="L493" s="6">
        <f t="shared" si="146"/>
        <v>56.75</v>
      </c>
      <c r="M493" s="6">
        <f t="shared" si="165"/>
        <v>5</v>
      </c>
      <c r="N493" s="6" t="b">
        <f t="shared" si="147"/>
        <v>0</v>
      </c>
      <c r="O493" s="6" t="b">
        <f t="shared" si="161"/>
        <v>1</v>
      </c>
      <c r="P493" s="6" t="str">
        <f t="shared" si="160"/>
        <v>C007746-cans</v>
      </c>
      <c r="Q493" s="7" t="str">
        <f t="shared" si="148"/>
        <v>T070198
11</v>
      </c>
      <c r="R493" s="6" t="b">
        <f t="shared" si="149"/>
        <v>0</v>
      </c>
      <c r="S493" s="6" t="str">
        <f t="shared" si="150"/>
        <v>00</v>
      </c>
      <c r="T493" s="6" t="str">
        <f t="shared" si="151"/>
        <v>CANS</v>
      </c>
      <c r="U493" s="6" t="str">
        <f t="shared" si="152"/>
        <v>cans</v>
      </c>
      <c r="V493" s="6">
        <f t="shared" si="153"/>
        <v>2</v>
      </c>
      <c r="W493" s="6" t="str">
        <f t="shared" si="154"/>
        <v>T070198 11</v>
      </c>
      <c r="X493" s="6" t="str">
        <f t="shared" si="155"/>
        <v>S55379</v>
      </c>
      <c r="Y493" s="6" t="str">
        <f t="shared" si="156"/>
        <v>T07</v>
      </c>
      <c r="Z493" s="6" t="str">
        <f t="shared" si="157"/>
        <v>198</v>
      </c>
      <c r="AA493" s="6">
        <f t="shared" si="158"/>
        <v>2</v>
      </c>
      <c r="AB493" s="6">
        <f t="shared" si="159"/>
        <v>4</v>
      </c>
      <c r="AC493" s="6"/>
      <c r="AD493" s="23"/>
    </row>
    <row r="494" spans="1:30" ht="30" x14ac:dyDescent="0.25">
      <c r="A494" s="2" t="s">
        <v>187</v>
      </c>
      <c r="B494" s="2" t="s">
        <v>1632</v>
      </c>
      <c r="C494" s="2" t="s">
        <v>1633</v>
      </c>
      <c r="D494" s="2" t="s">
        <v>753</v>
      </c>
      <c r="E494" s="2" t="s">
        <v>1634</v>
      </c>
      <c r="F494" s="2">
        <v>7</v>
      </c>
      <c r="G494" s="2" t="s">
        <v>35</v>
      </c>
      <c r="H494" s="2">
        <v>11.5</v>
      </c>
      <c r="I494" s="6">
        <f t="shared" si="145"/>
        <v>80.5</v>
      </c>
      <c r="J494" s="6">
        <f t="shared" si="162"/>
        <v>271</v>
      </c>
      <c r="K494" s="6">
        <f t="shared" si="163"/>
        <v>271</v>
      </c>
      <c r="L494" s="6">
        <f t="shared" si="146"/>
        <v>40.5</v>
      </c>
      <c r="M494" s="6">
        <f t="shared" si="165"/>
        <v>4</v>
      </c>
      <c r="N494" s="6" t="b">
        <f t="shared" si="147"/>
        <v>0</v>
      </c>
      <c r="O494" s="6" t="b">
        <f t="shared" si="161"/>
        <v>1</v>
      </c>
      <c r="P494" s="6" t="str">
        <f t="shared" si="160"/>
        <v>C005610-cans</v>
      </c>
      <c r="Q494" s="7" t="str">
        <f t="shared" si="148"/>
        <v>T030718
7</v>
      </c>
      <c r="R494" s="6" t="b">
        <f t="shared" si="149"/>
        <v>0</v>
      </c>
      <c r="S494" s="6" t="str">
        <f t="shared" si="150"/>
        <v>02</v>
      </c>
      <c r="T494" s="6" t="str">
        <f t="shared" si="151"/>
        <v>CANS</v>
      </c>
      <c r="U494" s="6" t="str">
        <f t="shared" si="152"/>
        <v>cans</v>
      </c>
      <c r="V494" s="6">
        <f t="shared" si="153"/>
        <v>2</v>
      </c>
      <c r="W494" s="6" t="str">
        <f t="shared" si="154"/>
        <v>T030718 7</v>
      </c>
      <c r="X494" s="6" t="str">
        <f t="shared" si="155"/>
        <v>S5512</v>
      </c>
      <c r="Y494" s="6" t="str">
        <f t="shared" si="156"/>
        <v>T03</v>
      </c>
      <c r="Z494" s="6" t="str">
        <f t="shared" si="157"/>
        <v>718</v>
      </c>
      <c r="AA494" s="6">
        <f t="shared" si="158"/>
        <v>2</v>
      </c>
      <c r="AB494" s="6">
        <f t="shared" si="159"/>
        <v>4</v>
      </c>
      <c r="AC494" s="6"/>
      <c r="AD494" s="23"/>
    </row>
    <row r="495" spans="1:30" ht="30" x14ac:dyDescent="0.25">
      <c r="A495" s="2" t="s">
        <v>20</v>
      </c>
      <c r="B495" s="2" t="s">
        <v>1635</v>
      </c>
      <c r="C495" s="2" t="s">
        <v>1636</v>
      </c>
      <c r="D495" s="2" t="s">
        <v>181</v>
      </c>
      <c r="E495" s="2" t="s">
        <v>1637</v>
      </c>
      <c r="F495" s="2">
        <v>1</v>
      </c>
      <c r="G495" s="2" t="s">
        <v>13</v>
      </c>
      <c r="H495" s="2">
        <v>6</v>
      </c>
      <c r="I495" s="6">
        <f t="shared" si="145"/>
        <v>6</v>
      </c>
      <c r="J495" s="6">
        <f t="shared" si="162"/>
        <v>496</v>
      </c>
      <c r="K495" s="6">
        <f t="shared" si="163"/>
        <v>496</v>
      </c>
      <c r="L495" s="6">
        <f t="shared" si="146"/>
        <v>131.5</v>
      </c>
      <c r="M495" s="6">
        <f t="shared" si="165"/>
        <v>8</v>
      </c>
      <c r="N495" s="6" t="b">
        <f t="shared" si="147"/>
        <v>0</v>
      </c>
      <c r="O495" s="6" t="b">
        <f t="shared" si="161"/>
        <v>1</v>
      </c>
      <c r="P495" s="6" t="str">
        <f t="shared" si="160"/>
        <v>C003414-ct</v>
      </c>
      <c r="Q495" s="7" t="str">
        <f t="shared" si="148"/>
        <v>T019188
1</v>
      </c>
      <c r="R495" s="6" t="b">
        <f t="shared" si="149"/>
        <v>0</v>
      </c>
      <c r="S495" s="6" t="str">
        <f t="shared" si="150"/>
        <v>21</v>
      </c>
      <c r="T495" s="6" t="str">
        <f t="shared" si="151"/>
        <v>CT</v>
      </c>
      <c r="U495" s="6" t="str">
        <f t="shared" si="152"/>
        <v>ct</v>
      </c>
      <c r="V495" s="6">
        <f t="shared" si="153"/>
        <v>2</v>
      </c>
      <c r="W495" s="6" t="str">
        <f t="shared" si="154"/>
        <v>T019188 1</v>
      </c>
      <c r="X495" s="6" t="str">
        <f t="shared" si="155"/>
        <v>S55176</v>
      </c>
      <c r="Y495" s="6" t="str">
        <f t="shared" si="156"/>
        <v>T01</v>
      </c>
      <c r="Z495" s="6" t="str">
        <f t="shared" si="157"/>
        <v>188</v>
      </c>
      <c r="AA495" s="6">
        <f t="shared" si="158"/>
        <v>2</v>
      </c>
      <c r="AB495" s="6">
        <f t="shared" si="159"/>
        <v>2</v>
      </c>
      <c r="AC495" s="6"/>
      <c r="AD495" s="23"/>
    </row>
    <row r="496" spans="1:30" ht="30" x14ac:dyDescent="0.25">
      <c r="A496" s="2" t="s">
        <v>288</v>
      </c>
      <c r="B496" s="2" t="s">
        <v>1638</v>
      </c>
      <c r="C496" s="2" t="s">
        <v>1639</v>
      </c>
      <c r="D496" s="2" t="s">
        <v>793</v>
      </c>
      <c r="E496" s="2" t="s">
        <v>1640</v>
      </c>
      <c r="F496" s="2">
        <v>5</v>
      </c>
      <c r="G496" s="2" t="s">
        <v>106</v>
      </c>
      <c r="H496" s="2">
        <v>17</v>
      </c>
      <c r="I496" s="6">
        <f t="shared" si="145"/>
        <v>85</v>
      </c>
      <c r="J496" s="6">
        <f t="shared" si="162"/>
        <v>258</v>
      </c>
      <c r="K496" s="6">
        <f t="shared" si="163"/>
        <v>257</v>
      </c>
      <c r="L496" s="6">
        <f t="shared" si="146"/>
        <v>17</v>
      </c>
      <c r="M496" s="6">
        <f t="shared" si="165"/>
        <v>1</v>
      </c>
      <c r="N496" s="6" t="b">
        <f t="shared" si="147"/>
        <v>0</v>
      </c>
      <c r="O496" s="6" t="b">
        <f t="shared" si="161"/>
        <v>1</v>
      </c>
      <c r="P496" s="6" t="str">
        <f t="shared" si="160"/>
        <v>C002706-bags</v>
      </c>
      <c r="Q496" s="7" t="str">
        <f t="shared" si="148"/>
        <v>T083262
5</v>
      </c>
      <c r="R496" s="6" t="b">
        <f t="shared" si="149"/>
        <v>0</v>
      </c>
      <c r="S496" s="6" t="str">
        <f t="shared" si="150"/>
        <v>16</v>
      </c>
      <c r="T496" s="6" t="str">
        <f t="shared" si="151"/>
        <v>BAGS</v>
      </c>
      <c r="U496" s="6" t="str">
        <f t="shared" si="152"/>
        <v>bags</v>
      </c>
      <c r="V496" s="6">
        <f t="shared" si="153"/>
        <v>2</v>
      </c>
      <c r="W496" s="6" t="str">
        <f t="shared" si="154"/>
        <v>T083262 5</v>
      </c>
      <c r="X496" s="6" t="str">
        <f t="shared" si="155"/>
        <v>S55193</v>
      </c>
      <c r="Y496" s="6" t="str">
        <f t="shared" si="156"/>
        <v>T08</v>
      </c>
      <c r="Z496" s="6" t="str">
        <f t="shared" si="157"/>
        <v>262</v>
      </c>
      <c r="AA496" s="6">
        <f t="shared" si="158"/>
        <v>2</v>
      </c>
      <c r="AB496" s="6">
        <f t="shared" si="159"/>
        <v>4</v>
      </c>
      <c r="AC496" s="6"/>
      <c r="AD496" s="23"/>
    </row>
    <row r="497" spans="1:30" ht="30" x14ac:dyDescent="0.25">
      <c r="A497" s="2" t="s">
        <v>283</v>
      </c>
      <c r="B497" s="2" t="s">
        <v>1641</v>
      </c>
      <c r="C497" s="2" t="s">
        <v>1642</v>
      </c>
      <c r="D497" s="2" t="s">
        <v>64</v>
      </c>
      <c r="E497" s="2" t="s">
        <v>1553</v>
      </c>
      <c r="F497" s="2">
        <v>9</v>
      </c>
      <c r="G497" s="2" t="s">
        <v>35</v>
      </c>
      <c r="H497" s="2">
        <v>15.5</v>
      </c>
      <c r="I497" s="6">
        <f t="shared" si="145"/>
        <v>139.5</v>
      </c>
      <c r="J497" s="6">
        <f t="shared" si="162"/>
        <v>127</v>
      </c>
      <c r="K497" s="6">
        <f t="shared" si="163"/>
        <v>127</v>
      </c>
      <c r="L497" s="6">
        <f t="shared" si="146"/>
        <v>29</v>
      </c>
      <c r="M497" s="6">
        <f t="shared" si="165"/>
        <v>3</v>
      </c>
      <c r="N497" s="6" t="b">
        <f t="shared" si="147"/>
        <v>0</v>
      </c>
      <c r="O497" s="6" t="b">
        <f t="shared" si="161"/>
        <v>1</v>
      </c>
      <c r="P497" s="6" t="str">
        <f t="shared" si="160"/>
        <v>C007013-cans</v>
      </c>
      <c r="Q497" s="7" t="str">
        <f t="shared" si="148"/>
        <v>T098609
9</v>
      </c>
      <c r="R497" s="6" t="b">
        <f t="shared" si="149"/>
        <v>0</v>
      </c>
      <c r="S497" s="6" t="str">
        <f t="shared" si="150"/>
        <v>07</v>
      </c>
      <c r="T497" s="6" t="str">
        <f t="shared" si="151"/>
        <v>CANS</v>
      </c>
      <c r="U497" s="6" t="str">
        <f t="shared" si="152"/>
        <v>cans</v>
      </c>
      <c r="V497" s="6">
        <f t="shared" si="153"/>
        <v>2</v>
      </c>
      <c r="W497" s="6" t="str">
        <f t="shared" si="154"/>
        <v>T098609 9</v>
      </c>
      <c r="X497" s="6" t="str">
        <f t="shared" si="155"/>
        <v>S55255</v>
      </c>
      <c r="Y497" s="6" t="str">
        <f t="shared" si="156"/>
        <v>T09</v>
      </c>
      <c r="Z497" s="6" t="str">
        <f t="shared" si="157"/>
        <v>609</v>
      </c>
      <c r="AA497" s="6">
        <f t="shared" si="158"/>
        <v>2</v>
      </c>
      <c r="AB497" s="6">
        <f t="shared" si="159"/>
        <v>4</v>
      </c>
      <c r="AC497" s="6"/>
      <c r="AD497" s="23"/>
    </row>
    <row r="498" spans="1:30" ht="30" x14ac:dyDescent="0.25">
      <c r="A498" s="2" t="s">
        <v>173</v>
      </c>
      <c r="B498" s="2" t="s">
        <v>686</v>
      </c>
      <c r="C498" s="2" t="s">
        <v>1643</v>
      </c>
      <c r="D498" s="2" t="s">
        <v>85</v>
      </c>
      <c r="E498" s="2" t="s">
        <v>511</v>
      </c>
      <c r="F498" s="2">
        <v>10</v>
      </c>
      <c r="G498" s="2" t="s">
        <v>60</v>
      </c>
      <c r="H498" s="2">
        <v>20</v>
      </c>
      <c r="I498" s="6">
        <f t="shared" si="145"/>
        <v>200</v>
      </c>
      <c r="J498" s="6">
        <f t="shared" si="162"/>
        <v>48</v>
      </c>
      <c r="K498" s="6">
        <f t="shared" si="163"/>
        <v>46</v>
      </c>
      <c r="L498" s="6">
        <f t="shared" si="146"/>
        <v>53</v>
      </c>
      <c r="M498" s="6">
        <f t="shared" si="165"/>
        <v>3</v>
      </c>
      <c r="N498" s="6" t="b">
        <f t="shared" si="147"/>
        <v>0</v>
      </c>
      <c r="O498" s="6" t="b">
        <f t="shared" si="161"/>
        <v>1</v>
      </c>
      <c r="P498" s="6" t="str">
        <f t="shared" si="160"/>
        <v>C007170-bottles</v>
      </c>
      <c r="Q498" s="7" t="str">
        <f t="shared" si="148"/>
        <v>T086214
10</v>
      </c>
      <c r="R498" s="6" t="b">
        <f t="shared" si="149"/>
        <v>0</v>
      </c>
      <c r="S498" s="6" t="str">
        <f t="shared" si="150"/>
        <v>06</v>
      </c>
      <c r="T498" s="6" t="str">
        <f t="shared" si="151"/>
        <v>BOTTLES</v>
      </c>
      <c r="U498" s="6" t="str">
        <f t="shared" si="152"/>
        <v>bottles</v>
      </c>
      <c r="V498" s="6">
        <f t="shared" si="153"/>
        <v>2</v>
      </c>
      <c r="W498" s="6" t="str">
        <f t="shared" si="154"/>
        <v>T086214 10</v>
      </c>
      <c r="X498" s="6" t="str">
        <f t="shared" si="155"/>
        <v>S55664</v>
      </c>
      <c r="Y498" s="6" t="str">
        <f t="shared" si="156"/>
        <v>T08</v>
      </c>
      <c r="Z498" s="6" t="str">
        <f t="shared" si="157"/>
        <v>214</v>
      </c>
      <c r="AA498" s="6">
        <f t="shared" si="158"/>
        <v>2</v>
      </c>
      <c r="AB498" s="6">
        <f t="shared" si="159"/>
        <v>7</v>
      </c>
      <c r="AC498" s="6"/>
      <c r="AD498" s="23"/>
    </row>
    <row r="499" spans="1:30" ht="30" x14ac:dyDescent="0.25">
      <c r="A499" s="2" t="s">
        <v>240</v>
      </c>
      <c r="B499" s="2" t="s">
        <v>1644</v>
      </c>
      <c r="C499" s="2" t="s">
        <v>1645</v>
      </c>
      <c r="D499" s="2" t="s">
        <v>1646</v>
      </c>
      <c r="E499" s="2" t="s">
        <v>1553</v>
      </c>
      <c r="F499" s="2">
        <v>3</v>
      </c>
      <c r="G499" s="2" t="s">
        <v>13</v>
      </c>
      <c r="H499" s="2">
        <v>19</v>
      </c>
      <c r="I499" s="6">
        <f t="shared" si="145"/>
        <v>57</v>
      </c>
      <c r="J499" s="6">
        <f t="shared" si="162"/>
        <v>355</v>
      </c>
      <c r="K499" s="6">
        <f t="shared" si="163"/>
        <v>354</v>
      </c>
      <c r="L499" s="6">
        <f t="shared" si="146"/>
        <v>125.5</v>
      </c>
      <c r="M499" s="6">
        <f t="shared" si="165"/>
        <v>7</v>
      </c>
      <c r="N499" s="6" t="b">
        <f t="shared" si="147"/>
        <v>0</v>
      </c>
      <c r="O499" s="6" t="b">
        <f t="shared" si="161"/>
        <v>1</v>
      </c>
      <c r="P499" s="6" t="str">
        <f t="shared" si="160"/>
        <v>C003365-ct</v>
      </c>
      <c r="Q499" s="7" t="str">
        <f t="shared" si="148"/>
        <v>T069478
3</v>
      </c>
      <c r="R499" s="6" t="b">
        <f t="shared" si="149"/>
        <v>0</v>
      </c>
      <c r="S499" s="6" t="str">
        <f t="shared" si="150"/>
        <v>17</v>
      </c>
      <c r="T499" s="6" t="str">
        <f t="shared" si="151"/>
        <v>CT</v>
      </c>
      <c r="U499" s="6" t="str">
        <f t="shared" si="152"/>
        <v>ct</v>
      </c>
      <c r="V499" s="6">
        <f t="shared" si="153"/>
        <v>2</v>
      </c>
      <c r="W499" s="6" t="str">
        <f t="shared" si="154"/>
        <v>T069478 3</v>
      </c>
      <c r="X499" s="6" t="str">
        <f t="shared" si="155"/>
        <v>S55255</v>
      </c>
      <c r="Y499" s="6" t="str">
        <f t="shared" si="156"/>
        <v>T06</v>
      </c>
      <c r="Z499" s="6" t="str">
        <f t="shared" si="157"/>
        <v>478</v>
      </c>
      <c r="AA499" s="6">
        <f t="shared" si="158"/>
        <v>2</v>
      </c>
      <c r="AB499" s="6">
        <f t="shared" si="159"/>
        <v>2</v>
      </c>
      <c r="AC499" s="6"/>
      <c r="AD499" s="23"/>
    </row>
    <row r="500" spans="1:30" ht="30" x14ac:dyDescent="0.25">
      <c r="A500" s="2" t="s">
        <v>91</v>
      </c>
      <c r="B500" s="2" t="s">
        <v>1647</v>
      </c>
      <c r="C500" s="2" t="s">
        <v>1648</v>
      </c>
      <c r="D500" s="2" t="s">
        <v>1649</v>
      </c>
      <c r="E500" s="2" t="s">
        <v>1461</v>
      </c>
      <c r="F500" s="2">
        <v>4</v>
      </c>
      <c r="G500" s="2" t="s">
        <v>60</v>
      </c>
      <c r="H500" s="2">
        <v>13</v>
      </c>
      <c r="I500" s="6">
        <f t="shared" si="145"/>
        <v>52</v>
      </c>
      <c r="J500" s="6">
        <f t="shared" si="162"/>
        <v>371</v>
      </c>
      <c r="K500" s="6">
        <f t="shared" si="163"/>
        <v>370</v>
      </c>
      <c r="L500" s="6">
        <f t="shared" si="146"/>
        <v>33</v>
      </c>
      <c r="M500" s="6">
        <f t="shared" si="165"/>
        <v>2</v>
      </c>
      <c r="N500" s="6" t="b">
        <f t="shared" si="147"/>
        <v>0</v>
      </c>
      <c r="O500" s="6" t="b">
        <f t="shared" si="161"/>
        <v>1</v>
      </c>
      <c r="P500" s="6" t="str">
        <f t="shared" si="160"/>
        <v>C003314-bottles</v>
      </c>
      <c r="Q500" s="7" t="str">
        <f t="shared" si="148"/>
        <v>T04209
4</v>
      </c>
      <c r="R500" s="6" t="b">
        <f t="shared" si="149"/>
        <v>0</v>
      </c>
      <c r="S500" s="6" t="str">
        <f t="shared" si="150"/>
        <v>09</v>
      </c>
      <c r="T500" s="6" t="str">
        <f t="shared" si="151"/>
        <v>BOTTLES</v>
      </c>
      <c r="U500" s="6" t="str">
        <f t="shared" si="152"/>
        <v>bottles</v>
      </c>
      <c r="V500" s="6">
        <f t="shared" si="153"/>
        <v>2</v>
      </c>
      <c r="W500" s="6" t="str">
        <f t="shared" si="154"/>
        <v>T04209 4</v>
      </c>
      <c r="X500" s="6" t="str">
        <f t="shared" si="155"/>
        <v>S55332</v>
      </c>
      <c r="Y500" s="6" t="str">
        <f t="shared" si="156"/>
        <v>T04</v>
      </c>
      <c r="Z500" s="6" t="str">
        <f t="shared" si="157"/>
        <v>209</v>
      </c>
      <c r="AA500" s="6">
        <f t="shared" si="158"/>
        <v>2</v>
      </c>
      <c r="AB500" s="6">
        <f t="shared" si="159"/>
        <v>7</v>
      </c>
      <c r="AC500" s="6"/>
      <c r="AD500" s="23"/>
    </row>
    <row r="501" spans="1:30" x14ac:dyDescent="0.25">
      <c r="H501" s="11" t="s">
        <v>2234</v>
      </c>
      <c r="I501" s="16">
        <f>SUM(I5:I500)</f>
        <v>52876</v>
      </c>
      <c r="J501" s="15"/>
      <c r="K501" s="14"/>
    </row>
    <row r="502" spans="1:30" x14ac:dyDescent="0.25">
      <c r="H502" s="11" t="s">
        <v>2235</v>
      </c>
      <c r="I502" s="16">
        <f>AVERAGE(I5:I501)</f>
        <v>212.78068410462777</v>
      </c>
    </row>
    <row r="503" spans="1:30" x14ac:dyDescent="0.25">
      <c r="H503" s="11" t="s">
        <v>2236</v>
      </c>
      <c r="I503" s="12">
        <f>COUNT(I5:I500)</f>
        <v>496</v>
      </c>
    </row>
    <row r="505" spans="1:30" ht="18.75" x14ac:dyDescent="0.3">
      <c r="A505" s="24"/>
    </row>
    <row r="506" spans="1:30" ht="18.75" x14ac:dyDescent="0.25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</v>
      </c>
      <c r="F506" s="1" t="s">
        <v>5</v>
      </c>
      <c r="G506" s="1" t="s">
        <v>6</v>
      </c>
      <c r="H506" s="1" t="s">
        <v>7</v>
      </c>
      <c r="J506" s="25" t="s">
        <v>3590</v>
      </c>
      <c r="K506" s="1" t="s">
        <v>0</v>
      </c>
      <c r="L506" s="1" t="s">
        <v>1</v>
      </c>
      <c r="M506" s="1" t="s">
        <v>2</v>
      </c>
      <c r="N506" s="1" t="s">
        <v>3</v>
      </c>
      <c r="O506" s="1" t="s">
        <v>4</v>
      </c>
      <c r="P506" s="1" t="s">
        <v>5</v>
      </c>
      <c r="Q506" s="1" t="s">
        <v>6</v>
      </c>
      <c r="R506" s="1" t="s">
        <v>7</v>
      </c>
    </row>
    <row r="507" spans="1:30" x14ac:dyDescent="0.25">
      <c r="A507" s="2" t="s">
        <v>8</v>
      </c>
      <c r="B507" s="2" t="s">
        <v>9</v>
      </c>
      <c r="C507" s="2" t="s">
        <v>10</v>
      </c>
      <c r="D507" s="2" t="s">
        <v>11</v>
      </c>
      <c r="E507" s="2" t="s">
        <v>12</v>
      </c>
      <c r="F507" s="2">
        <v>1</v>
      </c>
      <c r="G507" s="2" t="s">
        <v>13</v>
      </c>
      <c r="H507" s="2">
        <v>35</v>
      </c>
      <c r="K507" s="64" t="s">
        <v>82</v>
      </c>
      <c r="L507" s="26" t="str" cm="1">
        <f t="array" ref="L507:R507">_xlfn.XLOOKUP(K507,A507:A515,B507:H515)</f>
        <v>C006613</v>
      </c>
      <c r="M507" s="26" t="str">
        <v>T078755</v>
      </c>
      <c r="N507" s="26" t="str">
        <v>I00065</v>
      </c>
      <c r="O507" s="26" t="str">
        <v>S00540</v>
      </c>
      <c r="P507" s="26">
        <v>8</v>
      </c>
      <c r="Q507" s="26" t="str">
        <v>bottles</v>
      </c>
      <c r="R507" s="26">
        <v>20</v>
      </c>
    </row>
    <row r="508" spans="1:30" x14ac:dyDescent="0.25">
      <c r="A508" s="2" t="s">
        <v>20</v>
      </c>
      <c r="B508" s="2" t="s">
        <v>21</v>
      </c>
      <c r="C508" s="2" t="s">
        <v>22</v>
      </c>
      <c r="D508" s="2" t="s">
        <v>23</v>
      </c>
      <c r="E508" s="2" t="s">
        <v>24</v>
      </c>
      <c r="F508" s="2">
        <v>8</v>
      </c>
      <c r="G508" s="2" t="s">
        <v>13</v>
      </c>
      <c r="H508" s="2">
        <v>12.5</v>
      </c>
    </row>
    <row r="509" spans="1:30" ht="18.75" x14ac:dyDescent="0.3">
      <c r="A509" s="2" t="s">
        <v>25</v>
      </c>
      <c r="B509" s="2" t="s">
        <v>26</v>
      </c>
      <c r="C509" s="2" t="s">
        <v>27</v>
      </c>
      <c r="D509" s="2" t="s">
        <v>28</v>
      </c>
      <c r="E509" s="2" t="s">
        <v>29</v>
      </c>
      <c r="F509" s="2">
        <v>8</v>
      </c>
      <c r="G509" s="2" t="s">
        <v>13</v>
      </c>
      <c r="H509" s="2">
        <v>14</v>
      </c>
      <c r="J509" s="24" t="s">
        <v>3591</v>
      </c>
      <c r="K509" s="1" t="s">
        <v>0</v>
      </c>
      <c r="L509" s="1" t="s">
        <v>1</v>
      </c>
      <c r="M509" s="1" t="s">
        <v>3</v>
      </c>
      <c r="N509" s="1" t="s">
        <v>4</v>
      </c>
      <c r="O509" s="1" t="s">
        <v>4</v>
      </c>
      <c r="P509" s="1" t="s">
        <v>5</v>
      </c>
      <c r="Q509" s="1" t="s">
        <v>6</v>
      </c>
      <c r="R509" s="1" t="s">
        <v>7</v>
      </c>
    </row>
    <row r="510" spans="1:30" x14ac:dyDescent="0.25">
      <c r="A510" s="2" t="s">
        <v>66</v>
      </c>
      <c r="B510" s="2" t="s">
        <v>67</v>
      </c>
      <c r="C510" s="2" t="s">
        <v>68</v>
      </c>
      <c r="D510" s="2" t="s">
        <v>69</v>
      </c>
      <c r="E510" s="2" t="s">
        <v>70</v>
      </c>
      <c r="F510" s="2">
        <v>1</v>
      </c>
      <c r="G510" s="2" t="s">
        <v>13</v>
      </c>
      <c r="H510" s="2">
        <v>14</v>
      </c>
      <c r="K510" s="65" t="s">
        <v>66</v>
      </c>
      <c r="L510" s="64" t="str">
        <f>VLOOKUP(K510,A506:H515,2,FALSE)</f>
        <v>C008728</v>
      </c>
      <c r="M510" s="64" t="str">
        <f t="shared" ref="M510:O510" si="166">VLOOKUP(L510,B506:I515,2,FALSE)</f>
        <v>T010756</v>
      </c>
      <c r="N510" s="64" t="str">
        <f t="shared" si="166"/>
        <v>I00188</v>
      </c>
      <c r="O510" s="64" t="str">
        <f t="shared" si="166"/>
        <v>S0010</v>
      </c>
      <c r="P510" s="64" t="str">
        <f>VLOOKUP(N510,D506:K515,2,FALSE)</f>
        <v>S0010</v>
      </c>
      <c r="Q510" s="64">
        <f>VLOOKUP(P510,E506:L515,2,FALSE)</f>
        <v>1</v>
      </c>
      <c r="R510" s="64" t="str">
        <f>VLOOKUP(Q510,F506:M515,2,FALSE)</f>
        <v>ct</v>
      </c>
    </row>
    <row r="511" spans="1:30" x14ac:dyDescent="0.25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>
        <v>11</v>
      </c>
      <c r="G511" s="2" t="s">
        <v>35</v>
      </c>
      <c r="H511" s="2">
        <v>6.75</v>
      </c>
    </row>
    <row r="512" spans="1:30" ht="18.75" x14ac:dyDescent="0.3">
      <c r="A512" s="2" t="s">
        <v>76</v>
      </c>
      <c r="B512" s="2" t="s">
        <v>77</v>
      </c>
      <c r="C512" s="2" t="s">
        <v>78</v>
      </c>
      <c r="D512" s="2" t="s">
        <v>79</v>
      </c>
      <c r="E512" s="2" t="s">
        <v>80</v>
      </c>
      <c r="F512" s="2">
        <v>10</v>
      </c>
      <c r="G512" s="2" t="s">
        <v>13</v>
      </c>
      <c r="H512" s="2">
        <v>15</v>
      </c>
      <c r="J512" s="24" t="s">
        <v>3592</v>
      </c>
      <c r="K512" s="1" t="s">
        <v>0</v>
      </c>
      <c r="L512" s="1" t="s">
        <v>1</v>
      </c>
      <c r="M512" s="1" t="s">
        <v>3</v>
      </c>
      <c r="N512" s="1" t="s">
        <v>4</v>
      </c>
      <c r="O512" s="1" t="s">
        <v>4</v>
      </c>
      <c r="P512" s="1" t="s">
        <v>5</v>
      </c>
      <c r="Q512" s="1" t="s">
        <v>6</v>
      </c>
      <c r="R512" s="1" t="s">
        <v>7</v>
      </c>
    </row>
    <row r="513" spans="1:18" x14ac:dyDescent="0.25">
      <c r="A513" s="2" t="s">
        <v>82</v>
      </c>
      <c r="B513" s="2" t="s">
        <v>83</v>
      </c>
      <c r="C513" s="2" t="s">
        <v>84</v>
      </c>
      <c r="D513" s="2" t="s">
        <v>85</v>
      </c>
      <c r="E513" s="2" t="s">
        <v>86</v>
      </c>
      <c r="F513" s="2">
        <v>8</v>
      </c>
      <c r="G513" s="2" t="s">
        <v>60</v>
      </c>
      <c r="H513" s="2">
        <v>20</v>
      </c>
      <c r="K513" s="66" t="str">
        <f>HLOOKUP(K512,A506:H515,7,FALSE)</f>
        <v>P019</v>
      </c>
      <c r="L513" s="66" t="str">
        <f t="shared" ref="L513:N513" si="167">HLOOKUP(L512,B506:I515,7,FALSE)</f>
        <v>C003128</v>
      </c>
      <c r="M513" s="66" t="str">
        <f t="shared" si="167"/>
        <v>I00133</v>
      </c>
      <c r="N513" s="66" t="str">
        <f t="shared" si="167"/>
        <v>S00640</v>
      </c>
      <c r="O513" s="66" t="str">
        <f t="shared" ref="O513" si="168">HLOOKUP(O512,E506:L515,7,FALSE)</f>
        <v>S00640</v>
      </c>
      <c r="P513" s="66">
        <f t="shared" ref="P513" si="169">HLOOKUP(P512,F506:M515,7,FALSE)</f>
        <v>10</v>
      </c>
      <c r="Q513" s="66" t="str">
        <f t="shared" ref="Q513" si="170">HLOOKUP(Q512,G506:N515,7,FALSE)</f>
        <v>ct</v>
      </c>
      <c r="R513" s="66">
        <f t="shared" ref="R513" si="171">HLOOKUP(R512,H506:O515,7,FALSE)</f>
        <v>15</v>
      </c>
    </row>
    <row r="514" spans="1:18" x14ac:dyDescent="0.25">
      <c r="A514" s="2" t="s">
        <v>20</v>
      </c>
      <c r="B514" s="2" t="s">
        <v>87</v>
      </c>
      <c r="C514" s="2" t="s">
        <v>88</v>
      </c>
      <c r="D514" s="2" t="s">
        <v>89</v>
      </c>
      <c r="E514" s="2" t="s">
        <v>90</v>
      </c>
      <c r="F514" s="2">
        <v>10</v>
      </c>
      <c r="G514" s="2" t="s">
        <v>35</v>
      </c>
      <c r="H514" s="2">
        <v>6.75</v>
      </c>
    </row>
    <row r="515" spans="1:18" x14ac:dyDescent="0.25">
      <c r="A515" s="2" t="s">
        <v>91</v>
      </c>
      <c r="B515" s="2" t="s">
        <v>92</v>
      </c>
      <c r="C515" s="2" t="s">
        <v>93</v>
      </c>
      <c r="D515" s="2" t="s">
        <v>94</v>
      </c>
      <c r="E515" s="2" t="s">
        <v>95</v>
      </c>
      <c r="F515" s="2">
        <v>3</v>
      </c>
      <c r="G515" s="2" t="s">
        <v>13</v>
      </c>
      <c r="H515" s="2">
        <v>16</v>
      </c>
    </row>
  </sheetData>
  <sortState xmlns:xlrd2="http://schemas.microsoft.com/office/spreadsheetml/2017/richdata2" ref="AE5:AE500">
    <sortCondition ref="AE5:AE500"/>
  </sortState>
  <mergeCells count="3">
    <mergeCell ref="N3:O3"/>
    <mergeCell ref="P3:AB3"/>
    <mergeCell ref="AG3:AO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52C9-AA9C-4094-A4D9-81F9E9EEC2A8}">
  <sheetPr filterMode="1"/>
  <dimension ref="A2:AE294"/>
  <sheetViews>
    <sheetView workbookViewId="0">
      <selection activeCell="D13" sqref="D13"/>
    </sheetView>
  </sheetViews>
  <sheetFormatPr defaultRowHeight="15" x14ac:dyDescent="0.25"/>
  <cols>
    <col min="1" max="1" width="11.7109375" customWidth="1"/>
    <col min="2" max="2" width="41" bestFit="1" customWidth="1"/>
    <col min="3" max="3" width="26.28515625" bestFit="1" customWidth="1"/>
    <col min="4" max="4" width="12.85546875" customWidth="1"/>
    <col min="5" max="5" width="33" bestFit="1" customWidth="1"/>
    <col min="6" max="6" width="7.85546875" customWidth="1"/>
    <col min="7" max="7" width="10.7109375" customWidth="1"/>
    <col min="8" max="8" width="8.85546875" bestFit="1" customWidth="1"/>
    <col min="9" max="9" width="8.140625" bestFit="1" customWidth="1"/>
    <col min="10" max="10" width="7" bestFit="1" customWidth="1"/>
    <col min="11" max="11" width="7.28515625" bestFit="1" customWidth="1"/>
    <col min="12" max="12" width="11.42578125" bestFit="1" customWidth="1"/>
    <col min="13" max="13" width="10" bestFit="1" customWidth="1"/>
    <col min="14" max="14" width="43" bestFit="1" customWidth="1"/>
    <col min="15" max="15" width="21.28515625" customWidth="1"/>
    <col min="16" max="16" width="6.140625" bestFit="1" customWidth="1"/>
    <col min="17" max="17" width="4.42578125" bestFit="1" customWidth="1"/>
    <col min="18" max="19" width="6.42578125" bestFit="1" customWidth="1"/>
    <col min="20" max="20" width="6.85546875" bestFit="1" customWidth="1"/>
    <col min="21" max="21" width="12.140625" customWidth="1"/>
    <col min="22" max="22" width="7" customWidth="1"/>
    <col min="23" max="23" width="8.42578125" customWidth="1"/>
    <col min="24" max="24" width="8" customWidth="1"/>
    <col min="25" max="25" width="4.140625" customWidth="1"/>
    <col min="26" max="26" width="17.28515625" bestFit="1" customWidth="1"/>
    <col min="27" max="28" width="7" customWidth="1"/>
    <col min="29" max="29" width="15.5703125" customWidth="1"/>
    <col min="30" max="30" width="8.28515625" bestFit="1" customWidth="1"/>
    <col min="31" max="31" width="10.28515625" customWidth="1"/>
  </cols>
  <sheetData>
    <row r="2" spans="1:3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76" t="s">
        <v>3593</v>
      </c>
      <c r="M2" s="76"/>
      <c r="N2" s="77" t="s">
        <v>3594</v>
      </c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53"/>
      <c r="AA2" s="53"/>
      <c r="AC2" s="21" t="s">
        <v>54</v>
      </c>
      <c r="AD2" s="22"/>
      <c r="AE2" s="22"/>
    </row>
    <row r="3" spans="1:31" x14ac:dyDescent="0.25">
      <c r="A3" s="78" t="s">
        <v>3</v>
      </c>
      <c r="B3" s="78" t="s">
        <v>1788</v>
      </c>
      <c r="C3" s="78" t="s">
        <v>1789</v>
      </c>
      <c r="D3" s="78" t="s">
        <v>1790</v>
      </c>
      <c r="E3" s="78" t="s">
        <v>1791</v>
      </c>
      <c r="F3" s="78" t="s">
        <v>6</v>
      </c>
      <c r="G3" s="78" t="s">
        <v>7</v>
      </c>
      <c r="H3" s="4" t="s">
        <v>38</v>
      </c>
      <c r="I3" s="4" t="s">
        <v>39</v>
      </c>
      <c r="J3" s="4" t="s">
        <v>36</v>
      </c>
      <c r="K3" s="4" t="s">
        <v>37</v>
      </c>
      <c r="L3" s="4" t="s">
        <v>1652</v>
      </c>
      <c r="M3" s="4" t="s">
        <v>1651</v>
      </c>
      <c r="N3" s="4" t="s">
        <v>41</v>
      </c>
      <c r="O3" s="4" t="s">
        <v>52</v>
      </c>
      <c r="P3" s="4" t="s">
        <v>40</v>
      </c>
      <c r="Q3" s="4" t="s">
        <v>45</v>
      </c>
      <c r="R3" s="4" t="s">
        <v>46</v>
      </c>
      <c r="S3" s="4" t="s">
        <v>47</v>
      </c>
      <c r="T3" s="4" t="s">
        <v>49</v>
      </c>
      <c r="U3" s="4" t="s">
        <v>50</v>
      </c>
      <c r="V3" s="4" t="s">
        <v>43</v>
      </c>
      <c r="W3" s="4" t="s">
        <v>44</v>
      </c>
      <c r="X3" s="4" t="s">
        <v>42</v>
      </c>
      <c r="Y3" s="4" t="s">
        <v>48</v>
      </c>
      <c r="Z3" s="4" t="s">
        <v>81</v>
      </c>
      <c r="AA3" s="4" t="s">
        <v>53</v>
      </c>
      <c r="AC3" s="9" t="s">
        <v>1791</v>
      </c>
      <c r="AD3" s="9" t="s">
        <v>6</v>
      </c>
      <c r="AE3" s="9" t="s">
        <v>7</v>
      </c>
    </row>
    <row r="4" spans="1:31" ht="30" x14ac:dyDescent="0.25">
      <c r="A4" s="79" t="s">
        <v>1653</v>
      </c>
      <c r="B4" s="79" t="s">
        <v>1654</v>
      </c>
      <c r="C4" s="79" t="s">
        <v>1655</v>
      </c>
      <c r="D4" s="79" t="s">
        <v>1656</v>
      </c>
      <c r="E4" s="79" t="s">
        <v>1657</v>
      </c>
      <c r="F4" s="79" t="s">
        <v>35</v>
      </c>
      <c r="G4" s="79">
        <v>11.5</v>
      </c>
      <c r="H4" s="53">
        <f t="shared" ref="H4:H67" si="0">_xlfn.RANK.AVG(G4,$G$4:$G$266)</f>
        <v>222</v>
      </c>
      <c r="I4" s="53">
        <f t="shared" ref="I4:I67" si="1">_xlfn.RANK.EQ(G4,$G$4:$G$266)</f>
        <v>221</v>
      </c>
      <c r="J4" s="53">
        <f t="shared" ref="J4:J67" si="2">SUMIF($D$4:$D$266,D4,$G$4:$G$266)</f>
        <v>460</v>
      </c>
      <c r="K4" s="53">
        <f>COUNTIF(D4:D267,D4)</f>
        <v>26</v>
      </c>
      <c r="L4" s="53" t="b">
        <f t="shared" ref="L4:L67" si="3">AND(G4&lt;20,D4&gt;10)</f>
        <v>1</v>
      </c>
      <c r="M4" s="53" t="b">
        <f t="shared" ref="M4:M67" si="4">OR(G4&lt;20,D4&gt;10)</f>
        <v>1</v>
      </c>
      <c r="N4" s="53" t="str">
        <f>_xlfn.CONCAT(D4,"-",E4)</f>
        <v>Netherlands-Bolsius Boxmeer</v>
      </c>
      <c r="O4" s="68" t="str">
        <f>_xlfn.CONCAT(D4,CHAR(10),F4)</f>
        <v>Netherlands
cans</v>
      </c>
      <c r="P4" s="53" t="b">
        <f>EXACT(E4,D4)</f>
        <v>0</v>
      </c>
      <c r="Q4" s="53"/>
      <c r="R4" s="53" t="str">
        <f>UPPER(F4)</f>
        <v>CANS</v>
      </c>
      <c r="S4" s="53" t="str">
        <f>LOWER(F4)</f>
        <v>cans</v>
      </c>
      <c r="T4" s="53">
        <f>SEARCH("0",A4)</f>
        <v>2</v>
      </c>
      <c r="U4" s="53" t="str">
        <f>SUBSTITUTE(D4,"e","o")</f>
        <v>Nothorlands</v>
      </c>
      <c r="V4" s="53" t="str">
        <f>LEFT(B4,"5")</f>
        <v>A&amp;W R</v>
      </c>
      <c r="W4" s="53" t="str">
        <f>RIGHT(E4,"3")</f>
        <v>eer</v>
      </c>
      <c r="X4" s="53">
        <f>FIND("a",F4)</f>
        <v>2</v>
      </c>
      <c r="Y4" s="53"/>
      <c r="Z4" s="53" t="s">
        <v>1656</v>
      </c>
      <c r="AA4" s="53" t="s">
        <v>1653</v>
      </c>
      <c r="AC4" s="8" t="s">
        <v>1657</v>
      </c>
      <c r="AD4" s="8" t="s">
        <v>35</v>
      </c>
      <c r="AE4" s="8">
        <v>11.5</v>
      </c>
    </row>
    <row r="5" spans="1:31" ht="30" hidden="1" x14ac:dyDescent="0.25">
      <c r="A5" s="8" t="s">
        <v>1544</v>
      </c>
      <c r="B5" s="8" t="s">
        <v>1658</v>
      </c>
      <c r="C5" s="8" t="s">
        <v>1655</v>
      </c>
      <c r="D5" s="8" t="s">
        <v>1659</v>
      </c>
      <c r="E5" s="8" t="s">
        <v>1660</v>
      </c>
      <c r="F5" s="8" t="s">
        <v>35</v>
      </c>
      <c r="G5" s="8">
        <v>6.75</v>
      </c>
      <c r="H5">
        <f t="shared" si="0"/>
        <v>251.5</v>
      </c>
      <c r="I5">
        <f t="shared" si="1"/>
        <v>242</v>
      </c>
      <c r="J5">
        <f t="shared" si="2"/>
        <v>484.25</v>
      </c>
      <c r="K5">
        <f t="shared" ref="K5:K68" si="5">COUNTIF(D5:D268,D5)</f>
        <v>28</v>
      </c>
      <c r="L5" t="b">
        <f t="shared" si="3"/>
        <v>1</v>
      </c>
      <c r="M5" t="b">
        <f t="shared" si="4"/>
        <v>1</v>
      </c>
      <c r="N5" t="str">
        <f t="shared" ref="N5:N68" si="6">_xlfn.CONCAT(D5,"-",E5)</f>
        <v>poland-CHROMADURLIN S.A.S</v>
      </c>
      <c r="O5" s="10" t="str">
        <f>_xlfn.CONCAT(D5,CHAR(10),F5)</f>
        <v>poland
cans</v>
      </c>
      <c r="P5" t="b">
        <f t="shared" ref="P5:P68" si="7">EXACT(E5,D5)</f>
        <v>0</v>
      </c>
      <c r="R5" t="str">
        <f t="shared" ref="R5:R68" si="8">UPPER(F5)</f>
        <v>CANS</v>
      </c>
      <c r="S5" t="str">
        <f t="shared" ref="S5:S68" si="9">LOWER(F5)</f>
        <v>cans</v>
      </c>
      <c r="Z5" s="8" t="s">
        <v>1659</v>
      </c>
      <c r="AA5" s="8" t="s">
        <v>1563</v>
      </c>
      <c r="AB5" s="8"/>
      <c r="AC5" s="8" t="s">
        <v>1660</v>
      </c>
      <c r="AD5" s="8" t="s">
        <v>35</v>
      </c>
      <c r="AE5" s="8">
        <v>6.75</v>
      </c>
    </row>
    <row r="6" spans="1:31" ht="30" hidden="1" x14ac:dyDescent="0.25">
      <c r="A6" s="8" t="s">
        <v>233</v>
      </c>
      <c r="B6" s="8" t="s">
        <v>1661</v>
      </c>
      <c r="C6" s="8" t="s">
        <v>1655</v>
      </c>
      <c r="D6" s="8" t="s">
        <v>1662</v>
      </c>
      <c r="E6" s="8" t="s">
        <v>1663</v>
      </c>
      <c r="F6" s="8" t="s">
        <v>35</v>
      </c>
      <c r="G6" s="8">
        <v>6.75</v>
      </c>
      <c r="H6">
        <f t="shared" si="0"/>
        <v>251.5</v>
      </c>
      <c r="I6">
        <f t="shared" si="1"/>
        <v>242</v>
      </c>
      <c r="J6">
        <f t="shared" si="2"/>
        <v>587.25</v>
      </c>
      <c r="K6">
        <f t="shared" si="5"/>
        <v>34</v>
      </c>
      <c r="L6" t="b">
        <f t="shared" si="3"/>
        <v>1</v>
      </c>
      <c r="M6" t="b">
        <f t="shared" si="4"/>
        <v>1</v>
      </c>
      <c r="N6" t="str">
        <f t="shared" si="6"/>
        <v>Bangladesh-DENIMACH LTD</v>
      </c>
      <c r="O6" s="10" t="str">
        <f t="shared" ref="O6:O69" si="10">_xlfn.CONCAT(D6,CHAR(10),F6)</f>
        <v>Bangladesh
cans</v>
      </c>
      <c r="P6" t="b">
        <f t="shared" si="7"/>
        <v>0</v>
      </c>
      <c r="R6" t="str">
        <f t="shared" si="8"/>
        <v>CANS</v>
      </c>
      <c r="S6" t="str">
        <f t="shared" si="9"/>
        <v>cans</v>
      </c>
      <c r="Z6" s="8" t="s">
        <v>1662</v>
      </c>
      <c r="AA6" s="8" t="s">
        <v>252</v>
      </c>
      <c r="AB6" s="8"/>
      <c r="AC6" s="8" t="s">
        <v>1663</v>
      </c>
      <c r="AD6" s="8" t="s">
        <v>35</v>
      </c>
      <c r="AE6" s="8">
        <v>6.75</v>
      </c>
    </row>
    <row r="7" spans="1:31" ht="30" x14ac:dyDescent="0.25">
      <c r="A7" s="79" t="s">
        <v>1563</v>
      </c>
      <c r="B7" s="79" t="s">
        <v>1664</v>
      </c>
      <c r="C7" s="79" t="s">
        <v>1655</v>
      </c>
      <c r="D7" s="79" t="s">
        <v>1656</v>
      </c>
      <c r="E7" s="79" t="s">
        <v>1657</v>
      </c>
      <c r="F7" s="79" t="s">
        <v>35</v>
      </c>
      <c r="G7" s="79">
        <v>6.75</v>
      </c>
      <c r="H7" s="53">
        <f t="shared" si="0"/>
        <v>251.5</v>
      </c>
      <c r="I7" s="53">
        <f t="shared" si="1"/>
        <v>242</v>
      </c>
      <c r="J7" s="53">
        <f t="shared" si="2"/>
        <v>460</v>
      </c>
      <c r="K7" s="53">
        <f t="shared" si="5"/>
        <v>25</v>
      </c>
      <c r="L7" s="53" t="b">
        <f t="shared" si="3"/>
        <v>1</v>
      </c>
      <c r="M7" s="53" t="b">
        <f t="shared" si="4"/>
        <v>1</v>
      </c>
      <c r="N7" s="53" t="str">
        <f t="shared" si="6"/>
        <v>Netherlands-Bolsius Boxmeer</v>
      </c>
      <c r="O7" s="68" t="str">
        <f t="shared" si="10"/>
        <v>Netherlands
cans</v>
      </c>
      <c r="P7" s="53" t="b">
        <f t="shared" si="7"/>
        <v>0</v>
      </c>
      <c r="Q7" s="53"/>
      <c r="R7" s="53" t="str">
        <f t="shared" si="8"/>
        <v>CANS</v>
      </c>
      <c r="S7" s="53" t="str">
        <f t="shared" si="9"/>
        <v>cans</v>
      </c>
      <c r="T7" s="53">
        <f>SEARCH("0",A7)</f>
        <v>2</v>
      </c>
      <c r="U7" s="53" t="str">
        <f>SUBSTITUTE(D7,"e","o")</f>
        <v>Nothorlands</v>
      </c>
      <c r="V7" s="53" t="str">
        <f>LEFT(B7,"5")</f>
        <v>Cherr</v>
      </c>
      <c r="W7" s="53" t="str">
        <f>RIGHT(E7,"3")</f>
        <v>eer</v>
      </c>
      <c r="X7" s="53">
        <f>FIND("a",F7)</f>
        <v>2</v>
      </c>
      <c r="Y7" s="53"/>
      <c r="Z7" s="53" t="s">
        <v>1666</v>
      </c>
      <c r="AA7" s="53" t="s">
        <v>397</v>
      </c>
      <c r="AC7" s="8" t="s">
        <v>1657</v>
      </c>
      <c r="AD7" s="8" t="s">
        <v>35</v>
      </c>
      <c r="AE7" s="8">
        <v>6.75</v>
      </c>
    </row>
    <row r="8" spans="1:31" ht="30" hidden="1" x14ac:dyDescent="0.25">
      <c r="A8" s="8" t="s">
        <v>1037</v>
      </c>
      <c r="B8" s="8" t="s">
        <v>1665</v>
      </c>
      <c r="C8" s="8" t="s">
        <v>1655</v>
      </c>
      <c r="D8" s="8" t="s">
        <v>1666</v>
      </c>
      <c r="E8" s="8" t="s">
        <v>1667</v>
      </c>
      <c r="F8" s="8" t="s">
        <v>35</v>
      </c>
      <c r="G8" s="8">
        <v>6.75</v>
      </c>
      <c r="H8">
        <f t="shared" si="0"/>
        <v>251.5</v>
      </c>
      <c r="I8">
        <f t="shared" si="1"/>
        <v>242</v>
      </c>
      <c r="J8">
        <f t="shared" si="2"/>
        <v>415.25</v>
      </c>
      <c r="K8">
        <f t="shared" si="5"/>
        <v>27</v>
      </c>
      <c r="L8" t="b">
        <f t="shared" si="3"/>
        <v>1</v>
      </c>
      <c r="M8" t="b">
        <f t="shared" si="4"/>
        <v>1</v>
      </c>
      <c r="N8" t="str">
        <f t="shared" si="6"/>
        <v>Finland-HARDFORD AB</v>
      </c>
      <c r="O8" s="10" t="str">
        <f t="shared" si="10"/>
        <v>Finland
cans</v>
      </c>
      <c r="P8" t="b">
        <f t="shared" si="7"/>
        <v>0</v>
      </c>
      <c r="R8" t="str">
        <f t="shared" si="8"/>
        <v>CANS</v>
      </c>
      <c r="S8" t="str">
        <f t="shared" si="9"/>
        <v>cans</v>
      </c>
      <c r="Z8" s="8" t="s">
        <v>1669</v>
      </c>
      <c r="AA8" s="8" t="s">
        <v>836</v>
      </c>
      <c r="AB8" s="8"/>
      <c r="AC8" s="8" t="s">
        <v>1667</v>
      </c>
      <c r="AD8" s="8" t="s">
        <v>35</v>
      </c>
      <c r="AE8" s="8">
        <v>6.75</v>
      </c>
    </row>
    <row r="9" spans="1:31" ht="30" hidden="1" x14ac:dyDescent="0.25">
      <c r="A9" s="8" t="s">
        <v>623</v>
      </c>
      <c r="B9" s="8" t="s">
        <v>1668</v>
      </c>
      <c r="C9" s="8" t="s">
        <v>1655</v>
      </c>
      <c r="D9" s="8" t="s">
        <v>1669</v>
      </c>
      <c r="E9" s="8" t="s">
        <v>1670</v>
      </c>
      <c r="F9" s="8" t="s">
        <v>35</v>
      </c>
      <c r="G9" s="8">
        <v>16.25</v>
      </c>
      <c r="H9">
        <f t="shared" si="0"/>
        <v>115.5</v>
      </c>
      <c r="I9">
        <f t="shared" si="1"/>
        <v>112</v>
      </c>
      <c r="J9">
        <f t="shared" si="2"/>
        <v>514.5</v>
      </c>
      <c r="K9">
        <f t="shared" si="5"/>
        <v>26</v>
      </c>
      <c r="L9" t="b">
        <f t="shared" si="3"/>
        <v>1</v>
      </c>
      <c r="M9" t="b">
        <f t="shared" si="4"/>
        <v>1</v>
      </c>
      <c r="N9" t="str">
        <f t="shared" si="6"/>
        <v>Lithuania-BIGSO AB</v>
      </c>
      <c r="O9" s="10" t="str">
        <f t="shared" si="10"/>
        <v>Lithuania
cans</v>
      </c>
      <c r="P9" t="b">
        <f t="shared" si="7"/>
        <v>0</v>
      </c>
      <c r="R9" t="str">
        <f t="shared" si="8"/>
        <v>CANS</v>
      </c>
      <c r="S9" t="str">
        <f t="shared" si="9"/>
        <v>cans</v>
      </c>
      <c r="Z9" s="8" t="s">
        <v>1671</v>
      </c>
      <c r="AA9" s="8" t="s">
        <v>389</v>
      </c>
      <c r="AB9" s="8"/>
      <c r="AC9" s="8" t="s">
        <v>1670</v>
      </c>
      <c r="AD9" s="8" t="s">
        <v>35</v>
      </c>
      <c r="AE9" s="8">
        <v>16.25</v>
      </c>
    </row>
    <row r="10" spans="1:31" ht="30" x14ac:dyDescent="0.25">
      <c r="A10" s="79" t="s">
        <v>252</v>
      </c>
      <c r="B10" s="79" t="s">
        <v>1668</v>
      </c>
      <c r="C10" s="79" t="s">
        <v>1655</v>
      </c>
      <c r="D10" s="79" t="s">
        <v>1671</v>
      </c>
      <c r="E10" s="79" t="s">
        <v>1672</v>
      </c>
      <c r="F10" s="79" t="s">
        <v>35</v>
      </c>
      <c r="G10" s="79">
        <v>6.75</v>
      </c>
      <c r="H10" s="53">
        <f t="shared" si="0"/>
        <v>251.5</v>
      </c>
      <c r="I10" s="53">
        <f t="shared" si="1"/>
        <v>242</v>
      </c>
      <c r="J10" s="53">
        <f t="shared" si="2"/>
        <v>561.5</v>
      </c>
      <c r="K10" s="53">
        <f>COUNTIF(D10:D272,D10)</f>
        <v>32</v>
      </c>
      <c r="L10" s="53" t="b">
        <f t="shared" si="3"/>
        <v>1</v>
      </c>
      <c r="M10" s="53" t="b">
        <f t="shared" si="4"/>
        <v>1</v>
      </c>
      <c r="N10" s="53" t="str">
        <f t="shared" si="6"/>
        <v>India-Indo Count Industries Ltd</v>
      </c>
      <c r="O10" s="68" t="str">
        <f t="shared" si="10"/>
        <v>India
cans</v>
      </c>
      <c r="P10" s="53" t="b">
        <f t="shared" si="7"/>
        <v>0</v>
      </c>
      <c r="Q10" s="53"/>
      <c r="R10" s="53" t="str">
        <f t="shared" si="8"/>
        <v>CANS</v>
      </c>
      <c r="S10" s="53" t="str">
        <f t="shared" si="9"/>
        <v>cans</v>
      </c>
      <c r="T10" s="53">
        <f t="shared" ref="T10:T73" si="11">SEARCH("0",A10)</f>
        <v>2</v>
      </c>
      <c r="U10" s="53" t="str">
        <f t="shared" ref="U10:U73" si="12">SUBSTITUTE(D10,"e","o")</f>
        <v>India</v>
      </c>
      <c r="V10" s="53" t="str">
        <f t="shared" ref="V10:V73" si="13">LEFT(B10,"5")</f>
        <v xml:space="preserve">Coke </v>
      </c>
      <c r="W10" s="53" t="str">
        <f t="shared" ref="W10:W73" si="14">RIGHT(E10,"3")</f>
        <v>Ltd</v>
      </c>
      <c r="X10" s="53">
        <f t="shared" ref="X10:X73" si="15">FIND("a",F10)</f>
        <v>2</v>
      </c>
      <c r="Y10" s="53"/>
      <c r="Z10" s="53" t="s">
        <v>1676</v>
      </c>
      <c r="AA10" s="53" t="s">
        <v>1417</v>
      </c>
    </row>
    <row r="11" spans="1:31" ht="30" x14ac:dyDescent="0.25">
      <c r="A11" s="79" t="s">
        <v>397</v>
      </c>
      <c r="B11" s="79" t="s">
        <v>1673</v>
      </c>
      <c r="C11" s="79" t="s">
        <v>1655</v>
      </c>
      <c r="D11" s="79" t="s">
        <v>1671</v>
      </c>
      <c r="E11" s="79" t="s">
        <v>1672</v>
      </c>
      <c r="F11" s="79" t="s">
        <v>35</v>
      </c>
      <c r="G11" s="79">
        <v>16.25</v>
      </c>
      <c r="H11" s="53">
        <f t="shared" si="0"/>
        <v>115.5</v>
      </c>
      <c r="I11" s="53">
        <f t="shared" si="1"/>
        <v>112</v>
      </c>
      <c r="J11" s="53">
        <f t="shared" si="2"/>
        <v>561.5</v>
      </c>
      <c r="K11" s="53">
        <f>COUNTIF(D11:D272,D11)</f>
        <v>31</v>
      </c>
      <c r="L11" s="53" t="b">
        <f t="shared" si="3"/>
        <v>1</v>
      </c>
      <c r="M11" s="53" t="b">
        <f t="shared" si="4"/>
        <v>1</v>
      </c>
      <c r="N11" s="53" t="str">
        <f t="shared" si="6"/>
        <v>India-Indo Count Industries Ltd</v>
      </c>
      <c r="O11" s="68" t="str">
        <f t="shared" si="10"/>
        <v>India
cans</v>
      </c>
      <c r="P11" s="53" t="b">
        <f t="shared" si="7"/>
        <v>0</v>
      </c>
      <c r="Q11" s="53"/>
      <c r="R11" s="53" t="str">
        <f t="shared" si="8"/>
        <v>CANS</v>
      </c>
      <c r="S11" s="53" t="str">
        <f t="shared" si="9"/>
        <v>cans</v>
      </c>
      <c r="T11" s="53">
        <f t="shared" si="11"/>
        <v>2</v>
      </c>
      <c r="U11" s="53" t="str">
        <f t="shared" si="12"/>
        <v>India</v>
      </c>
      <c r="V11" s="53" t="str">
        <f t="shared" si="13"/>
        <v xml:space="preserve">Coke </v>
      </c>
      <c r="W11" s="53" t="str">
        <f t="shared" si="14"/>
        <v>Ltd</v>
      </c>
      <c r="X11" s="53">
        <f t="shared" si="15"/>
        <v>2</v>
      </c>
      <c r="Y11" s="53"/>
      <c r="Z11" s="53" t="s">
        <v>1680</v>
      </c>
      <c r="AA11" s="53" t="s">
        <v>1678</v>
      </c>
      <c r="AC11" s="9" t="s">
        <v>1791</v>
      </c>
    </row>
    <row r="12" spans="1:31" ht="30" x14ac:dyDescent="0.25">
      <c r="A12" s="79" t="s">
        <v>836</v>
      </c>
      <c r="B12" s="79" t="s">
        <v>1674</v>
      </c>
      <c r="C12" s="79" t="s">
        <v>1655</v>
      </c>
      <c r="D12" s="79" t="s">
        <v>1656</v>
      </c>
      <c r="E12" s="79" t="s">
        <v>1657</v>
      </c>
      <c r="F12" s="79" t="s">
        <v>35</v>
      </c>
      <c r="G12" s="79">
        <v>16.25</v>
      </c>
      <c r="H12" s="53">
        <f t="shared" si="0"/>
        <v>115.5</v>
      </c>
      <c r="I12" s="53">
        <f t="shared" si="1"/>
        <v>112</v>
      </c>
      <c r="J12" s="53">
        <f t="shared" si="2"/>
        <v>460</v>
      </c>
      <c r="K12" s="53">
        <f>COUNTIF(D12:D272,D12)</f>
        <v>24</v>
      </c>
      <c r="L12" s="53" t="b">
        <f t="shared" si="3"/>
        <v>1</v>
      </c>
      <c r="M12" s="53" t="b">
        <f t="shared" si="4"/>
        <v>1</v>
      </c>
      <c r="N12" s="53" t="str">
        <f t="shared" si="6"/>
        <v>Netherlands-Bolsius Boxmeer</v>
      </c>
      <c r="O12" s="68" t="str">
        <f t="shared" si="10"/>
        <v>Netherlands
cans</v>
      </c>
      <c r="P12" s="53" t="b">
        <f t="shared" si="7"/>
        <v>0</v>
      </c>
      <c r="Q12" s="53"/>
      <c r="R12" s="53" t="str">
        <f t="shared" si="8"/>
        <v>CANS</v>
      </c>
      <c r="S12" s="53" t="str">
        <f t="shared" si="9"/>
        <v>cans</v>
      </c>
      <c r="T12" s="53">
        <f t="shared" si="11"/>
        <v>2</v>
      </c>
      <c r="U12" s="53" t="str">
        <f t="shared" si="12"/>
        <v>Nothorlands</v>
      </c>
      <c r="V12" s="53" t="str">
        <f t="shared" si="13"/>
        <v xml:space="preserve">Diet </v>
      </c>
      <c r="W12" s="53" t="str">
        <f t="shared" si="14"/>
        <v>eer</v>
      </c>
      <c r="X12" s="53">
        <f t="shared" si="15"/>
        <v>2</v>
      </c>
      <c r="Y12" s="53"/>
      <c r="Z12" s="53" t="s">
        <v>1683</v>
      </c>
      <c r="AA12" s="53" t="s">
        <v>1167</v>
      </c>
      <c r="AC12" s="8" t="s">
        <v>1657</v>
      </c>
    </row>
    <row r="13" spans="1:31" ht="30" x14ac:dyDescent="0.25">
      <c r="A13" s="79" t="s">
        <v>389</v>
      </c>
      <c r="B13" s="79" t="s">
        <v>1674</v>
      </c>
      <c r="C13" s="79" t="s">
        <v>1655</v>
      </c>
      <c r="D13" s="79" t="s">
        <v>1669</v>
      </c>
      <c r="E13" s="79" t="s">
        <v>1670</v>
      </c>
      <c r="F13" s="79" t="s">
        <v>35</v>
      </c>
      <c r="G13" s="79">
        <v>6.75</v>
      </c>
      <c r="H13" s="53">
        <f t="shared" si="0"/>
        <v>251.5</v>
      </c>
      <c r="I13" s="53">
        <f t="shared" si="1"/>
        <v>242</v>
      </c>
      <c r="J13" s="53">
        <f t="shared" si="2"/>
        <v>514.5</v>
      </c>
      <c r="K13" s="53">
        <f>COUNTIF(D13:D272,D13)</f>
        <v>25</v>
      </c>
      <c r="L13" s="53" t="b">
        <f t="shared" si="3"/>
        <v>1</v>
      </c>
      <c r="M13" s="53" t="b">
        <f t="shared" si="4"/>
        <v>1</v>
      </c>
      <c r="N13" s="53" t="str">
        <f t="shared" si="6"/>
        <v>Lithuania-BIGSO AB</v>
      </c>
      <c r="O13" s="68" t="str">
        <f t="shared" si="10"/>
        <v>Lithuania
cans</v>
      </c>
      <c r="P13" s="53" t="b">
        <f t="shared" si="7"/>
        <v>0</v>
      </c>
      <c r="Q13" s="53"/>
      <c r="R13" s="53" t="str">
        <f t="shared" si="8"/>
        <v>CANS</v>
      </c>
      <c r="S13" s="53" t="str">
        <f t="shared" si="9"/>
        <v>cans</v>
      </c>
      <c r="T13" s="53">
        <f t="shared" si="11"/>
        <v>2</v>
      </c>
      <c r="U13" s="53" t="str">
        <f t="shared" si="12"/>
        <v>Lithuania</v>
      </c>
      <c r="V13" s="53" t="str">
        <f t="shared" si="13"/>
        <v xml:space="preserve">Diet </v>
      </c>
      <c r="W13" s="53" t="str">
        <f t="shared" si="14"/>
        <v xml:space="preserve"> AB</v>
      </c>
      <c r="X13" s="53">
        <f t="shared" si="15"/>
        <v>2</v>
      </c>
      <c r="Y13" s="53"/>
      <c r="Z13" s="53" t="s">
        <v>1690</v>
      </c>
      <c r="AA13" s="53" t="s">
        <v>913</v>
      </c>
    </row>
    <row r="14" spans="1:31" ht="30" x14ac:dyDescent="0.25">
      <c r="A14" s="79" t="s">
        <v>1417</v>
      </c>
      <c r="B14" s="79" t="s">
        <v>1675</v>
      </c>
      <c r="C14" s="79" t="s">
        <v>1655</v>
      </c>
      <c r="D14" s="79" t="s">
        <v>1676</v>
      </c>
      <c r="E14" s="79" t="s">
        <v>1677</v>
      </c>
      <c r="F14" s="79" t="s">
        <v>35</v>
      </c>
      <c r="G14" s="79">
        <v>6.75</v>
      </c>
      <c r="H14" s="53">
        <f t="shared" si="0"/>
        <v>251.5</v>
      </c>
      <c r="I14" s="53">
        <f t="shared" si="1"/>
        <v>242</v>
      </c>
      <c r="J14" s="53">
        <f t="shared" si="2"/>
        <v>485.5</v>
      </c>
      <c r="K14" s="53">
        <f>COUNTIF(D14:D272,D14)</f>
        <v>31</v>
      </c>
      <c r="L14" s="53" t="b">
        <f t="shared" si="3"/>
        <v>1</v>
      </c>
      <c r="M14" s="53" t="b">
        <f t="shared" si="4"/>
        <v>1</v>
      </c>
      <c r="N14" s="53" t="str">
        <f t="shared" si="6"/>
        <v>Germany-Friedola 1888 GmbH</v>
      </c>
      <c r="O14" s="68" t="str">
        <f t="shared" si="10"/>
        <v>Germany
cans</v>
      </c>
      <c r="P14" s="53" t="b">
        <f t="shared" si="7"/>
        <v>0</v>
      </c>
      <c r="Q14" s="53"/>
      <c r="R14" s="53" t="str">
        <f t="shared" si="8"/>
        <v>CANS</v>
      </c>
      <c r="S14" s="53" t="str">
        <f t="shared" si="9"/>
        <v>cans</v>
      </c>
      <c r="T14" s="53">
        <f t="shared" si="11"/>
        <v>2</v>
      </c>
      <c r="U14" s="53" t="str">
        <f t="shared" si="12"/>
        <v>Gormany</v>
      </c>
      <c r="V14" s="53" t="str">
        <f t="shared" si="13"/>
        <v xml:space="preserve">Diet </v>
      </c>
      <c r="W14" s="53" t="str">
        <f t="shared" si="14"/>
        <v>mbH</v>
      </c>
      <c r="X14" s="53">
        <f t="shared" si="15"/>
        <v>2</v>
      </c>
      <c r="Y14" s="53"/>
      <c r="Z14" s="53"/>
      <c r="AA14" s="53" t="s">
        <v>1196</v>
      </c>
    </row>
    <row r="15" spans="1:31" ht="30" x14ac:dyDescent="0.25">
      <c r="A15" s="79" t="s">
        <v>1678</v>
      </c>
      <c r="B15" s="79" t="s">
        <v>1679</v>
      </c>
      <c r="C15" s="79" t="s">
        <v>1655</v>
      </c>
      <c r="D15" s="79" t="s">
        <v>1680</v>
      </c>
      <c r="E15" s="79" t="s">
        <v>1681</v>
      </c>
      <c r="F15" s="79" t="s">
        <v>35</v>
      </c>
      <c r="G15" s="79">
        <v>16.25</v>
      </c>
      <c r="H15" s="53">
        <f t="shared" si="0"/>
        <v>115.5</v>
      </c>
      <c r="I15" s="53">
        <f t="shared" si="1"/>
        <v>112</v>
      </c>
      <c r="J15" s="53">
        <f t="shared" si="2"/>
        <v>264</v>
      </c>
      <c r="K15" s="53">
        <f>COUNTIF(D15:D272,D15)</f>
        <v>16</v>
      </c>
      <c r="L15" s="53" t="b">
        <f t="shared" si="3"/>
        <v>1</v>
      </c>
      <c r="M15" s="53" t="b">
        <f t="shared" si="4"/>
        <v>1</v>
      </c>
      <c r="N15" s="53" t="str">
        <f t="shared" si="6"/>
        <v>China-CHERRY GROUP CO.,LTD</v>
      </c>
      <c r="O15" s="68" t="str">
        <f t="shared" si="10"/>
        <v>China
cans</v>
      </c>
      <c r="P15" s="53" t="b">
        <f t="shared" si="7"/>
        <v>0</v>
      </c>
      <c r="Q15" s="53"/>
      <c r="R15" s="53" t="str">
        <f t="shared" si="8"/>
        <v>CANS</v>
      </c>
      <c r="S15" s="53" t="str">
        <f t="shared" si="9"/>
        <v>cans</v>
      </c>
      <c r="T15" s="53">
        <f t="shared" si="11"/>
        <v>2</v>
      </c>
      <c r="U15" s="53" t="str">
        <f t="shared" si="12"/>
        <v>China</v>
      </c>
      <c r="V15" s="53" t="str">
        <f t="shared" si="13"/>
        <v xml:space="preserve">Diet </v>
      </c>
      <c r="W15" s="53" t="str">
        <f t="shared" si="14"/>
        <v>LTD</v>
      </c>
      <c r="X15" s="53">
        <f t="shared" si="15"/>
        <v>2</v>
      </c>
      <c r="Y15" s="53"/>
      <c r="Z15" s="53"/>
      <c r="AA15" s="53" t="s">
        <v>1687</v>
      </c>
    </row>
    <row r="16" spans="1:31" ht="30" x14ac:dyDescent="0.25">
      <c r="A16" s="79" t="s">
        <v>1167</v>
      </c>
      <c r="B16" s="79" t="s">
        <v>1682</v>
      </c>
      <c r="C16" s="79" t="s">
        <v>1655</v>
      </c>
      <c r="D16" s="79" t="s">
        <v>1683</v>
      </c>
      <c r="E16" s="79" t="s">
        <v>1684</v>
      </c>
      <c r="F16" s="79" t="s">
        <v>35</v>
      </c>
      <c r="G16" s="79">
        <v>6.75</v>
      </c>
      <c r="H16" s="53">
        <f t="shared" si="0"/>
        <v>251.5</v>
      </c>
      <c r="I16" s="53">
        <f t="shared" si="1"/>
        <v>242</v>
      </c>
      <c r="J16" s="53">
        <f t="shared" si="2"/>
        <v>432.25</v>
      </c>
      <c r="K16" s="53">
        <f>COUNTIF(D16:D279,D16)</f>
        <v>20</v>
      </c>
      <c r="L16" s="53" t="b">
        <f t="shared" si="3"/>
        <v>1</v>
      </c>
      <c r="M16" s="53" t="b">
        <f t="shared" si="4"/>
        <v>1</v>
      </c>
      <c r="N16" s="53" t="str">
        <f t="shared" si="6"/>
        <v>United States-MAESA SAS</v>
      </c>
      <c r="O16" s="68" t="str">
        <f t="shared" si="10"/>
        <v>United States
cans</v>
      </c>
      <c r="P16" s="53" t="b">
        <f t="shared" si="7"/>
        <v>0</v>
      </c>
      <c r="Q16" s="53"/>
      <c r="R16" s="53" t="str">
        <f t="shared" si="8"/>
        <v>CANS</v>
      </c>
      <c r="S16" s="53" t="str">
        <f t="shared" si="9"/>
        <v>cans</v>
      </c>
      <c r="T16" s="53">
        <f t="shared" si="11"/>
        <v>2</v>
      </c>
      <c r="U16" s="53" t="str">
        <f t="shared" si="12"/>
        <v>Unitod Statos</v>
      </c>
      <c r="V16" s="53" t="str">
        <f t="shared" si="13"/>
        <v xml:space="preserve">Diet </v>
      </c>
      <c r="W16" s="53" t="str">
        <f t="shared" si="14"/>
        <v>SAS</v>
      </c>
      <c r="X16" s="53">
        <f t="shared" si="15"/>
        <v>2</v>
      </c>
      <c r="Y16" s="53"/>
      <c r="Z16" s="53"/>
      <c r="AA16" s="53" t="s">
        <v>74</v>
      </c>
    </row>
    <row r="17" spans="1:27" ht="30" x14ac:dyDescent="0.25">
      <c r="A17" s="79" t="s">
        <v>913</v>
      </c>
      <c r="B17" s="79" t="s">
        <v>1685</v>
      </c>
      <c r="C17" s="79" t="s">
        <v>1655</v>
      </c>
      <c r="D17" s="79" t="s">
        <v>1666</v>
      </c>
      <c r="E17" s="79" t="s">
        <v>1667</v>
      </c>
      <c r="F17" s="79" t="s">
        <v>35</v>
      </c>
      <c r="G17" s="79">
        <v>6.75</v>
      </c>
      <c r="H17" s="53">
        <f t="shared" si="0"/>
        <v>251.5</v>
      </c>
      <c r="I17" s="53">
        <f t="shared" si="1"/>
        <v>242</v>
      </c>
      <c r="J17" s="53">
        <f t="shared" si="2"/>
        <v>415.25</v>
      </c>
      <c r="K17" s="53">
        <f t="shared" si="5"/>
        <v>26</v>
      </c>
      <c r="L17" s="53" t="b">
        <f t="shared" si="3"/>
        <v>1</v>
      </c>
      <c r="M17" s="53" t="b">
        <f t="shared" si="4"/>
        <v>1</v>
      </c>
      <c r="N17" s="53" t="str">
        <f t="shared" si="6"/>
        <v>Finland-HARDFORD AB</v>
      </c>
      <c r="O17" s="68" t="str">
        <f t="shared" si="10"/>
        <v>Finland
cans</v>
      </c>
      <c r="P17" s="53" t="b">
        <f t="shared" si="7"/>
        <v>0</v>
      </c>
      <c r="Q17" s="53"/>
      <c r="R17" s="53" t="str">
        <f t="shared" si="8"/>
        <v>CANS</v>
      </c>
      <c r="S17" s="53" t="str">
        <f t="shared" si="9"/>
        <v>cans</v>
      </c>
      <c r="T17" s="53">
        <f t="shared" si="11"/>
        <v>2</v>
      </c>
      <c r="U17" s="53" t="str">
        <f t="shared" si="12"/>
        <v>Finland</v>
      </c>
      <c r="V17" s="53" t="str">
        <f t="shared" si="13"/>
        <v xml:space="preserve">Diet </v>
      </c>
      <c r="W17" s="53" t="str">
        <f t="shared" si="14"/>
        <v xml:space="preserve"> AB</v>
      </c>
      <c r="X17" s="53">
        <f t="shared" si="15"/>
        <v>2</v>
      </c>
      <c r="Y17" s="53"/>
      <c r="Z17" s="53"/>
      <c r="AA17" s="53" t="s">
        <v>203</v>
      </c>
    </row>
    <row r="18" spans="1:27" ht="30" x14ac:dyDescent="0.25">
      <c r="A18" s="79" t="s">
        <v>1196</v>
      </c>
      <c r="B18" s="79" t="s">
        <v>1686</v>
      </c>
      <c r="C18" s="79" t="s">
        <v>1655</v>
      </c>
      <c r="D18" s="79" t="s">
        <v>1671</v>
      </c>
      <c r="E18" s="79" t="s">
        <v>1672</v>
      </c>
      <c r="F18" s="79" t="s">
        <v>35</v>
      </c>
      <c r="G18" s="79">
        <v>6.75</v>
      </c>
      <c r="H18" s="53">
        <f t="shared" si="0"/>
        <v>251.5</v>
      </c>
      <c r="I18" s="53">
        <f t="shared" si="1"/>
        <v>242</v>
      </c>
      <c r="J18" s="53">
        <f t="shared" si="2"/>
        <v>561.5</v>
      </c>
      <c r="K18" s="53">
        <f t="shared" si="5"/>
        <v>32</v>
      </c>
      <c r="L18" s="53" t="b">
        <f t="shared" si="3"/>
        <v>1</v>
      </c>
      <c r="M18" s="53" t="b">
        <f t="shared" si="4"/>
        <v>1</v>
      </c>
      <c r="N18" s="53" t="str">
        <f t="shared" si="6"/>
        <v>India-Indo Count Industries Ltd</v>
      </c>
      <c r="O18" s="68" t="str">
        <f t="shared" si="10"/>
        <v>India
cans</v>
      </c>
      <c r="P18" s="53" t="b">
        <f t="shared" si="7"/>
        <v>0</v>
      </c>
      <c r="Q18" s="53"/>
      <c r="R18" s="53" t="str">
        <f t="shared" si="8"/>
        <v>CANS</v>
      </c>
      <c r="S18" s="53" t="str">
        <f t="shared" si="9"/>
        <v>cans</v>
      </c>
      <c r="T18" s="53">
        <f t="shared" si="11"/>
        <v>2</v>
      </c>
      <c r="U18" s="53" t="str">
        <f t="shared" si="12"/>
        <v>India</v>
      </c>
      <c r="V18" s="53" t="str">
        <f t="shared" si="13"/>
        <v xml:space="preserve">Diet </v>
      </c>
      <c r="W18" s="53" t="str">
        <f t="shared" si="14"/>
        <v>Ltd</v>
      </c>
      <c r="X18" s="53">
        <f t="shared" si="15"/>
        <v>2</v>
      </c>
      <c r="Y18" s="53"/>
      <c r="Z18" s="53"/>
      <c r="AA18" s="53" t="s">
        <v>1693</v>
      </c>
    </row>
    <row r="19" spans="1:27" ht="30" x14ac:dyDescent="0.25">
      <c r="A19" s="79" t="s">
        <v>1687</v>
      </c>
      <c r="B19" s="79" t="s">
        <v>1688</v>
      </c>
      <c r="C19" s="79" t="s">
        <v>1655</v>
      </c>
      <c r="D19" s="79" t="s">
        <v>1680</v>
      </c>
      <c r="E19" s="79" t="s">
        <v>1681</v>
      </c>
      <c r="F19" s="79" t="s">
        <v>35</v>
      </c>
      <c r="G19" s="79">
        <v>16.25</v>
      </c>
      <c r="H19" s="53">
        <f t="shared" si="0"/>
        <v>115.5</v>
      </c>
      <c r="I19" s="53">
        <f t="shared" si="1"/>
        <v>112</v>
      </c>
      <c r="J19" s="53">
        <f t="shared" si="2"/>
        <v>264</v>
      </c>
      <c r="K19" s="53">
        <f t="shared" si="5"/>
        <v>15</v>
      </c>
      <c r="L19" s="53" t="b">
        <f t="shared" si="3"/>
        <v>1</v>
      </c>
      <c r="M19" s="53" t="b">
        <f t="shared" si="4"/>
        <v>1</v>
      </c>
      <c r="N19" s="53" t="str">
        <f t="shared" si="6"/>
        <v>China-CHERRY GROUP CO.,LTD</v>
      </c>
      <c r="O19" s="68" t="str">
        <f t="shared" si="10"/>
        <v>China
cans</v>
      </c>
      <c r="P19" s="53" t="b">
        <f t="shared" si="7"/>
        <v>0</v>
      </c>
      <c r="Q19" s="53"/>
      <c r="R19" s="53" t="str">
        <f t="shared" si="8"/>
        <v>CANS</v>
      </c>
      <c r="S19" s="53" t="str">
        <f t="shared" si="9"/>
        <v>cans</v>
      </c>
      <c r="T19" s="53">
        <f t="shared" si="11"/>
        <v>2</v>
      </c>
      <c r="U19" s="53" t="str">
        <f t="shared" si="12"/>
        <v>China</v>
      </c>
      <c r="V19" s="53" t="str">
        <f t="shared" si="13"/>
        <v>Dr. P</v>
      </c>
      <c r="W19" s="53" t="str">
        <f t="shared" si="14"/>
        <v>LTD</v>
      </c>
      <c r="X19" s="53">
        <f t="shared" si="15"/>
        <v>2</v>
      </c>
      <c r="Y19" s="53"/>
      <c r="Z19" s="53"/>
      <c r="AA19" s="53" t="s">
        <v>789</v>
      </c>
    </row>
    <row r="20" spans="1:27" ht="30" x14ac:dyDescent="0.25">
      <c r="A20" s="79" t="s">
        <v>74</v>
      </c>
      <c r="B20" s="79" t="s">
        <v>1689</v>
      </c>
      <c r="C20" s="79" t="s">
        <v>1655</v>
      </c>
      <c r="D20" s="79" t="s">
        <v>1690</v>
      </c>
      <c r="E20" s="79" t="s">
        <v>1691</v>
      </c>
      <c r="F20" s="79" t="s">
        <v>35</v>
      </c>
      <c r="G20" s="79">
        <v>6.75</v>
      </c>
      <c r="H20" s="53">
        <f t="shared" si="0"/>
        <v>251.5</v>
      </c>
      <c r="I20" s="53">
        <f t="shared" si="1"/>
        <v>242</v>
      </c>
      <c r="J20" s="53">
        <f t="shared" si="2"/>
        <v>415</v>
      </c>
      <c r="K20" s="53">
        <f t="shared" si="5"/>
        <v>24</v>
      </c>
      <c r="L20" s="53" t="b">
        <f t="shared" si="3"/>
        <v>1</v>
      </c>
      <c r="M20" s="53" t="b">
        <f t="shared" si="4"/>
        <v>1</v>
      </c>
      <c r="N20" s="53" t="str">
        <f t="shared" si="6"/>
        <v>Cambodia-NINGBO SEDUNO IMP &amp; EXP CO.LTD</v>
      </c>
      <c r="O20" s="68" t="str">
        <f t="shared" si="10"/>
        <v>Cambodia
cans</v>
      </c>
      <c r="P20" s="53" t="b">
        <f t="shared" si="7"/>
        <v>0</v>
      </c>
      <c r="Q20" s="53"/>
      <c r="R20" s="53" t="str">
        <f t="shared" si="8"/>
        <v>CANS</v>
      </c>
      <c r="S20" s="53" t="str">
        <f t="shared" si="9"/>
        <v>cans</v>
      </c>
      <c r="T20" s="53">
        <f t="shared" si="11"/>
        <v>2</v>
      </c>
      <c r="U20" s="53" t="str">
        <f t="shared" si="12"/>
        <v>Cambodia</v>
      </c>
      <c r="V20" s="53" t="str">
        <f t="shared" si="13"/>
        <v>Fresc</v>
      </c>
      <c r="W20" s="53" t="str">
        <f t="shared" si="14"/>
        <v>LTD</v>
      </c>
      <c r="X20" s="53">
        <f t="shared" si="15"/>
        <v>2</v>
      </c>
      <c r="Y20" s="53"/>
      <c r="Z20" s="53"/>
      <c r="AA20" s="53" t="s">
        <v>1351</v>
      </c>
    </row>
    <row r="21" spans="1:27" ht="30" x14ac:dyDescent="0.25">
      <c r="A21" s="79" t="s">
        <v>203</v>
      </c>
      <c r="B21" s="79" t="s">
        <v>1692</v>
      </c>
      <c r="C21" s="79" t="s">
        <v>1655</v>
      </c>
      <c r="D21" s="79" t="s">
        <v>1671</v>
      </c>
      <c r="E21" s="79" t="s">
        <v>1672</v>
      </c>
      <c r="F21" s="79" t="s">
        <v>35</v>
      </c>
      <c r="G21" s="79">
        <v>6.75</v>
      </c>
      <c r="H21" s="53">
        <f t="shared" si="0"/>
        <v>251.5</v>
      </c>
      <c r="I21" s="53">
        <f t="shared" si="1"/>
        <v>242</v>
      </c>
      <c r="J21" s="53">
        <f t="shared" si="2"/>
        <v>561.5</v>
      </c>
      <c r="K21" s="53">
        <f t="shared" si="5"/>
        <v>32</v>
      </c>
      <c r="L21" s="53" t="b">
        <f t="shared" si="3"/>
        <v>1</v>
      </c>
      <c r="M21" s="53" t="b">
        <f t="shared" si="4"/>
        <v>1</v>
      </c>
      <c r="N21" s="53" t="str">
        <f t="shared" si="6"/>
        <v>India-Indo Count Industries Ltd</v>
      </c>
      <c r="O21" s="68" t="str">
        <f t="shared" si="10"/>
        <v>India
cans</v>
      </c>
      <c r="P21" s="53" t="b">
        <f t="shared" si="7"/>
        <v>0</v>
      </c>
      <c r="Q21" s="53"/>
      <c r="R21" s="53" t="str">
        <f t="shared" si="8"/>
        <v>CANS</v>
      </c>
      <c r="S21" s="53" t="str">
        <f t="shared" si="9"/>
        <v>cans</v>
      </c>
      <c r="T21" s="53">
        <f t="shared" si="11"/>
        <v>2</v>
      </c>
      <c r="U21" s="53" t="str">
        <f t="shared" si="12"/>
        <v>India</v>
      </c>
      <c r="V21" s="53" t="str">
        <f t="shared" si="13"/>
        <v>Fresc</v>
      </c>
      <c r="W21" s="53" t="str">
        <f t="shared" si="14"/>
        <v>Ltd</v>
      </c>
      <c r="X21" s="53">
        <f t="shared" si="15"/>
        <v>2</v>
      </c>
      <c r="Y21" s="53"/>
      <c r="Z21" s="53"/>
      <c r="AA21" s="53" t="s">
        <v>1697</v>
      </c>
    </row>
    <row r="22" spans="1:27" ht="30" x14ac:dyDescent="0.25">
      <c r="A22" s="79" t="s">
        <v>1693</v>
      </c>
      <c r="B22" s="79" t="s">
        <v>1694</v>
      </c>
      <c r="C22" s="79" t="s">
        <v>1655</v>
      </c>
      <c r="D22" s="79" t="s">
        <v>1666</v>
      </c>
      <c r="E22" s="79" t="s">
        <v>1667</v>
      </c>
      <c r="F22" s="79" t="s">
        <v>35</v>
      </c>
      <c r="G22" s="79">
        <v>6.75</v>
      </c>
      <c r="H22" s="53">
        <f t="shared" si="0"/>
        <v>251.5</v>
      </c>
      <c r="I22" s="53">
        <f t="shared" si="1"/>
        <v>242</v>
      </c>
      <c r="J22" s="53">
        <f t="shared" si="2"/>
        <v>415.25</v>
      </c>
      <c r="K22" s="53">
        <f t="shared" si="5"/>
        <v>25</v>
      </c>
      <c r="L22" s="53" t="b">
        <f t="shared" si="3"/>
        <v>1</v>
      </c>
      <c r="M22" s="53" t="b">
        <f t="shared" si="4"/>
        <v>1</v>
      </c>
      <c r="N22" s="53" t="str">
        <f t="shared" si="6"/>
        <v>Finland-HARDFORD AB</v>
      </c>
      <c r="O22" s="68" t="str">
        <f t="shared" si="10"/>
        <v>Finland
cans</v>
      </c>
      <c r="P22" s="53" t="b">
        <f t="shared" si="7"/>
        <v>0</v>
      </c>
      <c r="Q22" s="53"/>
      <c r="R22" s="53" t="str">
        <f t="shared" si="8"/>
        <v>CANS</v>
      </c>
      <c r="S22" s="53" t="str">
        <f t="shared" si="9"/>
        <v>cans</v>
      </c>
      <c r="T22" s="53">
        <f t="shared" si="11"/>
        <v>2</v>
      </c>
      <c r="U22" s="53" t="str">
        <f t="shared" si="12"/>
        <v>Finland</v>
      </c>
      <c r="V22" s="53" t="str">
        <f t="shared" si="13"/>
        <v>Fresc</v>
      </c>
      <c r="W22" s="53" t="str">
        <f t="shared" si="14"/>
        <v xml:space="preserve"> AB</v>
      </c>
      <c r="X22" s="53">
        <f t="shared" si="15"/>
        <v>2</v>
      </c>
      <c r="Y22" s="53"/>
      <c r="Z22" s="53"/>
      <c r="AA22" s="53" t="s">
        <v>89</v>
      </c>
    </row>
    <row r="23" spans="1:27" ht="30" x14ac:dyDescent="0.25">
      <c r="A23" s="79" t="s">
        <v>789</v>
      </c>
      <c r="B23" s="79" t="s">
        <v>1695</v>
      </c>
      <c r="C23" s="79" t="s">
        <v>1655</v>
      </c>
      <c r="D23" s="79" t="s">
        <v>1659</v>
      </c>
      <c r="E23" s="79" t="s">
        <v>1660</v>
      </c>
      <c r="F23" s="79" t="s">
        <v>35</v>
      </c>
      <c r="G23" s="79">
        <v>6.75</v>
      </c>
      <c r="H23" s="53">
        <f t="shared" si="0"/>
        <v>251.5</v>
      </c>
      <c r="I23" s="53">
        <f t="shared" si="1"/>
        <v>242</v>
      </c>
      <c r="J23" s="53">
        <f t="shared" si="2"/>
        <v>484.25</v>
      </c>
      <c r="K23" s="53">
        <f t="shared" si="5"/>
        <v>27</v>
      </c>
      <c r="L23" s="53" t="b">
        <f t="shared" si="3"/>
        <v>1</v>
      </c>
      <c r="M23" s="53" t="b">
        <f t="shared" si="4"/>
        <v>1</v>
      </c>
      <c r="N23" s="53" t="str">
        <f t="shared" si="6"/>
        <v>poland-CHROMADURLIN S.A.S</v>
      </c>
      <c r="O23" s="68" t="str">
        <f t="shared" si="10"/>
        <v>poland
cans</v>
      </c>
      <c r="P23" s="53" t="b">
        <f t="shared" si="7"/>
        <v>0</v>
      </c>
      <c r="Q23" s="53"/>
      <c r="R23" s="53" t="str">
        <f t="shared" si="8"/>
        <v>CANS</v>
      </c>
      <c r="S23" s="53" t="str">
        <f t="shared" si="9"/>
        <v>cans</v>
      </c>
      <c r="T23" s="53">
        <f t="shared" si="11"/>
        <v>2</v>
      </c>
      <c r="U23" s="53" t="str">
        <f t="shared" si="12"/>
        <v>poland</v>
      </c>
      <c r="V23" s="53" t="str">
        <f t="shared" si="13"/>
        <v>Ginge</v>
      </c>
      <c r="W23" s="53" t="str">
        <f t="shared" si="14"/>
        <v>A.S</v>
      </c>
      <c r="X23" s="53">
        <f t="shared" si="15"/>
        <v>2</v>
      </c>
      <c r="Y23" s="53"/>
      <c r="Z23" s="53"/>
      <c r="AA23" s="53" t="s">
        <v>703</v>
      </c>
    </row>
    <row r="24" spans="1:27" ht="30" x14ac:dyDescent="0.25">
      <c r="A24" s="79" t="s">
        <v>1351</v>
      </c>
      <c r="B24" s="79" t="s">
        <v>1696</v>
      </c>
      <c r="C24" s="79" t="s">
        <v>1655</v>
      </c>
      <c r="D24" s="79" t="s">
        <v>1676</v>
      </c>
      <c r="E24" s="79" t="s">
        <v>1677</v>
      </c>
      <c r="F24" s="79" t="s">
        <v>35</v>
      </c>
      <c r="G24" s="79">
        <v>6.75</v>
      </c>
      <c r="H24" s="53">
        <f t="shared" si="0"/>
        <v>251.5</v>
      </c>
      <c r="I24" s="53">
        <f t="shared" si="1"/>
        <v>242</v>
      </c>
      <c r="J24" s="53">
        <f t="shared" si="2"/>
        <v>485.5</v>
      </c>
      <c r="K24" s="53">
        <f t="shared" si="5"/>
        <v>30</v>
      </c>
      <c r="L24" s="53" t="b">
        <f t="shared" si="3"/>
        <v>1</v>
      </c>
      <c r="M24" s="53" t="b">
        <f t="shared" si="4"/>
        <v>1</v>
      </c>
      <c r="N24" s="53" t="str">
        <f t="shared" si="6"/>
        <v>Germany-Friedola 1888 GmbH</v>
      </c>
      <c r="O24" s="68" t="str">
        <f t="shared" si="10"/>
        <v>Germany
cans</v>
      </c>
      <c r="P24" s="53" t="b">
        <f t="shared" si="7"/>
        <v>0</v>
      </c>
      <c r="Q24" s="53"/>
      <c r="R24" s="53" t="str">
        <f t="shared" si="8"/>
        <v>CANS</v>
      </c>
      <c r="S24" s="53" t="str">
        <f t="shared" si="9"/>
        <v>cans</v>
      </c>
      <c r="T24" s="53">
        <f t="shared" si="11"/>
        <v>2</v>
      </c>
      <c r="U24" s="53" t="str">
        <f t="shared" si="12"/>
        <v>Gormany</v>
      </c>
      <c r="V24" s="53" t="str">
        <f t="shared" si="13"/>
        <v>Hawai</v>
      </c>
      <c r="W24" s="53" t="str">
        <f t="shared" si="14"/>
        <v>mbH</v>
      </c>
      <c r="X24" s="53">
        <f t="shared" si="15"/>
        <v>2</v>
      </c>
      <c r="Y24" s="53"/>
      <c r="Z24" s="53"/>
      <c r="AA24" s="53" t="s">
        <v>939</v>
      </c>
    </row>
    <row r="25" spans="1:27" ht="30" x14ac:dyDescent="0.25">
      <c r="A25" s="79" t="s">
        <v>1697</v>
      </c>
      <c r="B25" s="79" t="s">
        <v>1698</v>
      </c>
      <c r="C25" s="79" t="s">
        <v>1655</v>
      </c>
      <c r="D25" s="79" t="s">
        <v>1676</v>
      </c>
      <c r="E25" s="79" t="s">
        <v>1677</v>
      </c>
      <c r="F25" s="79" t="s">
        <v>35</v>
      </c>
      <c r="G25" s="79">
        <v>16.25</v>
      </c>
      <c r="H25" s="53">
        <f t="shared" si="0"/>
        <v>115.5</v>
      </c>
      <c r="I25" s="53">
        <f t="shared" si="1"/>
        <v>112</v>
      </c>
      <c r="J25" s="53">
        <f t="shared" si="2"/>
        <v>485.5</v>
      </c>
      <c r="K25" s="53">
        <f t="shared" si="5"/>
        <v>29</v>
      </c>
      <c r="L25" s="53" t="b">
        <f t="shared" si="3"/>
        <v>1</v>
      </c>
      <c r="M25" s="53" t="b">
        <f t="shared" si="4"/>
        <v>1</v>
      </c>
      <c r="N25" s="53" t="str">
        <f t="shared" si="6"/>
        <v>Germany-Friedola 1888 GmbH</v>
      </c>
      <c r="O25" s="68" t="str">
        <f t="shared" si="10"/>
        <v>Germany
cans</v>
      </c>
      <c r="P25" s="53" t="b">
        <f t="shared" si="7"/>
        <v>0</v>
      </c>
      <c r="Q25" s="53"/>
      <c r="R25" s="53" t="str">
        <f t="shared" si="8"/>
        <v>CANS</v>
      </c>
      <c r="S25" s="53" t="str">
        <f t="shared" si="9"/>
        <v>cans</v>
      </c>
      <c r="T25" s="53">
        <f t="shared" si="11"/>
        <v>2</v>
      </c>
      <c r="U25" s="53" t="str">
        <f t="shared" si="12"/>
        <v>Gormany</v>
      </c>
      <c r="V25" s="53" t="str">
        <f t="shared" si="13"/>
        <v>Mount</v>
      </c>
      <c r="W25" s="53" t="str">
        <f t="shared" si="14"/>
        <v>mbH</v>
      </c>
      <c r="X25" s="53">
        <f t="shared" si="15"/>
        <v>2</v>
      </c>
      <c r="Y25" s="53"/>
      <c r="Z25" s="53"/>
      <c r="AA25" s="53" t="s">
        <v>1424</v>
      </c>
    </row>
    <row r="26" spans="1:27" ht="30" x14ac:dyDescent="0.25">
      <c r="A26" s="79" t="s">
        <v>89</v>
      </c>
      <c r="B26" s="79" t="s">
        <v>1699</v>
      </c>
      <c r="C26" s="79" t="s">
        <v>1655</v>
      </c>
      <c r="D26" s="79" t="s">
        <v>1690</v>
      </c>
      <c r="E26" s="79" t="s">
        <v>1691</v>
      </c>
      <c r="F26" s="79" t="s">
        <v>35</v>
      </c>
      <c r="G26" s="79">
        <v>6.75</v>
      </c>
      <c r="H26" s="53">
        <f t="shared" si="0"/>
        <v>251.5</v>
      </c>
      <c r="I26" s="53">
        <f t="shared" si="1"/>
        <v>242</v>
      </c>
      <c r="J26" s="53">
        <f t="shared" si="2"/>
        <v>415</v>
      </c>
      <c r="K26" s="53">
        <f t="shared" si="5"/>
        <v>23</v>
      </c>
      <c r="L26" s="53" t="b">
        <f t="shared" si="3"/>
        <v>1</v>
      </c>
      <c r="M26" s="53" t="b">
        <f t="shared" si="4"/>
        <v>1</v>
      </c>
      <c r="N26" s="53" t="str">
        <f t="shared" si="6"/>
        <v>Cambodia-NINGBO SEDUNO IMP &amp; EXP CO.LTD</v>
      </c>
      <c r="O26" s="68" t="str">
        <f t="shared" si="10"/>
        <v>Cambodia
cans</v>
      </c>
      <c r="P26" s="53" t="b">
        <f t="shared" si="7"/>
        <v>0</v>
      </c>
      <c r="Q26" s="53"/>
      <c r="R26" s="53" t="str">
        <f t="shared" si="8"/>
        <v>CANS</v>
      </c>
      <c r="S26" s="53" t="str">
        <f t="shared" si="9"/>
        <v>cans</v>
      </c>
      <c r="T26" s="53">
        <f t="shared" si="11"/>
        <v>2</v>
      </c>
      <c r="U26" s="53" t="str">
        <f t="shared" si="12"/>
        <v>Cambodia</v>
      </c>
      <c r="V26" s="53" t="str">
        <f t="shared" si="13"/>
        <v>Pepsi</v>
      </c>
      <c r="W26" s="53" t="str">
        <f t="shared" si="14"/>
        <v>LTD</v>
      </c>
      <c r="X26" s="53">
        <f t="shared" si="15"/>
        <v>2</v>
      </c>
      <c r="Y26" s="53"/>
      <c r="Z26" s="53"/>
      <c r="AA26" s="53" t="s">
        <v>1547</v>
      </c>
    </row>
    <row r="27" spans="1:27" ht="30" x14ac:dyDescent="0.25">
      <c r="A27" s="79" t="s">
        <v>703</v>
      </c>
      <c r="B27" s="79" t="s">
        <v>1699</v>
      </c>
      <c r="C27" s="79" t="s">
        <v>1655</v>
      </c>
      <c r="D27" s="79" t="s">
        <v>1669</v>
      </c>
      <c r="E27" s="79" t="s">
        <v>1670</v>
      </c>
      <c r="F27" s="79" t="s">
        <v>35</v>
      </c>
      <c r="G27" s="79">
        <v>16.25</v>
      </c>
      <c r="H27" s="53">
        <f t="shared" si="0"/>
        <v>115.5</v>
      </c>
      <c r="I27" s="53">
        <f t="shared" si="1"/>
        <v>112</v>
      </c>
      <c r="J27" s="53">
        <f t="shared" si="2"/>
        <v>514.5</v>
      </c>
      <c r="K27" s="53">
        <f t="shared" si="5"/>
        <v>25</v>
      </c>
      <c r="L27" s="53" t="b">
        <f t="shared" si="3"/>
        <v>1</v>
      </c>
      <c r="M27" s="53" t="b">
        <f t="shared" si="4"/>
        <v>1</v>
      </c>
      <c r="N27" s="53" t="str">
        <f t="shared" si="6"/>
        <v>Lithuania-BIGSO AB</v>
      </c>
      <c r="O27" s="68" t="str">
        <f t="shared" si="10"/>
        <v>Lithuania
cans</v>
      </c>
      <c r="P27" s="53" t="b">
        <f t="shared" si="7"/>
        <v>0</v>
      </c>
      <c r="Q27" s="53"/>
      <c r="R27" s="53" t="str">
        <f t="shared" si="8"/>
        <v>CANS</v>
      </c>
      <c r="S27" s="53" t="str">
        <f t="shared" si="9"/>
        <v>cans</v>
      </c>
      <c r="T27" s="53">
        <f t="shared" si="11"/>
        <v>2</v>
      </c>
      <c r="U27" s="53" t="str">
        <f t="shared" si="12"/>
        <v>Lithuania</v>
      </c>
      <c r="V27" s="53" t="str">
        <f t="shared" si="13"/>
        <v>Pepsi</v>
      </c>
      <c r="W27" s="53" t="str">
        <f t="shared" si="14"/>
        <v xml:space="preserve"> AB</v>
      </c>
      <c r="X27" s="53">
        <f t="shared" si="15"/>
        <v>2</v>
      </c>
      <c r="Y27" s="53"/>
      <c r="Z27" s="53"/>
      <c r="AA27" s="53" t="s">
        <v>337</v>
      </c>
    </row>
    <row r="28" spans="1:27" ht="30" x14ac:dyDescent="0.25">
      <c r="A28" s="79" t="s">
        <v>939</v>
      </c>
      <c r="B28" s="79" t="s">
        <v>1700</v>
      </c>
      <c r="C28" s="79" t="s">
        <v>1655</v>
      </c>
      <c r="D28" s="79" t="s">
        <v>1680</v>
      </c>
      <c r="E28" s="79" t="s">
        <v>1681</v>
      </c>
      <c r="F28" s="79" t="s">
        <v>35</v>
      </c>
      <c r="G28" s="79">
        <v>11.5</v>
      </c>
      <c r="H28" s="53">
        <f t="shared" si="0"/>
        <v>222</v>
      </c>
      <c r="I28" s="53">
        <f t="shared" si="1"/>
        <v>221</v>
      </c>
      <c r="J28" s="53">
        <f t="shared" si="2"/>
        <v>264</v>
      </c>
      <c r="K28" s="53">
        <f t="shared" si="5"/>
        <v>14</v>
      </c>
      <c r="L28" s="53" t="b">
        <f t="shared" si="3"/>
        <v>1</v>
      </c>
      <c r="M28" s="53" t="b">
        <f t="shared" si="4"/>
        <v>1</v>
      </c>
      <c r="N28" s="53" t="str">
        <f t="shared" si="6"/>
        <v>China-CHERRY GROUP CO.,LTD</v>
      </c>
      <c r="O28" s="68" t="str">
        <f t="shared" si="10"/>
        <v>China
cans</v>
      </c>
      <c r="P28" s="53" t="b">
        <f t="shared" si="7"/>
        <v>0</v>
      </c>
      <c r="Q28" s="53"/>
      <c r="R28" s="53" t="str">
        <f t="shared" si="8"/>
        <v>CANS</v>
      </c>
      <c r="S28" s="53" t="str">
        <f t="shared" si="9"/>
        <v>cans</v>
      </c>
      <c r="T28" s="53">
        <f t="shared" si="11"/>
        <v>2</v>
      </c>
      <c r="U28" s="53" t="str">
        <f t="shared" si="12"/>
        <v>China</v>
      </c>
      <c r="V28" s="53" t="str">
        <f t="shared" si="13"/>
        <v>Seven</v>
      </c>
      <c r="W28" s="53" t="str">
        <f t="shared" si="14"/>
        <v>LTD</v>
      </c>
      <c r="X28" s="53">
        <f t="shared" si="15"/>
        <v>2</v>
      </c>
      <c r="Y28" s="53"/>
      <c r="Z28" s="53"/>
      <c r="AA28" s="53" t="s">
        <v>753</v>
      </c>
    </row>
    <row r="29" spans="1:27" ht="30" x14ac:dyDescent="0.25">
      <c r="A29" s="79" t="s">
        <v>1424</v>
      </c>
      <c r="B29" s="79" t="s">
        <v>1701</v>
      </c>
      <c r="C29" s="79" t="s">
        <v>1655</v>
      </c>
      <c r="D29" s="79" t="s">
        <v>1669</v>
      </c>
      <c r="E29" s="79" t="s">
        <v>1670</v>
      </c>
      <c r="F29" s="79" t="s">
        <v>35</v>
      </c>
      <c r="G29" s="79">
        <v>6.75</v>
      </c>
      <c r="H29" s="53">
        <f t="shared" si="0"/>
        <v>251.5</v>
      </c>
      <c r="I29" s="53">
        <f t="shared" si="1"/>
        <v>242</v>
      </c>
      <c r="J29" s="53">
        <f t="shared" si="2"/>
        <v>514.5</v>
      </c>
      <c r="K29" s="53">
        <f t="shared" si="5"/>
        <v>24</v>
      </c>
      <c r="L29" s="53" t="b">
        <f t="shared" si="3"/>
        <v>1</v>
      </c>
      <c r="M29" s="53" t="b">
        <f t="shared" si="4"/>
        <v>1</v>
      </c>
      <c r="N29" s="53" t="str">
        <f t="shared" si="6"/>
        <v>Lithuania-BIGSO AB</v>
      </c>
      <c r="O29" s="68" t="str">
        <f t="shared" si="10"/>
        <v>Lithuania
cans</v>
      </c>
      <c r="P29" s="53" t="b">
        <f t="shared" si="7"/>
        <v>0</v>
      </c>
      <c r="Q29" s="53"/>
      <c r="R29" s="53" t="str">
        <f t="shared" si="8"/>
        <v>CANS</v>
      </c>
      <c r="S29" s="53" t="str">
        <f t="shared" si="9"/>
        <v>cans</v>
      </c>
      <c r="T29" s="53">
        <f t="shared" si="11"/>
        <v>2</v>
      </c>
      <c r="U29" s="53" t="str">
        <f t="shared" si="12"/>
        <v>Lithuania</v>
      </c>
      <c r="V29" s="53" t="str">
        <f t="shared" si="13"/>
        <v>Sprit</v>
      </c>
      <c r="W29" s="53" t="str">
        <f t="shared" si="14"/>
        <v xml:space="preserve"> AB</v>
      </c>
      <c r="X29" s="53">
        <f t="shared" si="15"/>
        <v>2</v>
      </c>
      <c r="Y29" s="53"/>
      <c r="Z29" s="53"/>
      <c r="AA29" s="53" t="s">
        <v>1048</v>
      </c>
    </row>
    <row r="30" spans="1:27" ht="30" x14ac:dyDescent="0.25">
      <c r="A30" s="79" t="s">
        <v>1547</v>
      </c>
      <c r="B30" s="79" t="s">
        <v>1701</v>
      </c>
      <c r="C30" s="79" t="s">
        <v>1655</v>
      </c>
      <c r="D30" s="79" t="s">
        <v>1659</v>
      </c>
      <c r="E30" s="79" t="s">
        <v>1660</v>
      </c>
      <c r="F30" s="79" t="s">
        <v>35</v>
      </c>
      <c r="G30" s="79">
        <v>16.25</v>
      </c>
      <c r="H30" s="53">
        <f t="shared" si="0"/>
        <v>115.5</v>
      </c>
      <c r="I30" s="53">
        <f t="shared" si="1"/>
        <v>112</v>
      </c>
      <c r="J30" s="53">
        <f t="shared" si="2"/>
        <v>484.25</v>
      </c>
      <c r="K30" s="53">
        <f t="shared" si="5"/>
        <v>26</v>
      </c>
      <c r="L30" s="53" t="b">
        <f t="shared" si="3"/>
        <v>1</v>
      </c>
      <c r="M30" s="53" t="b">
        <f t="shared" si="4"/>
        <v>1</v>
      </c>
      <c r="N30" s="53" t="str">
        <f t="shared" si="6"/>
        <v>poland-CHROMADURLIN S.A.S</v>
      </c>
      <c r="O30" s="68" t="str">
        <f t="shared" si="10"/>
        <v>poland
cans</v>
      </c>
      <c r="P30" s="53" t="b">
        <f t="shared" si="7"/>
        <v>0</v>
      </c>
      <c r="Q30" s="53"/>
      <c r="R30" s="53" t="str">
        <f t="shared" si="8"/>
        <v>CANS</v>
      </c>
      <c r="S30" s="53" t="str">
        <f t="shared" si="9"/>
        <v>cans</v>
      </c>
      <c r="T30" s="53">
        <f t="shared" si="11"/>
        <v>2</v>
      </c>
      <c r="U30" s="53" t="str">
        <f t="shared" si="12"/>
        <v>poland</v>
      </c>
      <c r="V30" s="53" t="str">
        <f t="shared" si="13"/>
        <v>Sprit</v>
      </c>
      <c r="W30" s="53" t="str">
        <f t="shared" si="14"/>
        <v>A.S</v>
      </c>
      <c r="X30" s="53">
        <f t="shared" si="15"/>
        <v>2</v>
      </c>
      <c r="Y30" s="53"/>
      <c r="Z30" s="53"/>
      <c r="AA30" s="53" t="s">
        <v>1706</v>
      </c>
    </row>
    <row r="31" spans="1:27" ht="30" x14ac:dyDescent="0.25">
      <c r="A31" s="79" t="s">
        <v>337</v>
      </c>
      <c r="B31" s="79" t="s">
        <v>1702</v>
      </c>
      <c r="C31" s="79" t="s">
        <v>1655</v>
      </c>
      <c r="D31" s="79" t="s">
        <v>1659</v>
      </c>
      <c r="E31" s="79" t="s">
        <v>1660</v>
      </c>
      <c r="F31" s="79" t="s">
        <v>35</v>
      </c>
      <c r="G31" s="79">
        <v>6.75</v>
      </c>
      <c r="H31" s="53">
        <f t="shared" si="0"/>
        <v>251.5</v>
      </c>
      <c r="I31" s="53">
        <f t="shared" si="1"/>
        <v>242</v>
      </c>
      <c r="J31" s="53">
        <f t="shared" si="2"/>
        <v>484.25</v>
      </c>
      <c r="K31" s="53">
        <f t="shared" si="5"/>
        <v>25</v>
      </c>
      <c r="L31" s="53" t="b">
        <f t="shared" si="3"/>
        <v>1</v>
      </c>
      <c r="M31" s="53" t="b">
        <f t="shared" si="4"/>
        <v>1</v>
      </c>
      <c r="N31" s="53" t="str">
        <f t="shared" si="6"/>
        <v>poland-CHROMADURLIN S.A.S</v>
      </c>
      <c r="O31" s="68" t="str">
        <f t="shared" si="10"/>
        <v>poland
cans</v>
      </c>
      <c r="P31" s="53" t="b">
        <f t="shared" si="7"/>
        <v>0</v>
      </c>
      <c r="Q31" s="53"/>
      <c r="R31" s="53" t="str">
        <f t="shared" si="8"/>
        <v>CANS</v>
      </c>
      <c r="S31" s="53" t="str">
        <f t="shared" si="9"/>
        <v>cans</v>
      </c>
      <c r="T31" s="53">
        <f t="shared" si="11"/>
        <v>2</v>
      </c>
      <c r="U31" s="53" t="str">
        <f t="shared" si="12"/>
        <v>poland</v>
      </c>
      <c r="V31" s="53" t="str">
        <f t="shared" si="13"/>
        <v>Sprit</v>
      </c>
      <c r="W31" s="53" t="str">
        <f t="shared" si="14"/>
        <v>A.S</v>
      </c>
      <c r="X31" s="53">
        <f t="shared" si="15"/>
        <v>2</v>
      </c>
      <c r="Y31" s="53"/>
      <c r="Z31" s="53"/>
      <c r="AA31" s="53" t="s">
        <v>1708</v>
      </c>
    </row>
    <row r="32" spans="1:27" ht="30" x14ac:dyDescent="0.25">
      <c r="A32" s="79" t="s">
        <v>753</v>
      </c>
      <c r="B32" s="79" t="s">
        <v>1703</v>
      </c>
      <c r="C32" s="79" t="s">
        <v>1655</v>
      </c>
      <c r="D32" s="79" t="s">
        <v>1656</v>
      </c>
      <c r="E32" s="79" t="s">
        <v>1657</v>
      </c>
      <c r="F32" s="79" t="s">
        <v>35</v>
      </c>
      <c r="G32" s="79">
        <v>11.5</v>
      </c>
      <c r="H32" s="53">
        <f t="shared" si="0"/>
        <v>222</v>
      </c>
      <c r="I32" s="53">
        <f t="shared" si="1"/>
        <v>221</v>
      </c>
      <c r="J32" s="53">
        <f t="shared" si="2"/>
        <v>460</v>
      </c>
      <c r="K32" s="53">
        <f t="shared" si="5"/>
        <v>27</v>
      </c>
      <c r="L32" s="53" t="b">
        <f t="shared" si="3"/>
        <v>1</v>
      </c>
      <c r="M32" s="53" t="b">
        <f t="shared" si="4"/>
        <v>1</v>
      </c>
      <c r="N32" s="53" t="str">
        <f t="shared" si="6"/>
        <v>Netherlands-Bolsius Boxmeer</v>
      </c>
      <c r="O32" s="68" t="str">
        <f t="shared" si="10"/>
        <v>Netherlands
cans</v>
      </c>
      <c r="P32" s="53" t="b">
        <f t="shared" si="7"/>
        <v>0</v>
      </c>
      <c r="Q32" s="53"/>
      <c r="R32" s="53" t="str">
        <f t="shared" si="8"/>
        <v>CANS</v>
      </c>
      <c r="S32" s="53" t="str">
        <f t="shared" si="9"/>
        <v>cans</v>
      </c>
      <c r="T32" s="53">
        <f t="shared" si="11"/>
        <v>2</v>
      </c>
      <c r="U32" s="53" t="str">
        <f t="shared" si="12"/>
        <v>Nothorlands</v>
      </c>
      <c r="V32" s="53" t="str">
        <f t="shared" si="13"/>
        <v>Sunki</v>
      </c>
      <c r="W32" s="53" t="str">
        <f t="shared" si="14"/>
        <v>eer</v>
      </c>
      <c r="X32" s="53">
        <f t="shared" si="15"/>
        <v>2</v>
      </c>
      <c r="Y32" s="53"/>
      <c r="Z32" s="53"/>
      <c r="AA32" s="53" t="s">
        <v>207</v>
      </c>
    </row>
    <row r="33" spans="1:27" ht="30" x14ac:dyDescent="0.25">
      <c r="A33" s="79" t="s">
        <v>1048</v>
      </c>
      <c r="B33" s="79" t="s">
        <v>1704</v>
      </c>
      <c r="C33" s="79" t="s">
        <v>1705</v>
      </c>
      <c r="D33" s="79" t="s">
        <v>1666</v>
      </c>
      <c r="E33" s="79" t="s">
        <v>1667</v>
      </c>
      <c r="F33" s="79" t="s">
        <v>35</v>
      </c>
      <c r="G33" s="79">
        <v>16</v>
      </c>
      <c r="H33" s="53">
        <f t="shared" si="0"/>
        <v>132.5</v>
      </c>
      <c r="I33" s="53">
        <f t="shared" si="1"/>
        <v>120</v>
      </c>
      <c r="J33" s="53">
        <f t="shared" si="2"/>
        <v>415.25</v>
      </c>
      <c r="K33" s="53">
        <f t="shared" si="5"/>
        <v>24</v>
      </c>
      <c r="L33" s="53" t="b">
        <f t="shared" si="3"/>
        <v>1</v>
      </c>
      <c r="M33" s="53" t="b">
        <f t="shared" si="4"/>
        <v>1</v>
      </c>
      <c r="N33" s="53" t="str">
        <f t="shared" si="6"/>
        <v>Finland-HARDFORD AB</v>
      </c>
      <c r="O33" s="68" t="str">
        <f t="shared" si="10"/>
        <v>Finland
cans</v>
      </c>
      <c r="P33" s="53" t="b">
        <f t="shared" si="7"/>
        <v>0</v>
      </c>
      <c r="Q33" s="53"/>
      <c r="R33" s="53" t="str">
        <f t="shared" si="8"/>
        <v>CANS</v>
      </c>
      <c r="S33" s="53" t="str">
        <f t="shared" si="9"/>
        <v>cans</v>
      </c>
      <c r="T33" s="53">
        <f t="shared" si="11"/>
        <v>2</v>
      </c>
      <c r="U33" s="53" t="str">
        <f t="shared" si="12"/>
        <v>Finland</v>
      </c>
      <c r="V33" s="53" t="str">
        <f t="shared" si="13"/>
        <v>La Cr</v>
      </c>
      <c r="W33" s="53" t="str">
        <f t="shared" si="14"/>
        <v xml:space="preserve"> AB</v>
      </c>
      <c r="X33" s="53">
        <f t="shared" si="15"/>
        <v>2</v>
      </c>
      <c r="Y33" s="53"/>
      <c r="Z33" s="53"/>
      <c r="AA33" s="53" t="s">
        <v>829</v>
      </c>
    </row>
    <row r="34" spans="1:27" ht="30" x14ac:dyDescent="0.25">
      <c r="A34" s="79" t="s">
        <v>1706</v>
      </c>
      <c r="B34" s="79" t="s">
        <v>1707</v>
      </c>
      <c r="C34" s="79" t="s">
        <v>1705</v>
      </c>
      <c r="D34" s="79" t="s">
        <v>1662</v>
      </c>
      <c r="E34" s="79" t="s">
        <v>1663</v>
      </c>
      <c r="F34" s="79" t="s">
        <v>35</v>
      </c>
      <c r="G34" s="79">
        <v>16</v>
      </c>
      <c r="H34" s="53">
        <f t="shared" si="0"/>
        <v>132.5</v>
      </c>
      <c r="I34" s="53">
        <f t="shared" si="1"/>
        <v>120</v>
      </c>
      <c r="J34" s="53">
        <f t="shared" si="2"/>
        <v>587.25</v>
      </c>
      <c r="K34" s="53">
        <f t="shared" si="5"/>
        <v>33</v>
      </c>
      <c r="L34" s="53" t="b">
        <f t="shared" si="3"/>
        <v>1</v>
      </c>
      <c r="M34" s="53" t="b">
        <f t="shared" si="4"/>
        <v>1</v>
      </c>
      <c r="N34" s="53" t="str">
        <f t="shared" si="6"/>
        <v>Bangladesh-DENIMACH LTD</v>
      </c>
      <c r="O34" s="68" t="str">
        <f t="shared" si="10"/>
        <v>Bangladesh
cans</v>
      </c>
      <c r="P34" s="53" t="b">
        <f t="shared" si="7"/>
        <v>0</v>
      </c>
      <c r="Q34" s="53"/>
      <c r="R34" s="53" t="str">
        <f t="shared" si="8"/>
        <v>CANS</v>
      </c>
      <c r="S34" s="53" t="str">
        <f t="shared" si="9"/>
        <v>cans</v>
      </c>
      <c r="T34" s="53">
        <f t="shared" si="11"/>
        <v>2</v>
      </c>
      <c r="U34" s="53" t="str">
        <f t="shared" si="12"/>
        <v>Bangladosh</v>
      </c>
      <c r="V34" s="53" t="str">
        <f t="shared" si="13"/>
        <v>La Cr</v>
      </c>
      <c r="W34" s="53" t="str">
        <f t="shared" si="14"/>
        <v>LTD</v>
      </c>
      <c r="X34" s="53">
        <f t="shared" si="15"/>
        <v>2</v>
      </c>
      <c r="Y34" s="53"/>
      <c r="Z34" s="53"/>
      <c r="AA34" s="53" t="s">
        <v>746</v>
      </c>
    </row>
    <row r="35" spans="1:27" ht="30" x14ac:dyDescent="0.25">
      <c r="A35" s="79" t="s">
        <v>1708</v>
      </c>
      <c r="B35" s="79" t="s">
        <v>1709</v>
      </c>
      <c r="C35" s="79" t="s">
        <v>1705</v>
      </c>
      <c r="D35" s="79" t="s">
        <v>1669</v>
      </c>
      <c r="E35" s="79" t="s">
        <v>1670</v>
      </c>
      <c r="F35" s="79" t="s">
        <v>35</v>
      </c>
      <c r="G35" s="79">
        <v>16</v>
      </c>
      <c r="H35" s="53">
        <f t="shared" si="0"/>
        <v>132.5</v>
      </c>
      <c r="I35" s="53">
        <f t="shared" si="1"/>
        <v>120</v>
      </c>
      <c r="J35" s="53">
        <f t="shared" si="2"/>
        <v>514.5</v>
      </c>
      <c r="K35" s="53">
        <f t="shared" si="5"/>
        <v>23</v>
      </c>
      <c r="L35" s="53" t="b">
        <f t="shared" si="3"/>
        <v>1</v>
      </c>
      <c r="M35" s="53" t="b">
        <f t="shared" si="4"/>
        <v>1</v>
      </c>
      <c r="N35" s="53" t="str">
        <f t="shared" si="6"/>
        <v>Lithuania-BIGSO AB</v>
      </c>
      <c r="O35" s="68" t="str">
        <f t="shared" si="10"/>
        <v>Lithuania
cans</v>
      </c>
      <c r="P35" s="53" t="b">
        <f t="shared" si="7"/>
        <v>0</v>
      </c>
      <c r="Q35" s="53"/>
      <c r="R35" s="53" t="str">
        <f t="shared" si="8"/>
        <v>CANS</v>
      </c>
      <c r="S35" s="53" t="str">
        <f t="shared" si="9"/>
        <v>cans</v>
      </c>
      <c r="T35" s="53">
        <f t="shared" si="11"/>
        <v>2</v>
      </c>
      <c r="U35" s="53" t="str">
        <f t="shared" si="12"/>
        <v>Lithuania</v>
      </c>
      <c r="V35" s="53" t="str">
        <f t="shared" si="13"/>
        <v>La Cr</v>
      </c>
      <c r="W35" s="53" t="str">
        <f t="shared" si="14"/>
        <v xml:space="preserve"> AB</v>
      </c>
      <c r="X35" s="53">
        <f t="shared" si="15"/>
        <v>2</v>
      </c>
      <c r="Y35" s="53"/>
      <c r="Z35" s="53"/>
      <c r="AA35" s="53" t="s">
        <v>859</v>
      </c>
    </row>
    <row r="36" spans="1:27" ht="30" x14ac:dyDescent="0.25">
      <c r="A36" s="79" t="s">
        <v>207</v>
      </c>
      <c r="B36" s="79" t="s">
        <v>1710</v>
      </c>
      <c r="C36" s="79" t="s">
        <v>1705</v>
      </c>
      <c r="D36" s="79" t="s">
        <v>1659</v>
      </c>
      <c r="E36" s="79" t="s">
        <v>1660</v>
      </c>
      <c r="F36" s="79" t="s">
        <v>35</v>
      </c>
      <c r="G36" s="79">
        <v>16</v>
      </c>
      <c r="H36" s="53">
        <f t="shared" si="0"/>
        <v>132.5</v>
      </c>
      <c r="I36" s="53">
        <f t="shared" si="1"/>
        <v>120</v>
      </c>
      <c r="J36" s="53">
        <f t="shared" si="2"/>
        <v>484.25</v>
      </c>
      <c r="K36" s="53">
        <f t="shared" si="5"/>
        <v>24</v>
      </c>
      <c r="L36" s="53" t="b">
        <f t="shared" si="3"/>
        <v>1</v>
      </c>
      <c r="M36" s="53" t="b">
        <f t="shared" si="4"/>
        <v>1</v>
      </c>
      <c r="N36" s="53" t="str">
        <f t="shared" si="6"/>
        <v>poland-CHROMADURLIN S.A.S</v>
      </c>
      <c r="O36" s="68" t="str">
        <f t="shared" si="10"/>
        <v>poland
cans</v>
      </c>
      <c r="P36" s="53" t="b">
        <f t="shared" si="7"/>
        <v>0</v>
      </c>
      <c r="Q36" s="53"/>
      <c r="R36" s="53" t="str">
        <f t="shared" si="8"/>
        <v>CANS</v>
      </c>
      <c r="S36" s="53" t="str">
        <f t="shared" si="9"/>
        <v>cans</v>
      </c>
      <c r="T36" s="53">
        <f t="shared" si="11"/>
        <v>2</v>
      </c>
      <c r="U36" s="53" t="str">
        <f t="shared" si="12"/>
        <v>poland</v>
      </c>
      <c r="V36" s="53" t="str">
        <f t="shared" si="13"/>
        <v>La Cr</v>
      </c>
      <c r="W36" s="53" t="str">
        <f t="shared" si="14"/>
        <v>A.S</v>
      </c>
      <c r="X36" s="53">
        <f t="shared" si="15"/>
        <v>2</v>
      </c>
      <c r="Y36" s="53"/>
      <c r="Z36" s="53"/>
      <c r="AA36" s="53" t="s">
        <v>348</v>
      </c>
    </row>
    <row r="37" spans="1:27" ht="30" x14ac:dyDescent="0.25">
      <c r="A37" s="79" t="s">
        <v>829</v>
      </c>
      <c r="B37" s="79" t="s">
        <v>1711</v>
      </c>
      <c r="C37" s="79" t="s">
        <v>1705</v>
      </c>
      <c r="D37" s="79" t="s">
        <v>1690</v>
      </c>
      <c r="E37" s="79" t="s">
        <v>1691</v>
      </c>
      <c r="F37" s="79" t="s">
        <v>35</v>
      </c>
      <c r="G37" s="79">
        <v>16</v>
      </c>
      <c r="H37" s="53">
        <f t="shared" si="0"/>
        <v>132.5</v>
      </c>
      <c r="I37" s="53">
        <f t="shared" si="1"/>
        <v>120</v>
      </c>
      <c r="J37" s="53">
        <f t="shared" si="2"/>
        <v>415</v>
      </c>
      <c r="K37" s="53">
        <f t="shared" si="5"/>
        <v>22</v>
      </c>
      <c r="L37" s="53" t="b">
        <f t="shared" si="3"/>
        <v>1</v>
      </c>
      <c r="M37" s="53" t="b">
        <f t="shared" si="4"/>
        <v>1</v>
      </c>
      <c r="N37" s="53" t="str">
        <f t="shared" si="6"/>
        <v>Cambodia-NINGBO SEDUNO IMP &amp; EXP CO.LTD</v>
      </c>
      <c r="O37" s="68" t="str">
        <f t="shared" si="10"/>
        <v>Cambodia
cans</v>
      </c>
      <c r="P37" s="53" t="b">
        <f t="shared" si="7"/>
        <v>0</v>
      </c>
      <c r="Q37" s="53"/>
      <c r="R37" s="53" t="str">
        <f t="shared" si="8"/>
        <v>CANS</v>
      </c>
      <c r="S37" s="53" t="str">
        <f t="shared" si="9"/>
        <v>cans</v>
      </c>
      <c r="T37" s="53">
        <f t="shared" si="11"/>
        <v>2</v>
      </c>
      <c r="U37" s="53" t="str">
        <f t="shared" si="12"/>
        <v>Cambodia</v>
      </c>
      <c r="V37" s="53" t="str">
        <f t="shared" si="13"/>
        <v>La Cr</v>
      </c>
      <c r="W37" s="53" t="str">
        <f t="shared" si="14"/>
        <v>LTD</v>
      </c>
      <c r="X37" s="53">
        <f t="shared" si="15"/>
        <v>2</v>
      </c>
      <c r="Y37" s="53"/>
      <c r="Z37" s="53"/>
      <c r="AA37" s="53" t="s">
        <v>1054</v>
      </c>
    </row>
    <row r="38" spans="1:27" ht="30" x14ac:dyDescent="0.25">
      <c r="A38" s="79" t="s">
        <v>746</v>
      </c>
      <c r="B38" s="79" t="s">
        <v>1712</v>
      </c>
      <c r="C38" s="79" t="s">
        <v>1705</v>
      </c>
      <c r="D38" s="79" t="s">
        <v>1683</v>
      </c>
      <c r="E38" s="79" t="s">
        <v>1684</v>
      </c>
      <c r="F38" s="79" t="s">
        <v>35</v>
      </c>
      <c r="G38" s="79">
        <v>16</v>
      </c>
      <c r="H38" s="53">
        <f t="shared" si="0"/>
        <v>132.5</v>
      </c>
      <c r="I38" s="53">
        <f t="shared" si="1"/>
        <v>120</v>
      </c>
      <c r="J38" s="53">
        <f t="shared" si="2"/>
        <v>432.25</v>
      </c>
      <c r="K38" s="53">
        <f t="shared" si="5"/>
        <v>19</v>
      </c>
      <c r="L38" s="53" t="b">
        <f t="shared" si="3"/>
        <v>1</v>
      </c>
      <c r="M38" s="53" t="b">
        <f t="shared" si="4"/>
        <v>1</v>
      </c>
      <c r="N38" s="53" t="str">
        <f t="shared" si="6"/>
        <v>United States-MAESA SAS</v>
      </c>
      <c r="O38" s="68" t="str">
        <f t="shared" si="10"/>
        <v>United States
cans</v>
      </c>
      <c r="P38" s="53" t="b">
        <f t="shared" si="7"/>
        <v>0</v>
      </c>
      <c r="Q38" s="53"/>
      <c r="R38" s="53" t="str">
        <f t="shared" si="8"/>
        <v>CANS</v>
      </c>
      <c r="S38" s="53" t="str">
        <f t="shared" si="9"/>
        <v>cans</v>
      </c>
      <c r="T38" s="53">
        <f t="shared" si="11"/>
        <v>2</v>
      </c>
      <c r="U38" s="53" t="str">
        <f t="shared" si="12"/>
        <v>Unitod Statos</v>
      </c>
      <c r="V38" s="53" t="str">
        <f t="shared" si="13"/>
        <v>La Cr</v>
      </c>
      <c r="W38" s="53" t="str">
        <f t="shared" si="14"/>
        <v>SAS</v>
      </c>
      <c r="X38" s="53">
        <f t="shared" si="15"/>
        <v>2</v>
      </c>
      <c r="Y38" s="53"/>
      <c r="Z38" s="53"/>
      <c r="AA38" s="53"/>
    </row>
    <row r="39" spans="1:27" ht="30" x14ac:dyDescent="0.25">
      <c r="A39" s="79" t="s">
        <v>859</v>
      </c>
      <c r="B39" s="79" t="s">
        <v>1713</v>
      </c>
      <c r="C39" s="79" t="s">
        <v>1705</v>
      </c>
      <c r="D39" s="79" t="s">
        <v>1680</v>
      </c>
      <c r="E39" s="79" t="s">
        <v>1681</v>
      </c>
      <c r="F39" s="79" t="s">
        <v>35</v>
      </c>
      <c r="G39" s="79">
        <v>16</v>
      </c>
      <c r="H39" s="53">
        <f t="shared" si="0"/>
        <v>132.5</v>
      </c>
      <c r="I39" s="53">
        <f t="shared" si="1"/>
        <v>120</v>
      </c>
      <c r="J39" s="53">
        <f t="shared" si="2"/>
        <v>264</v>
      </c>
      <c r="K39" s="53">
        <f t="shared" si="5"/>
        <v>13</v>
      </c>
      <c r="L39" s="53" t="b">
        <f t="shared" si="3"/>
        <v>1</v>
      </c>
      <c r="M39" s="53" t="b">
        <f t="shared" si="4"/>
        <v>1</v>
      </c>
      <c r="N39" s="53" t="str">
        <f t="shared" si="6"/>
        <v>China-CHERRY GROUP CO.,LTD</v>
      </c>
      <c r="O39" s="68" t="str">
        <f t="shared" si="10"/>
        <v>China
cans</v>
      </c>
      <c r="P39" s="53" t="b">
        <f t="shared" si="7"/>
        <v>0</v>
      </c>
      <c r="Q39" s="53"/>
      <c r="R39" s="53" t="str">
        <f t="shared" si="8"/>
        <v>CANS</v>
      </c>
      <c r="S39" s="53" t="str">
        <f t="shared" si="9"/>
        <v>cans</v>
      </c>
      <c r="T39" s="53">
        <f t="shared" si="11"/>
        <v>2</v>
      </c>
      <c r="U39" s="53" t="str">
        <f t="shared" si="12"/>
        <v>China</v>
      </c>
      <c r="V39" s="53" t="str">
        <f t="shared" si="13"/>
        <v>La Cr</v>
      </c>
      <c r="W39" s="53" t="str">
        <f t="shared" si="14"/>
        <v>LTD</v>
      </c>
      <c r="X39" s="53">
        <f t="shared" si="15"/>
        <v>2</v>
      </c>
      <c r="Y39" s="53"/>
      <c r="Z39" s="53"/>
      <c r="AA39" s="53"/>
    </row>
    <row r="40" spans="1:27" ht="30" x14ac:dyDescent="0.25">
      <c r="A40" s="79" t="s">
        <v>348</v>
      </c>
      <c r="B40" s="79" t="s">
        <v>1714</v>
      </c>
      <c r="C40" s="79" t="s">
        <v>1705</v>
      </c>
      <c r="D40" s="79" t="s">
        <v>1666</v>
      </c>
      <c r="E40" s="79" t="s">
        <v>1667</v>
      </c>
      <c r="F40" s="79" t="s">
        <v>35</v>
      </c>
      <c r="G40" s="79">
        <v>16</v>
      </c>
      <c r="H40" s="53">
        <f t="shared" si="0"/>
        <v>132.5</v>
      </c>
      <c r="I40" s="53">
        <f t="shared" si="1"/>
        <v>120</v>
      </c>
      <c r="J40" s="53">
        <f t="shared" si="2"/>
        <v>415.25</v>
      </c>
      <c r="K40" s="53">
        <f t="shared" si="5"/>
        <v>23</v>
      </c>
      <c r="L40" s="53" t="b">
        <f t="shared" si="3"/>
        <v>1</v>
      </c>
      <c r="M40" s="53" t="b">
        <f t="shared" si="4"/>
        <v>1</v>
      </c>
      <c r="N40" s="53" t="str">
        <f t="shared" si="6"/>
        <v>Finland-HARDFORD AB</v>
      </c>
      <c r="O40" s="68" t="str">
        <f t="shared" si="10"/>
        <v>Finland
cans</v>
      </c>
      <c r="P40" s="53" t="b">
        <f t="shared" si="7"/>
        <v>0</v>
      </c>
      <c r="Q40" s="53"/>
      <c r="R40" s="53" t="str">
        <f t="shared" si="8"/>
        <v>CANS</v>
      </c>
      <c r="S40" s="53" t="str">
        <f t="shared" si="9"/>
        <v>cans</v>
      </c>
      <c r="T40" s="53">
        <f t="shared" si="11"/>
        <v>2</v>
      </c>
      <c r="U40" s="53" t="str">
        <f t="shared" si="12"/>
        <v>Finland</v>
      </c>
      <c r="V40" s="53" t="str">
        <f t="shared" si="13"/>
        <v>La Cr</v>
      </c>
      <c r="W40" s="53" t="str">
        <f t="shared" si="14"/>
        <v xml:space="preserve"> AB</v>
      </c>
      <c r="X40" s="53">
        <f t="shared" si="15"/>
        <v>2</v>
      </c>
      <c r="Y40" s="53"/>
      <c r="Z40" s="53"/>
      <c r="AA40" s="53"/>
    </row>
    <row r="41" spans="1:27" ht="30" x14ac:dyDescent="0.25">
      <c r="A41" s="79" t="s">
        <v>1054</v>
      </c>
      <c r="B41" s="79" t="s">
        <v>1715</v>
      </c>
      <c r="C41" s="79" t="s">
        <v>1705</v>
      </c>
      <c r="D41" s="79" t="s">
        <v>1690</v>
      </c>
      <c r="E41" s="79" t="s">
        <v>1691</v>
      </c>
      <c r="F41" s="79" t="s">
        <v>60</v>
      </c>
      <c r="G41" s="79">
        <v>23</v>
      </c>
      <c r="H41" s="53">
        <f t="shared" si="0"/>
        <v>40</v>
      </c>
      <c r="I41" s="53">
        <f t="shared" si="1"/>
        <v>38</v>
      </c>
      <c r="J41" s="53">
        <f t="shared" si="2"/>
        <v>415</v>
      </c>
      <c r="K41" s="53">
        <f t="shared" si="5"/>
        <v>21</v>
      </c>
      <c r="L41" s="53" t="b">
        <f t="shared" si="3"/>
        <v>0</v>
      </c>
      <c r="M41" s="53" t="b">
        <f t="shared" si="4"/>
        <v>1</v>
      </c>
      <c r="N41" s="53" t="str">
        <f t="shared" si="6"/>
        <v>Cambodia-NINGBO SEDUNO IMP &amp; EXP CO.LTD</v>
      </c>
      <c r="O41" s="68" t="str">
        <f t="shared" si="10"/>
        <v>Cambodia
bottles</v>
      </c>
      <c r="P41" s="53" t="b">
        <f t="shared" si="7"/>
        <v>0</v>
      </c>
      <c r="Q41" s="53"/>
      <c r="R41" s="53" t="str">
        <f t="shared" si="8"/>
        <v>BOTTLES</v>
      </c>
      <c r="S41" s="53" t="str">
        <f t="shared" si="9"/>
        <v>bottles</v>
      </c>
      <c r="T41" s="53">
        <f t="shared" si="11"/>
        <v>2</v>
      </c>
      <c r="U41" s="53" t="str">
        <f t="shared" si="12"/>
        <v>Cambodia</v>
      </c>
      <c r="V41" s="53" t="str">
        <f t="shared" si="13"/>
        <v>Perri</v>
      </c>
      <c r="W41" s="53" t="str">
        <f t="shared" si="14"/>
        <v>LTD</v>
      </c>
      <c r="X41" s="53" t="e">
        <f t="shared" si="15"/>
        <v>#VALUE!</v>
      </c>
      <c r="Y41" s="53"/>
      <c r="Z41" s="53"/>
      <c r="AA41" s="53"/>
    </row>
    <row r="42" spans="1:27" ht="30" x14ac:dyDescent="0.25">
      <c r="A42" s="79" t="s">
        <v>1558</v>
      </c>
      <c r="B42" s="79" t="s">
        <v>1716</v>
      </c>
      <c r="C42" s="79" t="s">
        <v>1705</v>
      </c>
      <c r="D42" s="79" t="s">
        <v>1662</v>
      </c>
      <c r="E42" s="79" t="s">
        <v>1663</v>
      </c>
      <c r="F42" s="79" t="s">
        <v>60</v>
      </c>
      <c r="G42" s="79">
        <v>26</v>
      </c>
      <c r="H42" s="53">
        <f t="shared" si="0"/>
        <v>26.5</v>
      </c>
      <c r="I42" s="53">
        <f t="shared" si="1"/>
        <v>24</v>
      </c>
      <c r="J42" s="53">
        <f t="shared" si="2"/>
        <v>587.25</v>
      </c>
      <c r="K42" s="53">
        <f t="shared" si="5"/>
        <v>32</v>
      </c>
      <c r="L42" s="53" t="b">
        <f t="shared" si="3"/>
        <v>0</v>
      </c>
      <c r="M42" s="53" t="b">
        <f t="shared" si="4"/>
        <v>1</v>
      </c>
      <c r="N42" s="53" t="str">
        <f t="shared" si="6"/>
        <v>Bangladesh-DENIMACH LTD</v>
      </c>
      <c r="O42" s="68" t="str">
        <f t="shared" si="10"/>
        <v>Bangladesh
bottles</v>
      </c>
      <c r="P42" s="53" t="b">
        <f t="shared" si="7"/>
        <v>0</v>
      </c>
      <c r="Q42" s="53"/>
      <c r="R42" s="53" t="str">
        <f t="shared" si="8"/>
        <v>BOTTLES</v>
      </c>
      <c r="S42" s="53" t="str">
        <f t="shared" si="9"/>
        <v>bottles</v>
      </c>
      <c r="T42" s="53">
        <f t="shared" si="11"/>
        <v>2</v>
      </c>
      <c r="U42" s="53" t="str">
        <f t="shared" si="12"/>
        <v>Bangladosh</v>
      </c>
      <c r="V42" s="53" t="str">
        <f t="shared" si="13"/>
        <v>Perri</v>
      </c>
      <c r="W42" s="53" t="str">
        <f t="shared" si="14"/>
        <v>LTD</v>
      </c>
      <c r="X42" s="53" t="e">
        <f t="shared" si="15"/>
        <v>#VALUE!</v>
      </c>
      <c r="Y42" s="53"/>
      <c r="Z42" s="53"/>
      <c r="AA42" s="53"/>
    </row>
    <row r="43" spans="1:27" ht="30" x14ac:dyDescent="0.25">
      <c r="A43" s="79" t="s">
        <v>1717</v>
      </c>
      <c r="B43" s="79" t="s">
        <v>1718</v>
      </c>
      <c r="C43" s="79" t="s">
        <v>1705</v>
      </c>
      <c r="D43" s="79" t="s">
        <v>1690</v>
      </c>
      <c r="E43" s="79" t="s">
        <v>1691</v>
      </c>
      <c r="F43" s="79" t="s">
        <v>60</v>
      </c>
      <c r="G43" s="79">
        <v>22</v>
      </c>
      <c r="H43" s="53">
        <f t="shared" si="0"/>
        <v>46.5</v>
      </c>
      <c r="I43" s="53">
        <f t="shared" si="1"/>
        <v>44</v>
      </c>
      <c r="J43" s="53">
        <f t="shared" si="2"/>
        <v>415</v>
      </c>
      <c r="K43" s="53">
        <f t="shared" si="5"/>
        <v>20</v>
      </c>
      <c r="L43" s="53" t="b">
        <f t="shared" si="3"/>
        <v>0</v>
      </c>
      <c r="M43" s="53" t="b">
        <f t="shared" si="4"/>
        <v>1</v>
      </c>
      <c r="N43" s="53" t="str">
        <f t="shared" si="6"/>
        <v>Cambodia-NINGBO SEDUNO IMP &amp; EXP CO.LTD</v>
      </c>
      <c r="O43" s="68" t="str">
        <f t="shared" si="10"/>
        <v>Cambodia
bottles</v>
      </c>
      <c r="P43" s="53" t="b">
        <f t="shared" si="7"/>
        <v>0</v>
      </c>
      <c r="Q43" s="53"/>
      <c r="R43" s="53" t="str">
        <f t="shared" si="8"/>
        <v>BOTTLES</v>
      </c>
      <c r="S43" s="53" t="str">
        <f t="shared" si="9"/>
        <v>bottles</v>
      </c>
      <c r="T43" s="53">
        <f t="shared" si="11"/>
        <v>2</v>
      </c>
      <c r="U43" s="53" t="str">
        <f t="shared" si="12"/>
        <v>Cambodia</v>
      </c>
      <c r="V43" s="53" t="str">
        <f t="shared" si="13"/>
        <v>Perri</v>
      </c>
      <c r="W43" s="53" t="str">
        <f t="shared" si="14"/>
        <v>LTD</v>
      </c>
      <c r="X43" s="53" t="e">
        <f t="shared" si="15"/>
        <v>#VALUE!</v>
      </c>
      <c r="Y43" s="53"/>
      <c r="Z43" s="53"/>
      <c r="AA43" s="53"/>
    </row>
    <row r="44" spans="1:27" ht="30" x14ac:dyDescent="0.25">
      <c r="A44" s="79" t="s">
        <v>846</v>
      </c>
      <c r="B44" s="79" t="s">
        <v>1719</v>
      </c>
      <c r="C44" s="79" t="s">
        <v>1705</v>
      </c>
      <c r="D44" s="79" t="s">
        <v>1666</v>
      </c>
      <c r="E44" s="79" t="s">
        <v>1667</v>
      </c>
      <c r="F44" s="79" t="s">
        <v>60</v>
      </c>
      <c r="G44" s="79">
        <v>23</v>
      </c>
      <c r="H44" s="53">
        <f t="shared" si="0"/>
        <v>40</v>
      </c>
      <c r="I44" s="53">
        <f t="shared" si="1"/>
        <v>38</v>
      </c>
      <c r="J44" s="53">
        <f t="shared" si="2"/>
        <v>415.25</v>
      </c>
      <c r="K44" s="53">
        <f t="shared" si="5"/>
        <v>22</v>
      </c>
      <c r="L44" s="53" t="b">
        <f t="shared" si="3"/>
        <v>0</v>
      </c>
      <c r="M44" s="53" t="b">
        <f t="shared" si="4"/>
        <v>1</v>
      </c>
      <c r="N44" s="53" t="str">
        <f t="shared" si="6"/>
        <v>Finland-HARDFORD AB</v>
      </c>
      <c r="O44" s="68" t="str">
        <f t="shared" si="10"/>
        <v>Finland
bottles</v>
      </c>
      <c r="P44" s="53" t="b">
        <f t="shared" si="7"/>
        <v>0</v>
      </c>
      <c r="Q44" s="53"/>
      <c r="R44" s="53" t="str">
        <f t="shared" si="8"/>
        <v>BOTTLES</v>
      </c>
      <c r="S44" s="53" t="str">
        <f t="shared" si="9"/>
        <v>bottles</v>
      </c>
      <c r="T44" s="53">
        <f t="shared" si="11"/>
        <v>2</v>
      </c>
      <c r="U44" s="53" t="str">
        <f t="shared" si="12"/>
        <v>Finland</v>
      </c>
      <c r="V44" s="53" t="str">
        <f t="shared" si="13"/>
        <v>San P</v>
      </c>
      <c r="W44" s="53" t="str">
        <f t="shared" si="14"/>
        <v xml:space="preserve"> AB</v>
      </c>
      <c r="X44" s="53" t="e">
        <f t="shared" si="15"/>
        <v>#VALUE!</v>
      </c>
      <c r="Y44" s="53"/>
      <c r="Z44" s="53"/>
      <c r="AA44" s="53"/>
    </row>
    <row r="45" spans="1:27" ht="30" x14ac:dyDescent="0.25">
      <c r="A45" s="79" t="s">
        <v>649</v>
      </c>
      <c r="B45" s="79" t="s">
        <v>1720</v>
      </c>
      <c r="C45" s="79" t="s">
        <v>1705</v>
      </c>
      <c r="D45" s="79" t="s">
        <v>1683</v>
      </c>
      <c r="E45" s="79" t="s">
        <v>1684</v>
      </c>
      <c r="F45" s="79" t="s">
        <v>60</v>
      </c>
      <c r="G45" s="79">
        <v>28</v>
      </c>
      <c r="H45" s="53">
        <f t="shared" si="0"/>
        <v>23</v>
      </c>
      <c r="I45" s="53">
        <f t="shared" si="1"/>
        <v>23</v>
      </c>
      <c r="J45" s="53">
        <f t="shared" si="2"/>
        <v>432.25</v>
      </c>
      <c r="K45" s="53">
        <f t="shared" si="5"/>
        <v>18</v>
      </c>
      <c r="L45" s="53" t="b">
        <f t="shared" si="3"/>
        <v>0</v>
      </c>
      <c r="M45" s="53" t="b">
        <f t="shared" si="4"/>
        <v>1</v>
      </c>
      <c r="N45" s="53" t="str">
        <f t="shared" si="6"/>
        <v>United States-MAESA SAS</v>
      </c>
      <c r="O45" s="68" t="str">
        <f t="shared" si="10"/>
        <v>United States
bottles</v>
      </c>
      <c r="P45" s="53" t="b">
        <f t="shared" si="7"/>
        <v>0</v>
      </c>
      <c r="Q45" s="53"/>
      <c r="R45" s="53" t="str">
        <f t="shared" si="8"/>
        <v>BOTTLES</v>
      </c>
      <c r="S45" s="53" t="str">
        <f t="shared" si="9"/>
        <v>bottles</v>
      </c>
      <c r="T45" s="53">
        <f t="shared" si="11"/>
        <v>2</v>
      </c>
      <c r="U45" s="53" t="str">
        <f t="shared" si="12"/>
        <v>Unitod Statos</v>
      </c>
      <c r="V45" s="53" t="str">
        <f t="shared" si="13"/>
        <v xml:space="preserve">Topo </v>
      </c>
      <c r="W45" s="53" t="str">
        <f t="shared" si="14"/>
        <v>SAS</v>
      </c>
      <c r="X45" s="53" t="e">
        <f t="shared" si="15"/>
        <v>#VALUE!</v>
      </c>
      <c r="Y45" s="53"/>
      <c r="Z45" s="53"/>
      <c r="AA45" s="53"/>
    </row>
    <row r="46" spans="1:27" ht="30" x14ac:dyDescent="0.25">
      <c r="A46" s="79" t="s">
        <v>655</v>
      </c>
      <c r="B46" s="79" t="s">
        <v>1721</v>
      </c>
      <c r="C46" s="79" t="s">
        <v>1705</v>
      </c>
      <c r="D46" s="79" t="s">
        <v>1680</v>
      </c>
      <c r="E46" s="79" t="s">
        <v>1681</v>
      </c>
      <c r="F46" s="79" t="s">
        <v>60</v>
      </c>
      <c r="G46" s="79">
        <v>24</v>
      </c>
      <c r="H46" s="53">
        <f t="shared" si="0"/>
        <v>34</v>
      </c>
      <c r="I46" s="53">
        <f t="shared" si="1"/>
        <v>31</v>
      </c>
      <c r="J46" s="53">
        <f t="shared" si="2"/>
        <v>264</v>
      </c>
      <c r="K46" s="53">
        <f t="shared" si="5"/>
        <v>12</v>
      </c>
      <c r="L46" s="53" t="b">
        <f t="shared" si="3"/>
        <v>0</v>
      </c>
      <c r="M46" s="53" t="b">
        <f t="shared" si="4"/>
        <v>1</v>
      </c>
      <c r="N46" s="53" t="str">
        <f t="shared" si="6"/>
        <v>China-CHERRY GROUP CO.,LTD</v>
      </c>
      <c r="O46" s="68" t="str">
        <f t="shared" si="10"/>
        <v>China
bottles</v>
      </c>
      <c r="P46" s="53" t="b">
        <f t="shared" si="7"/>
        <v>0</v>
      </c>
      <c r="Q46" s="53"/>
      <c r="R46" s="53" t="str">
        <f t="shared" si="8"/>
        <v>BOTTLES</v>
      </c>
      <c r="S46" s="53" t="str">
        <f t="shared" si="9"/>
        <v>bottles</v>
      </c>
      <c r="T46" s="53">
        <f t="shared" si="11"/>
        <v>2</v>
      </c>
      <c r="U46" s="53" t="str">
        <f t="shared" si="12"/>
        <v>China</v>
      </c>
      <c r="V46" s="53" t="str">
        <f t="shared" si="13"/>
        <v xml:space="preserve">Topo </v>
      </c>
      <c r="W46" s="53" t="str">
        <f t="shared" si="14"/>
        <v>LTD</v>
      </c>
      <c r="X46" s="53" t="e">
        <f t="shared" si="15"/>
        <v>#VALUE!</v>
      </c>
      <c r="Y46" s="53"/>
      <c r="Z46" s="53"/>
      <c r="AA46" s="53"/>
    </row>
    <row r="47" spans="1:27" ht="30" x14ac:dyDescent="0.25">
      <c r="A47" s="79" t="s">
        <v>483</v>
      </c>
      <c r="B47" s="79" t="s">
        <v>1722</v>
      </c>
      <c r="C47" s="79" t="s">
        <v>1705</v>
      </c>
      <c r="D47" s="79" t="s">
        <v>1690</v>
      </c>
      <c r="E47" s="79" t="s">
        <v>1691</v>
      </c>
      <c r="F47" s="79" t="s">
        <v>35</v>
      </c>
      <c r="G47" s="79">
        <v>8</v>
      </c>
      <c r="H47" s="53">
        <f t="shared" si="0"/>
        <v>236.5</v>
      </c>
      <c r="I47" s="53">
        <f t="shared" si="1"/>
        <v>233</v>
      </c>
      <c r="J47" s="53">
        <f t="shared" si="2"/>
        <v>415</v>
      </c>
      <c r="K47" s="53">
        <f t="shared" si="5"/>
        <v>19</v>
      </c>
      <c r="L47" s="53" t="b">
        <f t="shared" si="3"/>
        <v>1</v>
      </c>
      <c r="M47" s="53" t="b">
        <f t="shared" si="4"/>
        <v>1</v>
      </c>
      <c r="N47" s="53" t="str">
        <f t="shared" si="6"/>
        <v>Cambodia-NINGBO SEDUNO IMP &amp; EXP CO.LTD</v>
      </c>
      <c r="O47" s="68" t="str">
        <f t="shared" si="10"/>
        <v>Cambodia
cans</v>
      </c>
      <c r="P47" s="53" t="b">
        <f t="shared" si="7"/>
        <v>0</v>
      </c>
      <c r="Q47" s="53"/>
      <c r="R47" s="53" t="str">
        <f t="shared" si="8"/>
        <v>CANS</v>
      </c>
      <c r="S47" s="53" t="str">
        <f t="shared" si="9"/>
        <v>cans</v>
      </c>
      <c r="T47" s="53">
        <f t="shared" si="11"/>
        <v>2</v>
      </c>
      <c r="U47" s="53" t="str">
        <f t="shared" si="12"/>
        <v>Cambodia</v>
      </c>
      <c r="V47" s="53" t="str">
        <f t="shared" si="13"/>
        <v>Water</v>
      </c>
      <c r="W47" s="53" t="str">
        <f t="shared" si="14"/>
        <v>LTD</v>
      </c>
      <c r="X47" s="53">
        <f t="shared" si="15"/>
        <v>2</v>
      </c>
      <c r="Y47" s="53"/>
      <c r="Z47" s="53"/>
      <c r="AA47" s="53"/>
    </row>
    <row r="48" spans="1:27" ht="30" x14ac:dyDescent="0.25">
      <c r="A48" s="79" t="s">
        <v>322</v>
      </c>
      <c r="B48" s="79" t="s">
        <v>1723</v>
      </c>
      <c r="C48" s="79" t="s">
        <v>1705</v>
      </c>
      <c r="D48" s="79" t="s">
        <v>1680</v>
      </c>
      <c r="E48" s="79" t="s">
        <v>1681</v>
      </c>
      <c r="F48" s="79" t="s">
        <v>35</v>
      </c>
      <c r="G48" s="79">
        <v>8</v>
      </c>
      <c r="H48" s="53">
        <f t="shared" si="0"/>
        <v>236.5</v>
      </c>
      <c r="I48" s="53">
        <f t="shared" si="1"/>
        <v>233</v>
      </c>
      <c r="J48" s="53">
        <f t="shared" si="2"/>
        <v>264</v>
      </c>
      <c r="K48" s="53">
        <f t="shared" si="5"/>
        <v>11</v>
      </c>
      <c r="L48" s="53" t="b">
        <f t="shared" si="3"/>
        <v>1</v>
      </c>
      <c r="M48" s="53" t="b">
        <f t="shared" si="4"/>
        <v>1</v>
      </c>
      <c r="N48" s="53" t="str">
        <f t="shared" si="6"/>
        <v>China-CHERRY GROUP CO.,LTD</v>
      </c>
      <c r="O48" s="68" t="str">
        <f t="shared" si="10"/>
        <v>China
cans</v>
      </c>
      <c r="P48" s="53" t="b">
        <f t="shared" si="7"/>
        <v>0</v>
      </c>
      <c r="Q48" s="53"/>
      <c r="R48" s="53" t="str">
        <f t="shared" si="8"/>
        <v>CANS</v>
      </c>
      <c r="S48" s="53" t="str">
        <f t="shared" si="9"/>
        <v>cans</v>
      </c>
      <c r="T48" s="53">
        <f t="shared" si="11"/>
        <v>2</v>
      </c>
      <c r="U48" s="53" t="str">
        <f t="shared" si="12"/>
        <v>China</v>
      </c>
      <c r="V48" s="53" t="str">
        <f t="shared" si="13"/>
        <v>Water</v>
      </c>
      <c r="W48" s="53" t="str">
        <f t="shared" si="14"/>
        <v>LTD</v>
      </c>
      <c r="X48" s="53">
        <f t="shared" si="15"/>
        <v>2</v>
      </c>
      <c r="Y48" s="53"/>
      <c r="Z48" s="53"/>
      <c r="AA48" s="53"/>
    </row>
    <row r="49" spans="1:27" ht="30" x14ac:dyDescent="0.25">
      <c r="A49" s="79" t="s">
        <v>994</v>
      </c>
      <c r="B49" s="79" t="s">
        <v>1724</v>
      </c>
      <c r="C49" s="79" t="s">
        <v>1705</v>
      </c>
      <c r="D49" s="79" t="s">
        <v>1676</v>
      </c>
      <c r="E49" s="79" t="s">
        <v>1677</v>
      </c>
      <c r="F49" s="79" t="s">
        <v>35</v>
      </c>
      <c r="G49" s="79">
        <v>8</v>
      </c>
      <c r="H49" s="53">
        <f t="shared" si="0"/>
        <v>236.5</v>
      </c>
      <c r="I49" s="53">
        <f t="shared" si="1"/>
        <v>233</v>
      </c>
      <c r="J49" s="53">
        <f t="shared" si="2"/>
        <v>485.5</v>
      </c>
      <c r="K49" s="53">
        <f t="shared" si="5"/>
        <v>28</v>
      </c>
      <c r="L49" s="53" t="b">
        <f t="shared" si="3"/>
        <v>1</v>
      </c>
      <c r="M49" s="53" t="b">
        <f t="shared" si="4"/>
        <v>1</v>
      </c>
      <c r="N49" s="53" t="str">
        <f t="shared" si="6"/>
        <v>Germany-Friedola 1888 GmbH</v>
      </c>
      <c r="O49" s="68" t="str">
        <f t="shared" si="10"/>
        <v>Germany
cans</v>
      </c>
      <c r="P49" s="53" t="b">
        <f t="shared" si="7"/>
        <v>0</v>
      </c>
      <c r="Q49" s="53"/>
      <c r="R49" s="53" t="str">
        <f t="shared" si="8"/>
        <v>CANS</v>
      </c>
      <c r="S49" s="53" t="str">
        <f t="shared" si="9"/>
        <v>cans</v>
      </c>
      <c r="T49" s="53">
        <f t="shared" si="11"/>
        <v>2</v>
      </c>
      <c r="U49" s="53" t="str">
        <f t="shared" si="12"/>
        <v>Gormany</v>
      </c>
      <c r="V49" s="53" t="str">
        <f t="shared" si="13"/>
        <v>Water</v>
      </c>
      <c r="W49" s="53" t="str">
        <f t="shared" si="14"/>
        <v>mbH</v>
      </c>
      <c r="X49" s="53">
        <f t="shared" si="15"/>
        <v>2</v>
      </c>
      <c r="Y49" s="53"/>
      <c r="Z49" s="53"/>
      <c r="AA49" s="53"/>
    </row>
    <row r="50" spans="1:27" ht="30" x14ac:dyDescent="0.25">
      <c r="A50" s="79" t="s">
        <v>132</v>
      </c>
      <c r="B50" s="79" t="s">
        <v>1725</v>
      </c>
      <c r="C50" s="79" t="s">
        <v>1705</v>
      </c>
      <c r="D50" s="79" t="s">
        <v>1671</v>
      </c>
      <c r="E50" s="79" t="s">
        <v>1672</v>
      </c>
      <c r="F50" s="79" t="s">
        <v>35</v>
      </c>
      <c r="G50" s="79">
        <v>8</v>
      </c>
      <c r="H50" s="53">
        <f t="shared" si="0"/>
        <v>236.5</v>
      </c>
      <c r="I50" s="53">
        <f t="shared" si="1"/>
        <v>233</v>
      </c>
      <c r="J50" s="53">
        <f t="shared" si="2"/>
        <v>561.5</v>
      </c>
      <c r="K50" s="53">
        <f t="shared" si="5"/>
        <v>32</v>
      </c>
      <c r="L50" s="53" t="b">
        <f t="shared" si="3"/>
        <v>1</v>
      </c>
      <c r="M50" s="53" t="b">
        <f t="shared" si="4"/>
        <v>1</v>
      </c>
      <c r="N50" s="53" t="str">
        <f t="shared" si="6"/>
        <v>India-Indo Count Industries Ltd</v>
      </c>
      <c r="O50" s="68" t="str">
        <f t="shared" si="10"/>
        <v>India
cans</v>
      </c>
      <c r="P50" s="53" t="b">
        <f t="shared" si="7"/>
        <v>0</v>
      </c>
      <c r="Q50" s="53"/>
      <c r="R50" s="53" t="str">
        <f t="shared" si="8"/>
        <v>CANS</v>
      </c>
      <c r="S50" s="53" t="str">
        <f t="shared" si="9"/>
        <v>cans</v>
      </c>
      <c r="T50" s="53">
        <f t="shared" si="11"/>
        <v>2</v>
      </c>
      <c r="U50" s="53" t="str">
        <f t="shared" si="12"/>
        <v>India</v>
      </c>
      <c r="V50" s="53" t="str">
        <f t="shared" si="13"/>
        <v>Water</v>
      </c>
      <c r="W50" s="53" t="str">
        <f t="shared" si="14"/>
        <v>Ltd</v>
      </c>
      <c r="X50" s="53">
        <f t="shared" si="15"/>
        <v>2</v>
      </c>
      <c r="Y50" s="53"/>
      <c r="Z50" s="53"/>
      <c r="AA50" s="53"/>
    </row>
    <row r="51" spans="1:27" ht="30" x14ac:dyDescent="0.25">
      <c r="A51" s="79" t="s">
        <v>548</v>
      </c>
      <c r="B51" s="79" t="s">
        <v>1726</v>
      </c>
      <c r="C51" s="79" t="s">
        <v>1705</v>
      </c>
      <c r="D51" s="79" t="s">
        <v>1662</v>
      </c>
      <c r="E51" s="79" t="s">
        <v>1663</v>
      </c>
      <c r="F51" s="79" t="s">
        <v>35</v>
      </c>
      <c r="G51" s="79">
        <v>8</v>
      </c>
      <c r="H51" s="53">
        <f t="shared" si="0"/>
        <v>236.5</v>
      </c>
      <c r="I51" s="53">
        <f t="shared" si="1"/>
        <v>233</v>
      </c>
      <c r="J51" s="53">
        <f t="shared" si="2"/>
        <v>587.25</v>
      </c>
      <c r="K51" s="53">
        <f t="shared" si="5"/>
        <v>31</v>
      </c>
      <c r="L51" s="53" t="b">
        <f t="shared" si="3"/>
        <v>1</v>
      </c>
      <c r="M51" s="53" t="b">
        <f t="shared" si="4"/>
        <v>1</v>
      </c>
      <c r="N51" s="53" t="str">
        <f t="shared" si="6"/>
        <v>Bangladesh-DENIMACH LTD</v>
      </c>
      <c r="O51" s="68" t="str">
        <f t="shared" si="10"/>
        <v>Bangladesh
cans</v>
      </c>
      <c r="P51" s="53" t="b">
        <f t="shared" si="7"/>
        <v>0</v>
      </c>
      <c r="Q51" s="53"/>
      <c r="R51" s="53" t="str">
        <f t="shared" si="8"/>
        <v>CANS</v>
      </c>
      <c r="S51" s="53" t="str">
        <f t="shared" si="9"/>
        <v>cans</v>
      </c>
      <c r="T51" s="53">
        <f t="shared" si="11"/>
        <v>2</v>
      </c>
      <c r="U51" s="53" t="str">
        <f t="shared" si="12"/>
        <v>Bangladosh</v>
      </c>
      <c r="V51" s="53" t="str">
        <f t="shared" si="13"/>
        <v>Water</v>
      </c>
      <c r="W51" s="53" t="str">
        <f t="shared" si="14"/>
        <v>LTD</v>
      </c>
      <c r="X51" s="53">
        <f t="shared" si="15"/>
        <v>2</v>
      </c>
      <c r="Y51" s="53"/>
      <c r="Z51" s="53"/>
      <c r="AA51" s="53"/>
    </row>
    <row r="52" spans="1:27" ht="30" x14ac:dyDescent="0.25">
      <c r="A52" s="79" t="s">
        <v>305</v>
      </c>
      <c r="B52" s="79" t="s">
        <v>1727</v>
      </c>
      <c r="C52" s="79" t="s">
        <v>1705</v>
      </c>
      <c r="D52" s="79" t="s">
        <v>1656</v>
      </c>
      <c r="E52" s="79" t="s">
        <v>1657</v>
      </c>
      <c r="F52" s="79" t="s">
        <v>35</v>
      </c>
      <c r="G52" s="79">
        <v>8</v>
      </c>
      <c r="H52" s="53">
        <f t="shared" si="0"/>
        <v>236.5</v>
      </c>
      <c r="I52" s="53">
        <f t="shared" si="1"/>
        <v>233</v>
      </c>
      <c r="J52" s="53">
        <f t="shared" si="2"/>
        <v>460</v>
      </c>
      <c r="K52" s="53">
        <f t="shared" si="5"/>
        <v>26</v>
      </c>
      <c r="L52" s="53" t="b">
        <f t="shared" si="3"/>
        <v>1</v>
      </c>
      <c r="M52" s="53" t="b">
        <f t="shared" si="4"/>
        <v>1</v>
      </c>
      <c r="N52" s="53" t="str">
        <f t="shared" si="6"/>
        <v>Netherlands-Bolsius Boxmeer</v>
      </c>
      <c r="O52" s="68" t="str">
        <f t="shared" si="10"/>
        <v>Netherlands
cans</v>
      </c>
      <c r="P52" s="53" t="b">
        <f t="shared" si="7"/>
        <v>0</v>
      </c>
      <c r="Q52" s="53"/>
      <c r="R52" s="53" t="str">
        <f t="shared" si="8"/>
        <v>CANS</v>
      </c>
      <c r="S52" s="53" t="str">
        <f t="shared" si="9"/>
        <v>cans</v>
      </c>
      <c r="T52" s="53">
        <f t="shared" si="11"/>
        <v>2</v>
      </c>
      <c r="U52" s="53" t="str">
        <f t="shared" si="12"/>
        <v>Nothorlands</v>
      </c>
      <c r="V52" s="53" t="str">
        <f t="shared" si="13"/>
        <v>Water</v>
      </c>
      <c r="W52" s="53" t="str">
        <f t="shared" si="14"/>
        <v>eer</v>
      </c>
      <c r="X52" s="53">
        <f t="shared" si="15"/>
        <v>2</v>
      </c>
      <c r="Y52" s="53"/>
      <c r="Z52" s="53"/>
      <c r="AA52" s="53"/>
    </row>
    <row r="53" spans="1:27" ht="30" x14ac:dyDescent="0.25">
      <c r="A53" s="79" t="s">
        <v>33</v>
      </c>
      <c r="B53" s="79" t="s">
        <v>1728</v>
      </c>
      <c r="C53" s="79" t="s">
        <v>1705</v>
      </c>
      <c r="D53" s="79" t="s">
        <v>1659</v>
      </c>
      <c r="E53" s="79" t="s">
        <v>1660</v>
      </c>
      <c r="F53" s="79" t="s">
        <v>35</v>
      </c>
      <c r="G53" s="79">
        <v>8</v>
      </c>
      <c r="H53" s="53">
        <f t="shared" si="0"/>
        <v>236.5</v>
      </c>
      <c r="I53" s="53">
        <f t="shared" si="1"/>
        <v>233</v>
      </c>
      <c r="J53" s="53">
        <f t="shared" si="2"/>
        <v>484.25</v>
      </c>
      <c r="K53" s="53">
        <f t="shared" si="5"/>
        <v>23</v>
      </c>
      <c r="L53" s="53" t="b">
        <f t="shared" si="3"/>
        <v>1</v>
      </c>
      <c r="M53" s="53" t="b">
        <f t="shared" si="4"/>
        <v>1</v>
      </c>
      <c r="N53" s="53" t="str">
        <f t="shared" si="6"/>
        <v>poland-CHROMADURLIN S.A.S</v>
      </c>
      <c r="O53" s="68" t="str">
        <f t="shared" si="10"/>
        <v>poland
cans</v>
      </c>
      <c r="P53" s="53" t="b">
        <f t="shared" si="7"/>
        <v>0</v>
      </c>
      <c r="Q53" s="53"/>
      <c r="R53" s="53" t="str">
        <f t="shared" si="8"/>
        <v>CANS</v>
      </c>
      <c r="S53" s="53" t="str">
        <f t="shared" si="9"/>
        <v>cans</v>
      </c>
      <c r="T53" s="53">
        <f t="shared" si="11"/>
        <v>2</v>
      </c>
      <c r="U53" s="53" t="str">
        <f t="shared" si="12"/>
        <v>poland</v>
      </c>
      <c r="V53" s="53" t="str">
        <f t="shared" si="13"/>
        <v>Water</v>
      </c>
      <c r="W53" s="53" t="str">
        <f t="shared" si="14"/>
        <v>A.S</v>
      </c>
      <c r="X53" s="53">
        <f t="shared" si="15"/>
        <v>2</v>
      </c>
      <c r="Y53" s="53"/>
      <c r="Z53" s="53"/>
      <c r="AA53" s="53"/>
    </row>
    <row r="54" spans="1:27" ht="30" x14ac:dyDescent="0.25">
      <c r="A54" s="79" t="s">
        <v>1541</v>
      </c>
      <c r="B54" s="79" t="s">
        <v>1729</v>
      </c>
      <c r="C54" s="79" t="s">
        <v>1730</v>
      </c>
      <c r="D54" s="79" t="s">
        <v>1676</v>
      </c>
      <c r="E54" s="79" t="s">
        <v>1677</v>
      </c>
      <c r="F54" s="79" t="s">
        <v>35</v>
      </c>
      <c r="G54" s="79">
        <v>23</v>
      </c>
      <c r="H54" s="53">
        <f t="shared" si="0"/>
        <v>40</v>
      </c>
      <c r="I54" s="53">
        <f t="shared" si="1"/>
        <v>38</v>
      </c>
      <c r="J54" s="53">
        <f t="shared" si="2"/>
        <v>485.5</v>
      </c>
      <c r="K54" s="53">
        <f t="shared" si="5"/>
        <v>27</v>
      </c>
      <c r="L54" s="53" t="b">
        <f t="shared" si="3"/>
        <v>0</v>
      </c>
      <c r="M54" s="53" t="b">
        <f t="shared" si="4"/>
        <v>1</v>
      </c>
      <c r="N54" s="53" t="str">
        <f t="shared" si="6"/>
        <v>Germany-Friedola 1888 GmbH</v>
      </c>
      <c r="O54" s="68" t="str">
        <f t="shared" si="10"/>
        <v>Germany
cans</v>
      </c>
      <c r="P54" s="53" t="b">
        <f t="shared" si="7"/>
        <v>0</v>
      </c>
      <c r="Q54" s="53"/>
      <c r="R54" s="53" t="str">
        <f t="shared" si="8"/>
        <v>CANS</v>
      </c>
      <c r="S54" s="53" t="str">
        <f t="shared" si="9"/>
        <v>cans</v>
      </c>
      <c r="T54" s="53">
        <f t="shared" si="11"/>
        <v>2</v>
      </c>
      <c r="U54" s="53" t="str">
        <f t="shared" si="12"/>
        <v>Gormany</v>
      </c>
      <c r="V54" s="53" t="str">
        <f t="shared" si="13"/>
        <v>Monst</v>
      </c>
      <c r="W54" s="53" t="str">
        <f t="shared" si="14"/>
        <v>mbH</v>
      </c>
      <c r="X54" s="53">
        <f t="shared" si="15"/>
        <v>2</v>
      </c>
      <c r="Y54" s="53"/>
      <c r="Z54" s="53"/>
      <c r="AA54" s="53"/>
    </row>
    <row r="55" spans="1:27" ht="30" x14ac:dyDescent="0.25">
      <c r="A55" s="79" t="s">
        <v>1242</v>
      </c>
      <c r="B55" s="79" t="s">
        <v>1731</v>
      </c>
      <c r="C55" s="79" t="s">
        <v>1732</v>
      </c>
      <c r="D55" s="79" t="s">
        <v>1659</v>
      </c>
      <c r="E55" s="79" t="s">
        <v>1660</v>
      </c>
      <c r="F55" s="79" t="s">
        <v>35</v>
      </c>
      <c r="G55" s="79">
        <v>40</v>
      </c>
      <c r="H55" s="53">
        <f t="shared" si="0"/>
        <v>12.5</v>
      </c>
      <c r="I55" s="53">
        <f t="shared" si="1"/>
        <v>10</v>
      </c>
      <c r="J55" s="53">
        <f t="shared" si="2"/>
        <v>484.25</v>
      </c>
      <c r="K55" s="53">
        <f t="shared" si="5"/>
        <v>22</v>
      </c>
      <c r="L55" s="53" t="b">
        <f t="shared" si="3"/>
        <v>0</v>
      </c>
      <c r="M55" s="53" t="b">
        <f t="shared" si="4"/>
        <v>1</v>
      </c>
      <c r="N55" s="53" t="str">
        <f t="shared" si="6"/>
        <v>poland-CHROMADURLIN S.A.S</v>
      </c>
      <c r="O55" s="68" t="str">
        <f t="shared" si="10"/>
        <v>poland
cans</v>
      </c>
      <c r="P55" s="53" t="b">
        <f t="shared" si="7"/>
        <v>0</v>
      </c>
      <c r="Q55" s="53"/>
      <c r="R55" s="53" t="str">
        <f t="shared" si="8"/>
        <v>CANS</v>
      </c>
      <c r="S55" s="53" t="str">
        <f t="shared" si="9"/>
        <v>cans</v>
      </c>
      <c r="T55" s="53">
        <f t="shared" si="11"/>
        <v>2</v>
      </c>
      <c r="U55" s="53" t="str">
        <f t="shared" si="12"/>
        <v>poland</v>
      </c>
      <c r="V55" s="53" t="str">
        <f t="shared" si="13"/>
        <v>Monst</v>
      </c>
      <c r="W55" s="53" t="str">
        <f t="shared" si="14"/>
        <v>A.S</v>
      </c>
      <c r="X55" s="53">
        <f t="shared" si="15"/>
        <v>2</v>
      </c>
      <c r="Y55" s="53"/>
      <c r="Z55" s="53"/>
      <c r="AA55" s="53"/>
    </row>
    <row r="56" spans="1:27" ht="30" x14ac:dyDescent="0.25">
      <c r="A56" s="79" t="s">
        <v>310</v>
      </c>
      <c r="B56" s="79" t="s">
        <v>1733</v>
      </c>
      <c r="C56" s="79" t="s">
        <v>1732</v>
      </c>
      <c r="D56" s="79" t="s">
        <v>1656</v>
      </c>
      <c r="E56" s="79" t="s">
        <v>1657</v>
      </c>
      <c r="F56" s="79" t="s">
        <v>35</v>
      </c>
      <c r="G56" s="79">
        <v>40</v>
      </c>
      <c r="H56" s="53">
        <f t="shared" si="0"/>
        <v>12.5</v>
      </c>
      <c r="I56" s="53">
        <f t="shared" si="1"/>
        <v>10</v>
      </c>
      <c r="J56" s="53">
        <f t="shared" si="2"/>
        <v>460</v>
      </c>
      <c r="K56" s="53">
        <f t="shared" si="5"/>
        <v>25</v>
      </c>
      <c r="L56" s="53" t="b">
        <f t="shared" si="3"/>
        <v>0</v>
      </c>
      <c r="M56" s="53" t="b">
        <f t="shared" si="4"/>
        <v>1</v>
      </c>
      <c r="N56" s="53" t="str">
        <f t="shared" si="6"/>
        <v>Netherlands-Bolsius Boxmeer</v>
      </c>
      <c r="O56" s="68" t="str">
        <f t="shared" si="10"/>
        <v>Netherlands
cans</v>
      </c>
      <c r="P56" s="53" t="b">
        <f t="shared" si="7"/>
        <v>0</v>
      </c>
      <c r="Q56" s="53"/>
      <c r="R56" s="53" t="str">
        <f t="shared" si="8"/>
        <v>CANS</v>
      </c>
      <c r="S56" s="53" t="str">
        <f t="shared" si="9"/>
        <v>cans</v>
      </c>
      <c r="T56" s="53">
        <f t="shared" si="11"/>
        <v>2</v>
      </c>
      <c r="U56" s="53" t="str">
        <f t="shared" si="12"/>
        <v>Nothorlands</v>
      </c>
      <c r="V56" s="53" t="str">
        <f t="shared" si="13"/>
        <v>Monst</v>
      </c>
      <c r="W56" s="53" t="str">
        <f t="shared" si="14"/>
        <v>eer</v>
      </c>
      <c r="X56" s="53">
        <f t="shared" si="15"/>
        <v>2</v>
      </c>
      <c r="Y56" s="53"/>
      <c r="Z56" s="53"/>
      <c r="AA56" s="53"/>
    </row>
    <row r="57" spans="1:27" ht="30" x14ac:dyDescent="0.25">
      <c r="A57" s="79" t="s">
        <v>1734</v>
      </c>
      <c r="B57" s="79" t="s">
        <v>1735</v>
      </c>
      <c r="C57" s="79" t="s">
        <v>1732</v>
      </c>
      <c r="D57" s="79" t="s">
        <v>1659</v>
      </c>
      <c r="E57" s="79" t="s">
        <v>1660</v>
      </c>
      <c r="F57" s="79" t="s">
        <v>35</v>
      </c>
      <c r="G57" s="79">
        <v>40</v>
      </c>
      <c r="H57" s="53">
        <f t="shared" si="0"/>
        <v>12.5</v>
      </c>
      <c r="I57" s="53">
        <f t="shared" si="1"/>
        <v>10</v>
      </c>
      <c r="J57" s="53">
        <f t="shared" si="2"/>
        <v>484.25</v>
      </c>
      <c r="K57" s="53">
        <f t="shared" si="5"/>
        <v>21</v>
      </c>
      <c r="L57" s="53" t="b">
        <f t="shared" si="3"/>
        <v>0</v>
      </c>
      <c r="M57" s="53" t="b">
        <f t="shared" si="4"/>
        <v>1</v>
      </c>
      <c r="N57" s="53" t="str">
        <f t="shared" si="6"/>
        <v>poland-CHROMADURLIN S.A.S</v>
      </c>
      <c r="O57" s="68" t="str">
        <f t="shared" si="10"/>
        <v>poland
cans</v>
      </c>
      <c r="P57" s="53" t="b">
        <f t="shared" si="7"/>
        <v>0</v>
      </c>
      <c r="Q57" s="53"/>
      <c r="R57" s="53" t="str">
        <f t="shared" si="8"/>
        <v>CANS</v>
      </c>
      <c r="S57" s="53" t="str">
        <f t="shared" si="9"/>
        <v>cans</v>
      </c>
      <c r="T57" s="53">
        <f t="shared" si="11"/>
        <v>2</v>
      </c>
      <c r="U57" s="53" t="str">
        <f t="shared" si="12"/>
        <v>poland</v>
      </c>
      <c r="V57" s="53" t="str">
        <f t="shared" si="13"/>
        <v>Monst</v>
      </c>
      <c r="W57" s="53" t="str">
        <f t="shared" si="14"/>
        <v>A.S</v>
      </c>
      <c r="X57" s="53">
        <f t="shared" si="15"/>
        <v>2</v>
      </c>
      <c r="Y57" s="53"/>
      <c r="Z57" s="53"/>
      <c r="AA57" s="53"/>
    </row>
    <row r="58" spans="1:27" ht="30" x14ac:dyDescent="0.25">
      <c r="A58" s="79" t="s">
        <v>326</v>
      </c>
      <c r="B58" s="79" t="s">
        <v>1736</v>
      </c>
      <c r="C58" s="79" t="s">
        <v>1732</v>
      </c>
      <c r="D58" s="79" t="s">
        <v>1662</v>
      </c>
      <c r="E58" s="79" t="s">
        <v>1663</v>
      </c>
      <c r="F58" s="79" t="s">
        <v>35</v>
      </c>
      <c r="G58" s="79">
        <v>40</v>
      </c>
      <c r="H58" s="53">
        <f t="shared" si="0"/>
        <v>12.5</v>
      </c>
      <c r="I58" s="53">
        <f t="shared" si="1"/>
        <v>10</v>
      </c>
      <c r="J58" s="53">
        <f t="shared" si="2"/>
        <v>587.25</v>
      </c>
      <c r="K58" s="53">
        <f t="shared" si="5"/>
        <v>30</v>
      </c>
      <c r="L58" s="53" t="b">
        <f t="shared" si="3"/>
        <v>0</v>
      </c>
      <c r="M58" s="53" t="b">
        <f t="shared" si="4"/>
        <v>1</v>
      </c>
      <c r="N58" s="53" t="str">
        <f t="shared" si="6"/>
        <v>Bangladesh-DENIMACH LTD</v>
      </c>
      <c r="O58" s="68" t="str">
        <f t="shared" si="10"/>
        <v>Bangladesh
cans</v>
      </c>
      <c r="P58" s="53" t="b">
        <f t="shared" si="7"/>
        <v>0</v>
      </c>
      <c r="Q58" s="53"/>
      <c r="R58" s="53" t="str">
        <f t="shared" si="8"/>
        <v>CANS</v>
      </c>
      <c r="S58" s="53" t="str">
        <f t="shared" si="9"/>
        <v>cans</v>
      </c>
      <c r="T58" s="53">
        <f t="shared" si="11"/>
        <v>2</v>
      </c>
      <c r="U58" s="53" t="str">
        <f t="shared" si="12"/>
        <v>Bangladosh</v>
      </c>
      <c r="V58" s="53" t="str">
        <f t="shared" si="13"/>
        <v>Monst</v>
      </c>
      <c r="W58" s="53" t="str">
        <f t="shared" si="14"/>
        <v>LTD</v>
      </c>
      <c r="X58" s="53">
        <f t="shared" si="15"/>
        <v>2</v>
      </c>
      <c r="Y58" s="53"/>
      <c r="Z58" s="53"/>
      <c r="AA58" s="53"/>
    </row>
    <row r="59" spans="1:27" ht="30" x14ac:dyDescent="0.25">
      <c r="A59" s="79" t="s">
        <v>410</v>
      </c>
      <c r="B59" s="79" t="s">
        <v>1737</v>
      </c>
      <c r="C59" s="79" t="s">
        <v>1732</v>
      </c>
      <c r="D59" s="79" t="s">
        <v>1656</v>
      </c>
      <c r="E59" s="79" t="s">
        <v>1657</v>
      </c>
      <c r="F59" s="79" t="s">
        <v>60</v>
      </c>
      <c r="G59" s="79">
        <v>24</v>
      </c>
      <c r="H59" s="53">
        <f t="shared" si="0"/>
        <v>34</v>
      </c>
      <c r="I59" s="53">
        <f t="shared" si="1"/>
        <v>31</v>
      </c>
      <c r="J59" s="53">
        <f t="shared" si="2"/>
        <v>460</v>
      </c>
      <c r="K59" s="53">
        <f t="shared" si="5"/>
        <v>24</v>
      </c>
      <c r="L59" s="53" t="b">
        <f t="shared" si="3"/>
        <v>0</v>
      </c>
      <c r="M59" s="53" t="b">
        <f t="shared" si="4"/>
        <v>1</v>
      </c>
      <c r="N59" s="53" t="str">
        <f t="shared" si="6"/>
        <v>Netherlands-Bolsius Boxmeer</v>
      </c>
      <c r="O59" s="68" t="str">
        <f t="shared" si="10"/>
        <v>Netherlands
bottles</v>
      </c>
      <c r="P59" s="53" t="b">
        <f t="shared" si="7"/>
        <v>0</v>
      </c>
      <c r="Q59" s="53"/>
      <c r="R59" s="53" t="str">
        <f t="shared" si="8"/>
        <v>BOTTLES</v>
      </c>
      <c r="S59" s="53" t="str">
        <f t="shared" si="9"/>
        <v>bottles</v>
      </c>
      <c r="T59" s="53">
        <f t="shared" si="11"/>
        <v>2</v>
      </c>
      <c r="U59" s="53" t="str">
        <f t="shared" si="12"/>
        <v>Nothorlands</v>
      </c>
      <c r="V59" s="53" t="str">
        <f t="shared" si="13"/>
        <v>Muscl</v>
      </c>
      <c r="W59" s="53" t="str">
        <f t="shared" si="14"/>
        <v>eer</v>
      </c>
      <c r="X59" s="53" t="e">
        <f t="shared" si="15"/>
        <v>#VALUE!</v>
      </c>
      <c r="Y59" s="53"/>
      <c r="Z59" s="53"/>
      <c r="AA59" s="53"/>
    </row>
    <row r="60" spans="1:27" ht="30" x14ac:dyDescent="0.25">
      <c r="A60" s="79" t="s">
        <v>1738</v>
      </c>
      <c r="B60" s="79" t="s">
        <v>1739</v>
      </c>
      <c r="C60" s="79" t="s">
        <v>1732</v>
      </c>
      <c r="D60" s="79" t="s">
        <v>1676</v>
      </c>
      <c r="E60" s="79" t="s">
        <v>1677</v>
      </c>
      <c r="F60" s="79" t="s">
        <v>60</v>
      </c>
      <c r="G60" s="79">
        <v>24</v>
      </c>
      <c r="H60" s="53">
        <f t="shared" si="0"/>
        <v>34</v>
      </c>
      <c r="I60" s="53">
        <f t="shared" si="1"/>
        <v>31</v>
      </c>
      <c r="J60" s="53">
        <f t="shared" si="2"/>
        <v>485.5</v>
      </c>
      <c r="K60" s="53">
        <f t="shared" si="5"/>
        <v>26</v>
      </c>
      <c r="L60" s="53" t="b">
        <f t="shared" si="3"/>
        <v>0</v>
      </c>
      <c r="M60" s="53" t="b">
        <f t="shared" si="4"/>
        <v>1</v>
      </c>
      <c r="N60" s="53" t="str">
        <f t="shared" si="6"/>
        <v>Germany-Friedola 1888 GmbH</v>
      </c>
      <c r="O60" s="68" t="str">
        <f t="shared" si="10"/>
        <v>Germany
bottles</v>
      </c>
      <c r="P60" s="53" t="b">
        <f t="shared" si="7"/>
        <v>0</v>
      </c>
      <c r="Q60" s="53"/>
      <c r="R60" s="53" t="str">
        <f t="shared" si="8"/>
        <v>BOTTLES</v>
      </c>
      <c r="S60" s="53" t="str">
        <f t="shared" si="9"/>
        <v>bottles</v>
      </c>
      <c r="T60" s="53">
        <f t="shared" si="11"/>
        <v>2</v>
      </c>
      <c r="U60" s="53" t="str">
        <f t="shared" si="12"/>
        <v>Gormany</v>
      </c>
      <c r="V60" s="53" t="str">
        <f t="shared" si="13"/>
        <v>Muscl</v>
      </c>
      <c r="W60" s="53" t="str">
        <f t="shared" si="14"/>
        <v>mbH</v>
      </c>
      <c r="X60" s="53" t="e">
        <f t="shared" si="15"/>
        <v>#VALUE!</v>
      </c>
      <c r="Y60" s="53"/>
      <c r="Z60" s="53"/>
      <c r="AA60" s="53"/>
    </row>
    <row r="61" spans="1:27" ht="30" x14ac:dyDescent="0.25">
      <c r="A61" s="79" t="s">
        <v>58</v>
      </c>
      <c r="B61" s="79" t="s">
        <v>1740</v>
      </c>
      <c r="C61" s="79" t="s">
        <v>1732</v>
      </c>
      <c r="D61" s="79" t="s">
        <v>1683</v>
      </c>
      <c r="E61" s="79" t="s">
        <v>1684</v>
      </c>
      <c r="F61" s="79" t="s">
        <v>60</v>
      </c>
      <c r="G61" s="79">
        <v>22</v>
      </c>
      <c r="H61" s="53">
        <f t="shared" si="0"/>
        <v>46.5</v>
      </c>
      <c r="I61" s="53">
        <f t="shared" si="1"/>
        <v>44</v>
      </c>
      <c r="J61" s="53">
        <f t="shared" si="2"/>
        <v>432.25</v>
      </c>
      <c r="K61" s="53">
        <f t="shared" si="5"/>
        <v>17</v>
      </c>
      <c r="L61" s="53" t="b">
        <f t="shared" si="3"/>
        <v>0</v>
      </c>
      <c r="M61" s="53" t="b">
        <f t="shared" si="4"/>
        <v>1</v>
      </c>
      <c r="N61" s="53" t="str">
        <f t="shared" si="6"/>
        <v>United States-MAESA SAS</v>
      </c>
      <c r="O61" s="68" t="str">
        <f t="shared" si="10"/>
        <v>United States
bottles</v>
      </c>
      <c r="P61" s="53" t="b">
        <f t="shared" si="7"/>
        <v>0</v>
      </c>
      <c r="Q61" s="53"/>
      <c r="R61" s="53" t="str">
        <f t="shared" si="8"/>
        <v>BOTTLES</v>
      </c>
      <c r="S61" s="53" t="str">
        <f t="shared" si="9"/>
        <v>bottles</v>
      </c>
      <c r="T61" s="53">
        <f t="shared" si="11"/>
        <v>2</v>
      </c>
      <c r="U61" s="53" t="str">
        <f t="shared" si="12"/>
        <v>Unitod Statos</v>
      </c>
      <c r="V61" s="53" t="str">
        <f t="shared" si="13"/>
        <v>Premi</v>
      </c>
      <c r="W61" s="53" t="str">
        <f t="shared" si="14"/>
        <v>SAS</v>
      </c>
      <c r="X61" s="53" t="e">
        <f t="shared" si="15"/>
        <v>#VALUE!</v>
      </c>
      <c r="Y61" s="53"/>
      <c r="Z61" s="53"/>
      <c r="AA61" s="53"/>
    </row>
    <row r="62" spans="1:27" ht="30" x14ac:dyDescent="0.25">
      <c r="A62" s="79" t="s">
        <v>1044</v>
      </c>
      <c r="B62" s="79" t="s">
        <v>1739</v>
      </c>
      <c r="C62" s="79" t="s">
        <v>1732</v>
      </c>
      <c r="D62" s="79" t="s">
        <v>1669</v>
      </c>
      <c r="E62" s="79" t="s">
        <v>1670</v>
      </c>
      <c r="F62" s="79" t="s">
        <v>60</v>
      </c>
      <c r="G62" s="79">
        <v>22</v>
      </c>
      <c r="H62" s="53">
        <f t="shared" si="0"/>
        <v>46.5</v>
      </c>
      <c r="I62" s="53">
        <f t="shared" si="1"/>
        <v>44</v>
      </c>
      <c r="J62" s="53">
        <f t="shared" si="2"/>
        <v>514.5</v>
      </c>
      <c r="K62" s="53">
        <f t="shared" si="5"/>
        <v>22</v>
      </c>
      <c r="L62" s="53" t="b">
        <f t="shared" si="3"/>
        <v>0</v>
      </c>
      <c r="M62" s="53" t="b">
        <f t="shared" si="4"/>
        <v>1</v>
      </c>
      <c r="N62" s="53" t="str">
        <f t="shared" si="6"/>
        <v>Lithuania-BIGSO AB</v>
      </c>
      <c r="O62" s="68" t="str">
        <f t="shared" si="10"/>
        <v>Lithuania
bottles</v>
      </c>
      <c r="P62" s="53" t="b">
        <f t="shared" si="7"/>
        <v>0</v>
      </c>
      <c r="Q62" s="53"/>
      <c r="R62" s="53" t="str">
        <f t="shared" si="8"/>
        <v>BOTTLES</v>
      </c>
      <c r="S62" s="53" t="str">
        <f t="shared" si="9"/>
        <v>bottles</v>
      </c>
      <c r="T62" s="53">
        <f t="shared" si="11"/>
        <v>2</v>
      </c>
      <c r="U62" s="53" t="str">
        <f t="shared" si="12"/>
        <v>Lithuania</v>
      </c>
      <c r="V62" s="53" t="str">
        <f t="shared" si="13"/>
        <v>Muscl</v>
      </c>
      <c r="W62" s="53" t="str">
        <f t="shared" si="14"/>
        <v xml:space="preserve"> AB</v>
      </c>
      <c r="X62" s="53" t="e">
        <f t="shared" si="15"/>
        <v>#VALUE!</v>
      </c>
      <c r="Y62" s="53"/>
      <c r="Z62" s="53"/>
      <c r="AA62" s="53"/>
    </row>
    <row r="63" spans="1:27" ht="30" x14ac:dyDescent="0.25">
      <c r="A63" s="79" t="s">
        <v>530</v>
      </c>
      <c r="B63" s="79" t="s">
        <v>1741</v>
      </c>
      <c r="C63" s="79" t="s">
        <v>1732</v>
      </c>
      <c r="D63" s="79" t="s">
        <v>1659</v>
      </c>
      <c r="E63" s="79" t="s">
        <v>1660</v>
      </c>
      <c r="F63" s="79" t="s">
        <v>60</v>
      </c>
      <c r="G63" s="79">
        <v>22</v>
      </c>
      <c r="H63" s="53">
        <f t="shared" si="0"/>
        <v>46.5</v>
      </c>
      <c r="I63" s="53">
        <f t="shared" si="1"/>
        <v>44</v>
      </c>
      <c r="J63" s="53">
        <f t="shared" si="2"/>
        <v>484.25</v>
      </c>
      <c r="K63" s="53">
        <f t="shared" si="5"/>
        <v>20</v>
      </c>
      <c r="L63" s="53" t="b">
        <f t="shared" si="3"/>
        <v>0</v>
      </c>
      <c r="M63" s="53" t="b">
        <f t="shared" si="4"/>
        <v>1</v>
      </c>
      <c r="N63" s="53" t="str">
        <f t="shared" si="6"/>
        <v>poland-CHROMADURLIN S.A.S</v>
      </c>
      <c r="O63" s="68" t="str">
        <f t="shared" si="10"/>
        <v>poland
bottles</v>
      </c>
      <c r="P63" s="53" t="b">
        <f t="shared" si="7"/>
        <v>0</v>
      </c>
      <c r="Q63" s="53"/>
      <c r="R63" s="53" t="str">
        <f t="shared" si="8"/>
        <v>BOTTLES</v>
      </c>
      <c r="S63" s="53" t="str">
        <f t="shared" si="9"/>
        <v>bottles</v>
      </c>
      <c r="T63" s="53">
        <f t="shared" si="11"/>
        <v>2</v>
      </c>
      <c r="U63" s="53" t="str">
        <f t="shared" si="12"/>
        <v>poland</v>
      </c>
      <c r="V63" s="53" t="str">
        <f t="shared" si="13"/>
        <v>Muscl</v>
      </c>
      <c r="W63" s="53" t="str">
        <f t="shared" si="14"/>
        <v>A.S</v>
      </c>
      <c r="X63" s="53" t="e">
        <f t="shared" si="15"/>
        <v>#VALUE!</v>
      </c>
      <c r="Y63" s="53"/>
      <c r="Z63" s="53"/>
      <c r="AA63" s="53"/>
    </row>
    <row r="64" spans="1:27" ht="30" x14ac:dyDescent="0.25">
      <c r="A64" s="79" t="s">
        <v>301</v>
      </c>
      <c r="B64" s="79" t="s">
        <v>1742</v>
      </c>
      <c r="C64" s="79" t="s">
        <v>1732</v>
      </c>
      <c r="D64" s="79" t="s">
        <v>1683</v>
      </c>
      <c r="E64" s="79" t="s">
        <v>1684</v>
      </c>
      <c r="F64" s="79" t="s">
        <v>35</v>
      </c>
      <c r="G64" s="79">
        <v>55</v>
      </c>
      <c r="H64" s="53">
        <f t="shared" si="0"/>
        <v>1</v>
      </c>
      <c r="I64" s="53">
        <f t="shared" si="1"/>
        <v>1</v>
      </c>
      <c r="J64" s="53">
        <f t="shared" si="2"/>
        <v>432.25</v>
      </c>
      <c r="K64" s="53">
        <f t="shared" si="5"/>
        <v>16</v>
      </c>
      <c r="L64" s="53" t="b">
        <f t="shared" si="3"/>
        <v>0</v>
      </c>
      <c r="M64" s="53" t="b">
        <f t="shared" si="4"/>
        <v>1</v>
      </c>
      <c r="N64" s="53" t="str">
        <f t="shared" si="6"/>
        <v>United States-MAESA SAS</v>
      </c>
      <c r="O64" s="68" t="str">
        <f t="shared" si="10"/>
        <v>United States
cans</v>
      </c>
      <c r="P64" s="53" t="b">
        <f t="shared" si="7"/>
        <v>0</v>
      </c>
      <c r="Q64" s="53"/>
      <c r="R64" s="53" t="str">
        <f t="shared" si="8"/>
        <v>CANS</v>
      </c>
      <c r="S64" s="53" t="str">
        <f t="shared" si="9"/>
        <v>cans</v>
      </c>
      <c r="T64" s="53">
        <f t="shared" si="11"/>
        <v>2</v>
      </c>
      <c r="U64" s="53" t="str">
        <f t="shared" si="12"/>
        <v>Unitod Statos</v>
      </c>
      <c r="V64" s="53" t="str">
        <f t="shared" si="13"/>
        <v>Red B</v>
      </c>
      <c r="W64" s="53" t="str">
        <f t="shared" si="14"/>
        <v>SAS</v>
      </c>
      <c r="X64" s="53">
        <f t="shared" si="15"/>
        <v>2</v>
      </c>
      <c r="Y64" s="53"/>
      <c r="Z64" s="53"/>
      <c r="AA64" s="53"/>
    </row>
    <row r="65" spans="1:27" ht="30" x14ac:dyDescent="0.25">
      <c r="A65" s="79" t="s">
        <v>1216</v>
      </c>
      <c r="B65" s="79" t="s">
        <v>1743</v>
      </c>
      <c r="C65" s="79" t="s">
        <v>1732</v>
      </c>
      <c r="D65" s="79" t="s">
        <v>1662</v>
      </c>
      <c r="E65" s="79" t="s">
        <v>1663</v>
      </c>
      <c r="F65" s="79" t="s">
        <v>35</v>
      </c>
      <c r="G65" s="79">
        <v>37</v>
      </c>
      <c r="H65" s="53">
        <f t="shared" si="0"/>
        <v>16</v>
      </c>
      <c r="I65" s="53">
        <f t="shared" si="1"/>
        <v>16</v>
      </c>
      <c r="J65" s="53">
        <f t="shared" si="2"/>
        <v>587.25</v>
      </c>
      <c r="K65" s="53">
        <f t="shared" si="5"/>
        <v>29</v>
      </c>
      <c r="L65" s="53" t="b">
        <f t="shared" si="3"/>
        <v>0</v>
      </c>
      <c r="M65" s="53" t="b">
        <f t="shared" si="4"/>
        <v>1</v>
      </c>
      <c r="N65" s="53" t="str">
        <f t="shared" si="6"/>
        <v>Bangladesh-DENIMACH LTD</v>
      </c>
      <c r="O65" s="68" t="str">
        <f t="shared" si="10"/>
        <v>Bangladesh
cans</v>
      </c>
      <c r="P65" s="53" t="b">
        <f t="shared" si="7"/>
        <v>0</v>
      </c>
      <c r="Q65" s="53"/>
      <c r="R65" s="53" t="str">
        <f t="shared" si="8"/>
        <v>CANS</v>
      </c>
      <c r="S65" s="53" t="str">
        <f t="shared" si="9"/>
        <v>cans</v>
      </c>
      <c r="T65" s="53">
        <f t="shared" si="11"/>
        <v>2</v>
      </c>
      <c r="U65" s="53" t="str">
        <f t="shared" si="12"/>
        <v>Bangladosh</v>
      </c>
      <c r="V65" s="53" t="str">
        <f t="shared" si="13"/>
        <v>Red B</v>
      </c>
      <c r="W65" s="53" t="str">
        <f t="shared" si="14"/>
        <v>LTD</v>
      </c>
      <c r="X65" s="53">
        <f t="shared" si="15"/>
        <v>2</v>
      </c>
      <c r="Y65" s="53"/>
      <c r="Z65" s="53"/>
      <c r="AA65" s="53"/>
    </row>
    <row r="66" spans="1:27" ht="30" x14ac:dyDescent="0.25">
      <c r="A66" s="79" t="s">
        <v>600</v>
      </c>
      <c r="B66" s="79" t="s">
        <v>1744</v>
      </c>
      <c r="C66" s="79" t="s">
        <v>1732</v>
      </c>
      <c r="D66" s="79" t="s">
        <v>1669</v>
      </c>
      <c r="E66" s="79" t="s">
        <v>1670</v>
      </c>
      <c r="F66" s="79" t="s">
        <v>35</v>
      </c>
      <c r="G66" s="79">
        <v>40</v>
      </c>
      <c r="H66" s="53">
        <f t="shared" si="0"/>
        <v>12.5</v>
      </c>
      <c r="I66" s="53">
        <f t="shared" si="1"/>
        <v>10</v>
      </c>
      <c r="J66" s="53">
        <f t="shared" si="2"/>
        <v>514.5</v>
      </c>
      <c r="K66" s="53">
        <f t="shared" si="5"/>
        <v>21</v>
      </c>
      <c r="L66" s="53" t="b">
        <f t="shared" si="3"/>
        <v>0</v>
      </c>
      <c r="M66" s="53" t="b">
        <f t="shared" si="4"/>
        <v>1</v>
      </c>
      <c r="N66" s="53" t="str">
        <f t="shared" si="6"/>
        <v>Lithuania-BIGSO AB</v>
      </c>
      <c r="O66" s="68" t="str">
        <f t="shared" si="10"/>
        <v>Lithuania
cans</v>
      </c>
      <c r="P66" s="53" t="b">
        <f t="shared" si="7"/>
        <v>0</v>
      </c>
      <c r="Q66" s="53"/>
      <c r="R66" s="53" t="str">
        <f t="shared" si="8"/>
        <v>CANS</v>
      </c>
      <c r="S66" s="53" t="str">
        <f t="shared" si="9"/>
        <v>cans</v>
      </c>
      <c r="T66" s="53">
        <f t="shared" si="11"/>
        <v>2</v>
      </c>
      <c r="U66" s="53" t="str">
        <f t="shared" si="12"/>
        <v>Lithuania</v>
      </c>
      <c r="V66" s="53" t="str">
        <f t="shared" si="13"/>
        <v>Red B</v>
      </c>
      <c r="W66" s="53" t="str">
        <f t="shared" si="14"/>
        <v xml:space="preserve"> AB</v>
      </c>
      <c r="X66" s="53">
        <f t="shared" si="15"/>
        <v>2</v>
      </c>
      <c r="Y66" s="53"/>
      <c r="Z66" s="53"/>
      <c r="AA66" s="53"/>
    </row>
    <row r="67" spans="1:27" ht="30" x14ac:dyDescent="0.25">
      <c r="A67" s="79" t="s">
        <v>453</v>
      </c>
      <c r="B67" s="79" t="s">
        <v>1745</v>
      </c>
      <c r="C67" s="79" t="s">
        <v>1732</v>
      </c>
      <c r="D67" s="79" t="s">
        <v>1669</v>
      </c>
      <c r="E67" s="79" t="s">
        <v>1670</v>
      </c>
      <c r="F67" s="79" t="s">
        <v>35</v>
      </c>
      <c r="G67" s="79">
        <v>40</v>
      </c>
      <c r="H67" s="53">
        <f t="shared" si="0"/>
        <v>12.5</v>
      </c>
      <c r="I67" s="53">
        <f t="shared" si="1"/>
        <v>10</v>
      </c>
      <c r="J67" s="53">
        <f t="shared" si="2"/>
        <v>514.5</v>
      </c>
      <c r="K67" s="53">
        <f t="shared" si="5"/>
        <v>20</v>
      </c>
      <c r="L67" s="53" t="b">
        <f t="shared" si="3"/>
        <v>0</v>
      </c>
      <c r="M67" s="53" t="b">
        <f t="shared" si="4"/>
        <v>1</v>
      </c>
      <c r="N67" s="53" t="str">
        <f t="shared" si="6"/>
        <v>Lithuania-BIGSO AB</v>
      </c>
      <c r="O67" s="68" t="str">
        <f t="shared" si="10"/>
        <v>Lithuania
cans</v>
      </c>
      <c r="P67" s="53" t="b">
        <f t="shared" si="7"/>
        <v>0</v>
      </c>
      <c r="Q67" s="53"/>
      <c r="R67" s="53" t="str">
        <f t="shared" si="8"/>
        <v>CANS</v>
      </c>
      <c r="S67" s="53" t="str">
        <f t="shared" si="9"/>
        <v>cans</v>
      </c>
      <c r="T67" s="53">
        <f t="shared" si="11"/>
        <v>2</v>
      </c>
      <c r="U67" s="53" t="str">
        <f t="shared" si="12"/>
        <v>Lithuania</v>
      </c>
      <c r="V67" s="53" t="str">
        <f t="shared" si="13"/>
        <v>Red B</v>
      </c>
      <c r="W67" s="53" t="str">
        <f t="shared" si="14"/>
        <v xml:space="preserve"> AB</v>
      </c>
      <c r="X67" s="53">
        <f t="shared" si="15"/>
        <v>2</v>
      </c>
      <c r="Y67" s="53"/>
      <c r="Z67" s="53"/>
      <c r="AA67" s="53"/>
    </row>
    <row r="68" spans="1:27" ht="30" x14ac:dyDescent="0.25">
      <c r="A68" s="79" t="s">
        <v>85</v>
      </c>
      <c r="B68" s="79" t="s">
        <v>1746</v>
      </c>
      <c r="C68" s="79" t="s">
        <v>1747</v>
      </c>
      <c r="D68" s="79" t="s">
        <v>1669</v>
      </c>
      <c r="E68" s="79" t="s">
        <v>1670</v>
      </c>
      <c r="F68" s="79" t="s">
        <v>60</v>
      </c>
      <c r="G68" s="79">
        <v>20</v>
      </c>
      <c r="H68" s="53">
        <f t="shared" ref="H68:H131" si="16">_xlfn.RANK.AVG(G68,$G$4:$G$266)</f>
        <v>61</v>
      </c>
      <c r="I68" s="53">
        <f t="shared" ref="I68:I131" si="17">_xlfn.RANK.EQ(G68,$G$4:$G$266)</f>
        <v>55</v>
      </c>
      <c r="J68" s="53">
        <f t="shared" ref="J68:J131" si="18">SUMIF($D$4:$D$266,D68,$G$4:$G$266)</f>
        <v>514.5</v>
      </c>
      <c r="K68" s="53">
        <f t="shared" si="5"/>
        <v>19</v>
      </c>
      <c r="L68" s="53" t="b">
        <f t="shared" ref="L68:L131" si="19">AND(G68&lt;20,D68&gt;10)</f>
        <v>0</v>
      </c>
      <c r="M68" s="53" t="b">
        <f t="shared" ref="M68:M131" si="20">OR(G68&lt;20,D68&gt;10)</f>
        <v>1</v>
      </c>
      <c r="N68" s="53" t="str">
        <f t="shared" si="6"/>
        <v>Lithuania-BIGSO AB</v>
      </c>
      <c r="O68" s="68" t="str">
        <f t="shared" si="10"/>
        <v>Lithuania
bottles</v>
      </c>
      <c r="P68" s="53" t="b">
        <f t="shared" si="7"/>
        <v>0</v>
      </c>
      <c r="Q68" s="53"/>
      <c r="R68" s="53" t="str">
        <f t="shared" si="8"/>
        <v>BOTTLES</v>
      </c>
      <c r="S68" s="53" t="str">
        <f t="shared" si="9"/>
        <v>bottles</v>
      </c>
      <c r="T68" s="53">
        <f t="shared" si="11"/>
        <v>2</v>
      </c>
      <c r="U68" s="53" t="str">
        <f t="shared" si="12"/>
        <v>Lithuania</v>
      </c>
      <c r="V68" s="53" t="str">
        <f t="shared" si="13"/>
        <v>G2 Lo</v>
      </c>
      <c r="W68" s="53" t="str">
        <f t="shared" si="14"/>
        <v xml:space="preserve"> AB</v>
      </c>
      <c r="X68" s="53" t="e">
        <f t="shared" si="15"/>
        <v>#VALUE!</v>
      </c>
      <c r="Y68" s="53"/>
      <c r="Z68" s="53"/>
      <c r="AA68" s="53"/>
    </row>
    <row r="69" spans="1:27" ht="30" x14ac:dyDescent="0.25">
      <c r="A69" s="79" t="s">
        <v>160</v>
      </c>
      <c r="B69" s="79" t="s">
        <v>1748</v>
      </c>
      <c r="C69" s="79" t="s">
        <v>1747</v>
      </c>
      <c r="D69" s="79" t="s">
        <v>1690</v>
      </c>
      <c r="E69" s="79" t="s">
        <v>1691</v>
      </c>
      <c r="F69" s="79" t="s">
        <v>60</v>
      </c>
      <c r="G69" s="79">
        <v>20</v>
      </c>
      <c r="H69" s="53">
        <f t="shared" si="16"/>
        <v>61</v>
      </c>
      <c r="I69" s="53">
        <f t="shared" si="17"/>
        <v>55</v>
      </c>
      <c r="J69" s="53">
        <f t="shared" si="18"/>
        <v>415</v>
      </c>
      <c r="K69" s="53">
        <f t="shared" ref="K69:K132" si="21">COUNTIF(D69:D332,D69)</f>
        <v>18</v>
      </c>
      <c r="L69" s="53" t="b">
        <f t="shared" si="19"/>
        <v>0</v>
      </c>
      <c r="M69" s="53" t="b">
        <f t="shared" si="20"/>
        <v>1</v>
      </c>
      <c r="N69" s="53" t="str">
        <f t="shared" ref="N69:N132" si="22">_xlfn.CONCAT(D69,"-",E69)</f>
        <v>Cambodia-NINGBO SEDUNO IMP &amp; EXP CO.LTD</v>
      </c>
      <c r="O69" s="68" t="str">
        <f t="shared" si="10"/>
        <v>Cambodia
bottles</v>
      </c>
      <c r="P69" s="53" t="b">
        <f t="shared" ref="P69:P132" si="23">EXACT(E69,D69)</f>
        <v>0</v>
      </c>
      <c r="Q69" s="53"/>
      <c r="R69" s="53" t="str">
        <f t="shared" ref="R69:R132" si="24">UPPER(F69)</f>
        <v>BOTTLES</v>
      </c>
      <c r="S69" s="53" t="str">
        <f t="shared" ref="S69:S132" si="25">LOWER(F69)</f>
        <v>bottles</v>
      </c>
      <c r="T69" s="53">
        <f t="shared" si="11"/>
        <v>2</v>
      </c>
      <c r="U69" s="53" t="str">
        <f t="shared" si="12"/>
        <v>Cambodia</v>
      </c>
      <c r="V69" s="53" t="str">
        <f t="shared" si="13"/>
        <v>Gator</v>
      </c>
      <c r="W69" s="53" t="str">
        <f t="shared" si="14"/>
        <v>LTD</v>
      </c>
      <c r="X69" s="53" t="e">
        <f t="shared" si="15"/>
        <v>#VALUE!</v>
      </c>
      <c r="Y69" s="53"/>
      <c r="Z69" s="53"/>
      <c r="AA69" s="53"/>
    </row>
    <row r="70" spans="1:27" ht="30" x14ac:dyDescent="0.25">
      <c r="A70" s="79" t="s">
        <v>930</v>
      </c>
      <c r="B70" s="79" t="s">
        <v>1749</v>
      </c>
      <c r="C70" s="79" t="s">
        <v>1747</v>
      </c>
      <c r="D70" s="79" t="s">
        <v>1666</v>
      </c>
      <c r="E70" s="79" t="s">
        <v>1667</v>
      </c>
      <c r="F70" s="79" t="s">
        <v>60</v>
      </c>
      <c r="G70" s="79">
        <v>8</v>
      </c>
      <c r="H70" s="53">
        <f t="shared" si="16"/>
        <v>236.5</v>
      </c>
      <c r="I70" s="53">
        <f t="shared" si="17"/>
        <v>233</v>
      </c>
      <c r="J70" s="53">
        <f t="shared" si="18"/>
        <v>415.25</v>
      </c>
      <c r="K70" s="53">
        <f t="shared" si="21"/>
        <v>21</v>
      </c>
      <c r="L70" s="53" t="b">
        <f t="shared" si="19"/>
        <v>1</v>
      </c>
      <c r="M70" s="53" t="b">
        <f t="shared" si="20"/>
        <v>1</v>
      </c>
      <c r="N70" s="53" t="str">
        <f t="shared" si="22"/>
        <v>Finland-HARDFORD AB</v>
      </c>
      <c r="O70" s="68" t="str">
        <f t="shared" ref="O70:O133" si="26">_xlfn.CONCAT(D70,CHAR(10),F70)</f>
        <v>Finland
bottles</v>
      </c>
      <c r="P70" s="53" t="b">
        <f t="shared" si="23"/>
        <v>0</v>
      </c>
      <c r="Q70" s="53"/>
      <c r="R70" s="53" t="str">
        <f t="shared" si="24"/>
        <v>BOTTLES</v>
      </c>
      <c r="S70" s="53" t="str">
        <f t="shared" si="25"/>
        <v>bottles</v>
      </c>
      <c r="T70" s="53">
        <f t="shared" si="11"/>
        <v>2</v>
      </c>
      <c r="U70" s="53" t="str">
        <f t="shared" si="12"/>
        <v>Finland</v>
      </c>
      <c r="V70" s="53" t="str">
        <f t="shared" si="13"/>
        <v>Gator</v>
      </c>
      <c r="W70" s="53" t="str">
        <f t="shared" si="14"/>
        <v xml:space="preserve"> AB</v>
      </c>
      <c r="X70" s="53" t="e">
        <f t="shared" si="15"/>
        <v>#VALUE!</v>
      </c>
      <c r="Y70" s="53"/>
      <c r="Z70" s="53"/>
      <c r="AA70" s="53"/>
    </row>
    <row r="71" spans="1:27" ht="30" x14ac:dyDescent="0.25">
      <c r="A71" s="79" t="s">
        <v>198</v>
      </c>
      <c r="B71" s="79" t="s">
        <v>1750</v>
      </c>
      <c r="C71" s="79" t="s">
        <v>1747</v>
      </c>
      <c r="D71" s="79" t="s">
        <v>1671</v>
      </c>
      <c r="E71" s="79" t="s">
        <v>1672</v>
      </c>
      <c r="F71" s="79" t="s">
        <v>60</v>
      </c>
      <c r="G71" s="79">
        <v>20</v>
      </c>
      <c r="H71" s="53">
        <f t="shared" si="16"/>
        <v>61</v>
      </c>
      <c r="I71" s="53">
        <f t="shared" si="17"/>
        <v>55</v>
      </c>
      <c r="J71" s="53">
        <f t="shared" si="18"/>
        <v>561.5</v>
      </c>
      <c r="K71" s="53">
        <f t="shared" si="21"/>
        <v>31</v>
      </c>
      <c r="L71" s="53" t="b">
        <f t="shared" si="19"/>
        <v>0</v>
      </c>
      <c r="M71" s="53" t="b">
        <f t="shared" si="20"/>
        <v>1</v>
      </c>
      <c r="N71" s="53" t="str">
        <f t="shared" si="22"/>
        <v>India-Indo Count Industries Ltd</v>
      </c>
      <c r="O71" s="68" t="str">
        <f t="shared" si="26"/>
        <v>India
bottles</v>
      </c>
      <c r="P71" s="53" t="b">
        <f t="shared" si="23"/>
        <v>0</v>
      </c>
      <c r="Q71" s="53"/>
      <c r="R71" s="53" t="str">
        <f t="shared" si="24"/>
        <v>BOTTLES</v>
      </c>
      <c r="S71" s="53" t="str">
        <f t="shared" si="25"/>
        <v>bottles</v>
      </c>
      <c r="T71" s="53">
        <f t="shared" si="11"/>
        <v>2</v>
      </c>
      <c r="U71" s="53" t="str">
        <f t="shared" si="12"/>
        <v>India</v>
      </c>
      <c r="V71" s="53" t="str">
        <f t="shared" si="13"/>
        <v>Gator</v>
      </c>
      <c r="W71" s="53" t="str">
        <f t="shared" si="14"/>
        <v>Ltd</v>
      </c>
      <c r="X71" s="53" t="e">
        <f t="shared" si="15"/>
        <v>#VALUE!</v>
      </c>
      <c r="Y71" s="53"/>
      <c r="Z71" s="53"/>
      <c r="AA71" s="53"/>
    </row>
    <row r="72" spans="1:27" ht="30" x14ac:dyDescent="0.25">
      <c r="A72" s="79" t="s">
        <v>499</v>
      </c>
      <c r="B72" s="79" t="s">
        <v>1751</v>
      </c>
      <c r="C72" s="79" t="s">
        <v>1747</v>
      </c>
      <c r="D72" s="79" t="s">
        <v>1662</v>
      </c>
      <c r="E72" s="79" t="s">
        <v>1663</v>
      </c>
      <c r="F72" s="79" t="s">
        <v>60</v>
      </c>
      <c r="G72" s="79">
        <v>17.5</v>
      </c>
      <c r="H72" s="53">
        <f t="shared" si="16"/>
        <v>89</v>
      </c>
      <c r="I72" s="53">
        <f t="shared" si="17"/>
        <v>88</v>
      </c>
      <c r="J72" s="53">
        <f t="shared" si="18"/>
        <v>587.25</v>
      </c>
      <c r="K72" s="53">
        <f t="shared" si="21"/>
        <v>28</v>
      </c>
      <c r="L72" s="53" t="b">
        <f t="shared" si="19"/>
        <v>1</v>
      </c>
      <c r="M72" s="53" t="b">
        <f t="shared" si="20"/>
        <v>1</v>
      </c>
      <c r="N72" s="53" t="str">
        <f t="shared" si="22"/>
        <v>Bangladesh-DENIMACH LTD</v>
      </c>
      <c r="O72" s="68" t="str">
        <f t="shared" si="26"/>
        <v>Bangladesh
bottles</v>
      </c>
      <c r="P72" s="53" t="b">
        <f t="shared" si="23"/>
        <v>0</v>
      </c>
      <c r="Q72" s="53"/>
      <c r="R72" s="53" t="str">
        <f t="shared" si="24"/>
        <v>BOTTLES</v>
      </c>
      <c r="S72" s="53" t="str">
        <f t="shared" si="25"/>
        <v>bottles</v>
      </c>
      <c r="T72" s="53">
        <f t="shared" si="11"/>
        <v>2</v>
      </c>
      <c r="U72" s="53" t="str">
        <f t="shared" si="12"/>
        <v>Bangladosh</v>
      </c>
      <c r="V72" s="53" t="str">
        <f t="shared" si="13"/>
        <v>Gator</v>
      </c>
      <c r="W72" s="53" t="str">
        <f t="shared" si="14"/>
        <v>LTD</v>
      </c>
      <c r="X72" s="53" t="e">
        <f t="shared" si="15"/>
        <v>#VALUE!</v>
      </c>
      <c r="Y72" s="53"/>
      <c r="Z72" s="53"/>
      <c r="AA72" s="53"/>
    </row>
    <row r="73" spans="1:27" ht="30" x14ac:dyDescent="0.25">
      <c r="A73" s="79" t="s">
        <v>1752</v>
      </c>
      <c r="B73" s="79" t="s">
        <v>1753</v>
      </c>
      <c r="C73" s="79" t="s">
        <v>1747</v>
      </c>
      <c r="D73" s="79" t="s">
        <v>1683</v>
      </c>
      <c r="E73" s="79" t="s">
        <v>1684</v>
      </c>
      <c r="F73" s="79" t="s">
        <v>60</v>
      </c>
      <c r="G73" s="79">
        <v>17.5</v>
      </c>
      <c r="H73" s="53">
        <f t="shared" si="16"/>
        <v>89</v>
      </c>
      <c r="I73" s="53">
        <f t="shared" si="17"/>
        <v>88</v>
      </c>
      <c r="J73" s="53">
        <f t="shared" si="18"/>
        <v>432.25</v>
      </c>
      <c r="K73" s="53">
        <f t="shared" si="21"/>
        <v>15</v>
      </c>
      <c r="L73" s="53" t="b">
        <f t="shared" si="19"/>
        <v>1</v>
      </c>
      <c r="M73" s="53" t="b">
        <f t="shared" si="20"/>
        <v>1</v>
      </c>
      <c r="N73" s="53" t="str">
        <f t="shared" si="22"/>
        <v>United States-MAESA SAS</v>
      </c>
      <c r="O73" s="68" t="str">
        <f t="shared" si="26"/>
        <v>United States
bottles</v>
      </c>
      <c r="P73" s="53" t="b">
        <f t="shared" si="23"/>
        <v>0</v>
      </c>
      <c r="Q73" s="53"/>
      <c r="R73" s="53" t="str">
        <f t="shared" si="24"/>
        <v>BOTTLES</v>
      </c>
      <c r="S73" s="53" t="str">
        <f t="shared" si="25"/>
        <v>bottles</v>
      </c>
      <c r="T73" s="53">
        <f t="shared" si="11"/>
        <v>2</v>
      </c>
      <c r="U73" s="53" t="str">
        <f t="shared" si="12"/>
        <v>Unitod Statos</v>
      </c>
      <c r="V73" s="53" t="str">
        <f t="shared" si="13"/>
        <v>Gator</v>
      </c>
      <c r="W73" s="53" t="str">
        <f t="shared" si="14"/>
        <v>SAS</v>
      </c>
      <c r="X73" s="53" t="e">
        <f t="shared" si="15"/>
        <v>#VALUE!</v>
      </c>
      <c r="Y73" s="53"/>
      <c r="Z73" s="53"/>
      <c r="AA73" s="53"/>
    </row>
    <row r="74" spans="1:27" ht="30" x14ac:dyDescent="0.25">
      <c r="A74" s="79" t="s">
        <v>366</v>
      </c>
      <c r="B74" s="79" t="s">
        <v>1754</v>
      </c>
      <c r="C74" s="79" t="s">
        <v>1747</v>
      </c>
      <c r="D74" s="79" t="s">
        <v>1676</v>
      </c>
      <c r="E74" s="79" t="s">
        <v>1677</v>
      </c>
      <c r="F74" s="79" t="s">
        <v>60</v>
      </c>
      <c r="G74" s="79">
        <v>17.5</v>
      </c>
      <c r="H74" s="53">
        <f t="shared" si="16"/>
        <v>89</v>
      </c>
      <c r="I74" s="53">
        <f t="shared" si="17"/>
        <v>88</v>
      </c>
      <c r="J74" s="53">
        <f t="shared" si="18"/>
        <v>485.5</v>
      </c>
      <c r="K74" s="53">
        <f t="shared" si="21"/>
        <v>25</v>
      </c>
      <c r="L74" s="53" t="b">
        <f t="shared" si="19"/>
        <v>1</v>
      </c>
      <c r="M74" s="53" t="b">
        <f t="shared" si="20"/>
        <v>1</v>
      </c>
      <c r="N74" s="53" t="str">
        <f t="shared" si="22"/>
        <v>Germany-Friedola 1888 GmbH</v>
      </c>
      <c r="O74" s="68" t="str">
        <f t="shared" si="26"/>
        <v>Germany
bottles</v>
      </c>
      <c r="P74" s="53" t="b">
        <f t="shared" si="23"/>
        <v>0</v>
      </c>
      <c r="Q74" s="53"/>
      <c r="R74" s="53" t="str">
        <f t="shared" si="24"/>
        <v>BOTTLES</v>
      </c>
      <c r="S74" s="53" t="str">
        <f t="shared" si="25"/>
        <v>bottles</v>
      </c>
      <c r="T74" s="53">
        <f t="shared" ref="T74:T137" si="27">SEARCH("0",A74)</f>
        <v>2</v>
      </c>
      <c r="U74" s="53" t="str">
        <f t="shared" ref="U74:U137" si="28">SUBSTITUTE(D74,"e","o")</f>
        <v>Gormany</v>
      </c>
      <c r="V74" s="53" t="str">
        <f t="shared" ref="V74:V137" si="29">LEFT(B74,"5")</f>
        <v>Gator</v>
      </c>
      <c r="W74" s="53" t="str">
        <f t="shared" ref="W74:W137" si="30">RIGHT(E74,"3")</f>
        <v>mbH</v>
      </c>
      <c r="X74" s="53" t="e">
        <f t="shared" ref="X74:X137" si="31">FIND("a",F74)</f>
        <v>#VALUE!</v>
      </c>
      <c r="Y74" s="53"/>
      <c r="Z74" s="53"/>
      <c r="AA74" s="53"/>
    </row>
    <row r="75" spans="1:27" ht="30" x14ac:dyDescent="0.25">
      <c r="A75" s="79" t="s">
        <v>1755</v>
      </c>
      <c r="B75" s="79" t="s">
        <v>1756</v>
      </c>
      <c r="C75" s="79" t="s">
        <v>1747</v>
      </c>
      <c r="D75" s="79" t="s">
        <v>1662</v>
      </c>
      <c r="E75" s="79" t="s">
        <v>1663</v>
      </c>
      <c r="F75" s="79" t="s">
        <v>60</v>
      </c>
      <c r="G75" s="79">
        <v>20</v>
      </c>
      <c r="H75" s="53">
        <f t="shared" si="16"/>
        <v>61</v>
      </c>
      <c r="I75" s="53">
        <f t="shared" si="17"/>
        <v>55</v>
      </c>
      <c r="J75" s="53">
        <f t="shared" si="18"/>
        <v>587.25</v>
      </c>
      <c r="K75" s="53">
        <f t="shared" si="21"/>
        <v>27</v>
      </c>
      <c r="L75" s="53" t="b">
        <f t="shared" si="19"/>
        <v>0</v>
      </c>
      <c r="M75" s="53" t="b">
        <f t="shared" si="20"/>
        <v>1</v>
      </c>
      <c r="N75" s="53" t="str">
        <f t="shared" si="22"/>
        <v>Bangladesh-DENIMACH LTD</v>
      </c>
      <c r="O75" s="68" t="str">
        <f t="shared" si="26"/>
        <v>Bangladesh
bottles</v>
      </c>
      <c r="P75" s="53" t="b">
        <f t="shared" si="23"/>
        <v>0</v>
      </c>
      <c r="Q75" s="53"/>
      <c r="R75" s="53" t="str">
        <f t="shared" si="24"/>
        <v>BOTTLES</v>
      </c>
      <c r="S75" s="53" t="str">
        <f t="shared" si="25"/>
        <v>bottles</v>
      </c>
      <c r="T75" s="53">
        <f t="shared" si="27"/>
        <v>2</v>
      </c>
      <c r="U75" s="53" t="str">
        <f t="shared" si="28"/>
        <v>Bangladosh</v>
      </c>
      <c r="V75" s="53" t="str">
        <f t="shared" si="29"/>
        <v>Gator</v>
      </c>
      <c r="W75" s="53" t="str">
        <f t="shared" si="30"/>
        <v>LTD</v>
      </c>
      <c r="X75" s="53" t="e">
        <f t="shared" si="31"/>
        <v>#VALUE!</v>
      </c>
      <c r="Y75" s="53"/>
      <c r="Z75" s="53"/>
      <c r="AA75" s="53"/>
    </row>
    <row r="76" spans="1:27" ht="30" x14ac:dyDescent="0.25">
      <c r="A76" s="79" t="s">
        <v>374</v>
      </c>
      <c r="B76" s="79" t="s">
        <v>1757</v>
      </c>
      <c r="C76" s="79" t="s">
        <v>1747</v>
      </c>
      <c r="D76" s="79" t="s">
        <v>1690</v>
      </c>
      <c r="E76" s="79" t="s">
        <v>1691</v>
      </c>
      <c r="F76" s="79" t="s">
        <v>60</v>
      </c>
      <c r="G76" s="79">
        <v>20</v>
      </c>
      <c r="H76" s="53">
        <f t="shared" si="16"/>
        <v>61</v>
      </c>
      <c r="I76" s="53">
        <f t="shared" si="17"/>
        <v>55</v>
      </c>
      <c r="J76" s="53">
        <f t="shared" si="18"/>
        <v>415</v>
      </c>
      <c r="K76" s="53">
        <f t="shared" si="21"/>
        <v>17</v>
      </c>
      <c r="L76" s="53" t="b">
        <f t="shared" si="19"/>
        <v>0</v>
      </c>
      <c r="M76" s="53" t="b">
        <f t="shared" si="20"/>
        <v>1</v>
      </c>
      <c r="N76" s="53" t="str">
        <f t="shared" si="22"/>
        <v>Cambodia-NINGBO SEDUNO IMP &amp; EXP CO.LTD</v>
      </c>
      <c r="O76" s="68" t="str">
        <f t="shared" si="26"/>
        <v>Cambodia
bottles</v>
      </c>
      <c r="P76" s="53" t="b">
        <f t="shared" si="23"/>
        <v>0</v>
      </c>
      <c r="Q76" s="53"/>
      <c r="R76" s="53" t="str">
        <f t="shared" si="24"/>
        <v>BOTTLES</v>
      </c>
      <c r="S76" s="53" t="str">
        <f t="shared" si="25"/>
        <v>bottles</v>
      </c>
      <c r="T76" s="53">
        <f t="shared" si="27"/>
        <v>2</v>
      </c>
      <c r="U76" s="53" t="str">
        <f t="shared" si="28"/>
        <v>Cambodia</v>
      </c>
      <c r="V76" s="53" t="str">
        <f t="shared" si="29"/>
        <v>Gator</v>
      </c>
      <c r="W76" s="53" t="str">
        <f t="shared" si="30"/>
        <v>LTD</v>
      </c>
      <c r="X76" s="53" t="e">
        <f t="shared" si="31"/>
        <v>#VALUE!</v>
      </c>
      <c r="Y76" s="53"/>
      <c r="Z76" s="53"/>
      <c r="AA76" s="53"/>
    </row>
    <row r="77" spans="1:27" ht="30" x14ac:dyDescent="0.25">
      <c r="A77" s="79" t="s">
        <v>677</v>
      </c>
      <c r="B77" s="79" t="s">
        <v>1758</v>
      </c>
      <c r="C77" s="79" t="s">
        <v>1747</v>
      </c>
      <c r="D77" s="79" t="s">
        <v>1656</v>
      </c>
      <c r="E77" s="79" t="s">
        <v>1657</v>
      </c>
      <c r="F77" s="79" t="s">
        <v>60</v>
      </c>
      <c r="G77" s="79">
        <v>20</v>
      </c>
      <c r="H77" s="53">
        <f t="shared" si="16"/>
        <v>61</v>
      </c>
      <c r="I77" s="53">
        <f t="shared" si="17"/>
        <v>55</v>
      </c>
      <c r="J77" s="53">
        <f t="shared" si="18"/>
        <v>460</v>
      </c>
      <c r="K77" s="53">
        <f t="shared" si="21"/>
        <v>23</v>
      </c>
      <c r="L77" s="53" t="b">
        <f t="shared" si="19"/>
        <v>0</v>
      </c>
      <c r="M77" s="53" t="b">
        <f t="shared" si="20"/>
        <v>1</v>
      </c>
      <c r="N77" s="53" t="str">
        <f t="shared" si="22"/>
        <v>Netherlands-Bolsius Boxmeer</v>
      </c>
      <c r="O77" s="68" t="str">
        <f t="shared" si="26"/>
        <v>Netherlands
bottles</v>
      </c>
      <c r="P77" s="53" t="b">
        <f t="shared" si="23"/>
        <v>0</v>
      </c>
      <c r="Q77" s="53"/>
      <c r="R77" s="53" t="str">
        <f t="shared" si="24"/>
        <v>BOTTLES</v>
      </c>
      <c r="S77" s="53" t="str">
        <f t="shared" si="25"/>
        <v>bottles</v>
      </c>
      <c r="T77" s="53">
        <f t="shared" si="27"/>
        <v>2</v>
      </c>
      <c r="U77" s="53" t="str">
        <f t="shared" si="28"/>
        <v>Nothorlands</v>
      </c>
      <c r="V77" s="53" t="str">
        <f t="shared" si="29"/>
        <v>Gator</v>
      </c>
      <c r="W77" s="53" t="str">
        <f t="shared" si="30"/>
        <v>eer</v>
      </c>
      <c r="X77" s="53" t="e">
        <f t="shared" si="31"/>
        <v>#VALUE!</v>
      </c>
      <c r="Y77" s="53"/>
      <c r="Z77" s="53"/>
      <c r="AA77" s="53"/>
    </row>
    <row r="78" spans="1:27" ht="30" x14ac:dyDescent="0.25">
      <c r="A78" s="79" t="s">
        <v>64</v>
      </c>
      <c r="B78" s="79" t="s">
        <v>1759</v>
      </c>
      <c r="C78" s="79" t="s">
        <v>1760</v>
      </c>
      <c r="D78" s="79" t="s">
        <v>1683</v>
      </c>
      <c r="E78" s="79" t="s">
        <v>1684</v>
      </c>
      <c r="F78" s="79" t="s">
        <v>35</v>
      </c>
      <c r="G78" s="79">
        <v>15.5</v>
      </c>
      <c r="H78" s="53">
        <f t="shared" si="16"/>
        <v>146</v>
      </c>
      <c r="I78" s="53">
        <f t="shared" si="17"/>
        <v>146</v>
      </c>
      <c r="J78" s="53">
        <f t="shared" si="18"/>
        <v>432.25</v>
      </c>
      <c r="K78" s="53">
        <f t="shared" si="21"/>
        <v>14</v>
      </c>
      <c r="L78" s="53" t="b">
        <f t="shared" si="19"/>
        <v>1</v>
      </c>
      <c r="M78" s="53" t="b">
        <f t="shared" si="20"/>
        <v>1</v>
      </c>
      <c r="N78" s="53" t="str">
        <f t="shared" si="22"/>
        <v>United States-MAESA SAS</v>
      </c>
      <c r="O78" s="68" t="str">
        <f t="shared" si="26"/>
        <v>United States
cans</v>
      </c>
      <c r="P78" s="53" t="b">
        <f t="shared" si="23"/>
        <v>0</v>
      </c>
      <c r="Q78" s="53"/>
      <c r="R78" s="53" t="str">
        <f t="shared" si="24"/>
        <v>CANS</v>
      </c>
      <c r="S78" s="53" t="str">
        <f t="shared" si="25"/>
        <v>cans</v>
      </c>
      <c r="T78" s="53">
        <f t="shared" si="27"/>
        <v>2</v>
      </c>
      <c r="U78" s="53" t="str">
        <f t="shared" si="28"/>
        <v>Unitod Statos</v>
      </c>
      <c r="V78" s="53" t="str">
        <f t="shared" si="29"/>
        <v>Brisk</v>
      </c>
      <c r="W78" s="53" t="str">
        <f t="shared" si="30"/>
        <v>SAS</v>
      </c>
      <c r="X78" s="53">
        <f t="shared" si="31"/>
        <v>2</v>
      </c>
      <c r="Y78" s="53"/>
      <c r="Z78" s="53"/>
      <c r="AA78" s="53"/>
    </row>
    <row r="79" spans="1:27" ht="30" x14ac:dyDescent="0.25">
      <c r="A79" s="79" t="s">
        <v>272</v>
      </c>
      <c r="B79" s="79" t="s">
        <v>1761</v>
      </c>
      <c r="C79" s="79" t="s">
        <v>1760</v>
      </c>
      <c r="D79" s="79" t="s">
        <v>1676</v>
      </c>
      <c r="E79" s="79" t="s">
        <v>1677</v>
      </c>
      <c r="F79" s="79" t="s">
        <v>35</v>
      </c>
      <c r="G79" s="79">
        <v>6.75</v>
      </c>
      <c r="H79" s="53">
        <f t="shared" si="16"/>
        <v>251.5</v>
      </c>
      <c r="I79" s="53">
        <f t="shared" si="17"/>
        <v>242</v>
      </c>
      <c r="J79" s="53">
        <f t="shared" si="18"/>
        <v>485.5</v>
      </c>
      <c r="K79" s="53">
        <f t="shared" si="21"/>
        <v>24</v>
      </c>
      <c r="L79" s="53" t="b">
        <f t="shared" si="19"/>
        <v>1</v>
      </c>
      <c r="M79" s="53" t="b">
        <f t="shared" si="20"/>
        <v>1</v>
      </c>
      <c r="N79" s="53" t="str">
        <f t="shared" si="22"/>
        <v>Germany-Friedola 1888 GmbH</v>
      </c>
      <c r="O79" s="68" t="str">
        <f t="shared" si="26"/>
        <v>Germany
cans</v>
      </c>
      <c r="P79" s="53" t="b">
        <f t="shared" si="23"/>
        <v>0</v>
      </c>
      <c r="Q79" s="53"/>
      <c r="R79" s="53" t="str">
        <f t="shared" si="24"/>
        <v>CANS</v>
      </c>
      <c r="S79" s="53" t="str">
        <f t="shared" si="25"/>
        <v>cans</v>
      </c>
      <c r="T79" s="53">
        <f t="shared" si="27"/>
        <v>2</v>
      </c>
      <c r="U79" s="53" t="str">
        <f t="shared" si="28"/>
        <v>Gormany</v>
      </c>
      <c r="V79" s="53" t="str">
        <f t="shared" si="29"/>
        <v xml:space="preserve">Diet </v>
      </c>
      <c r="W79" s="53" t="str">
        <f t="shared" si="30"/>
        <v>mbH</v>
      </c>
      <c r="X79" s="53">
        <f t="shared" si="31"/>
        <v>2</v>
      </c>
      <c r="Y79" s="53"/>
      <c r="Z79" s="53"/>
      <c r="AA79" s="53"/>
    </row>
    <row r="80" spans="1:27" ht="30" x14ac:dyDescent="0.25">
      <c r="A80" s="79" t="s">
        <v>171</v>
      </c>
      <c r="B80" s="79" t="s">
        <v>1762</v>
      </c>
      <c r="C80" s="79" t="s">
        <v>1760</v>
      </c>
      <c r="D80" s="79" t="s">
        <v>1659</v>
      </c>
      <c r="E80" s="79" t="s">
        <v>1660</v>
      </c>
      <c r="F80" s="79" t="s">
        <v>35</v>
      </c>
      <c r="G80" s="79">
        <v>6.75</v>
      </c>
      <c r="H80" s="53">
        <f t="shared" si="16"/>
        <v>251.5</v>
      </c>
      <c r="I80" s="53">
        <f t="shared" si="17"/>
        <v>242</v>
      </c>
      <c r="J80" s="53">
        <f t="shared" si="18"/>
        <v>484.25</v>
      </c>
      <c r="K80" s="53">
        <f t="shared" si="21"/>
        <v>19</v>
      </c>
      <c r="L80" s="53" t="b">
        <f t="shared" si="19"/>
        <v>1</v>
      </c>
      <c r="M80" s="53" t="b">
        <f t="shared" si="20"/>
        <v>1</v>
      </c>
      <c r="N80" s="53" t="str">
        <f t="shared" si="22"/>
        <v>poland-CHROMADURLIN S.A.S</v>
      </c>
      <c r="O80" s="68" t="str">
        <f t="shared" si="26"/>
        <v>poland
cans</v>
      </c>
      <c r="P80" s="53" t="b">
        <f t="shared" si="23"/>
        <v>0</v>
      </c>
      <c r="Q80" s="53"/>
      <c r="R80" s="53" t="str">
        <f t="shared" si="24"/>
        <v>CANS</v>
      </c>
      <c r="S80" s="53" t="str">
        <f t="shared" si="25"/>
        <v>cans</v>
      </c>
      <c r="T80" s="53">
        <f t="shared" si="27"/>
        <v>2</v>
      </c>
      <c r="U80" s="53" t="str">
        <f t="shared" si="28"/>
        <v>poland</v>
      </c>
      <c r="V80" s="53" t="str">
        <f t="shared" si="29"/>
        <v xml:space="preserve">Fuze </v>
      </c>
      <c r="W80" s="53" t="str">
        <f t="shared" si="30"/>
        <v>A.S</v>
      </c>
      <c r="X80" s="53">
        <f t="shared" si="31"/>
        <v>2</v>
      </c>
      <c r="Y80" s="53"/>
      <c r="Z80" s="53"/>
      <c r="AA80" s="53"/>
    </row>
    <row r="81" spans="1:27" ht="30" x14ac:dyDescent="0.25">
      <c r="A81" s="79" t="s">
        <v>140</v>
      </c>
      <c r="B81" s="79" t="s">
        <v>1763</v>
      </c>
      <c r="C81" s="79" t="s">
        <v>1760</v>
      </c>
      <c r="D81" s="79" t="s">
        <v>1656</v>
      </c>
      <c r="E81" s="79" t="s">
        <v>1657</v>
      </c>
      <c r="F81" s="79" t="s">
        <v>60</v>
      </c>
      <c r="G81" s="79">
        <v>17</v>
      </c>
      <c r="H81" s="53">
        <f t="shared" si="16"/>
        <v>100</v>
      </c>
      <c r="I81" s="53">
        <f t="shared" si="17"/>
        <v>91</v>
      </c>
      <c r="J81" s="53">
        <f t="shared" si="18"/>
        <v>460</v>
      </c>
      <c r="K81" s="53">
        <f t="shared" si="21"/>
        <v>22</v>
      </c>
      <c r="L81" s="53" t="b">
        <f t="shared" si="19"/>
        <v>1</v>
      </c>
      <c r="M81" s="53" t="b">
        <f t="shared" si="20"/>
        <v>1</v>
      </c>
      <c r="N81" s="53" t="str">
        <f t="shared" si="22"/>
        <v>Netherlands-Bolsius Boxmeer</v>
      </c>
      <c r="O81" s="68" t="str">
        <f t="shared" si="26"/>
        <v>Netherlands
bottles</v>
      </c>
      <c r="P81" s="53" t="b">
        <f t="shared" si="23"/>
        <v>0</v>
      </c>
      <c r="Q81" s="53"/>
      <c r="R81" s="53" t="str">
        <f t="shared" si="24"/>
        <v>BOTTLES</v>
      </c>
      <c r="S81" s="53" t="str">
        <f t="shared" si="25"/>
        <v>bottles</v>
      </c>
      <c r="T81" s="53">
        <f t="shared" si="27"/>
        <v>2</v>
      </c>
      <c r="U81" s="53" t="str">
        <f t="shared" si="28"/>
        <v>Nothorlands</v>
      </c>
      <c r="V81" s="53" t="str">
        <f t="shared" si="29"/>
        <v xml:space="preserve">Pure </v>
      </c>
      <c r="W81" s="53" t="str">
        <f t="shared" si="30"/>
        <v>eer</v>
      </c>
      <c r="X81" s="53" t="e">
        <f t="shared" si="31"/>
        <v>#VALUE!</v>
      </c>
      <c r="Y81" s="53"/>
      <c r="Z81" s="53"/>
      <c r="AA81" s="53"/>
    </row>
    <row r="82" spans="1:27" ht="30" x14ac:dyDescent="0.25">
      <c r="A82" s="79" t="s">
        <v>149</v>
      </c>
      <c r="B82" s="79" t="s">
        <v>1764</v>
      </c>
      <c r="C82" s="79" t="s">
        <v>1760</v>
      </c>
      <c r="D82" s="79" t="s">
        <v>1680</v>
      </c>
      <c r="E82" s="79" t="s">
        <v>1681</v>
      </c>
      <c r="F82" s="79" t="s">
        <v>60</v>
      </c>
      <c r="G82" s="79">
        <v>17</v>
      </c>
      <c r="H82" s="53">
        <f t="shared" si="16"/>
        <v>100</v>
      </c>
      <c r="I82" s="53">
        <f t="shared" si="17"/>
        <v>91</v>
      </c>
      <c r="J82" s="53">
        <f t="shared" si="18"/>
        <v>264</v>
      </c>
      <c r="K82" s="53">
        <f t="shared" si="21"/>
        <v>10</v>
      </c>
      <c r="L82" s="53" t="b">
        <f t="shared" si="19"/>
        <v>1</v>
      </c>
      <c r="M82" s="53" t="b">
        <f t="shared" si="20"/>
        <v>1</v>
      </c>
      <c r="N82" s="53" t="str">
        <f t="shared" si="22"/>
        <v>China-CHERRY GROUP CO.,LTD</v>
      </c>
      <c r="O82" s="68" t="str">
        <f t="shared" si="26"/>
        <v>China
bottles</v>
      </c>
      <c r="P82" s="53" t="b">
        <f t="shared" si="23"/>
        <v>0</v>
      </c>
      <c r="Q82" s="53"/>
      <c r="R82" s="53" t="str">
        <f t="shared" si="24"/>
        <v>BOTTLES</v>
      </c>
      <c r="S82" s="53" t="str">
        <f t="shared" si="25"/>
        <v>bottles</v>
      </c>
      <c r="T82" s="53">
        <f t="shared" si="27"/>
        <v>2</v>
      </c>
      <c r="U82" s="53" t="str">
        <f t="shared" si="28"/>
        <v>China</v>
      </c>
      <c r="V82" s="53" t="str">
        <f t="shared" si="29"/>
        <v xml:space="preserve">Pure </v>
      </c>
      <c r="W82" s="53" t="str">
        <f t="shared" si="30"/>
        <v>LTD</v>
      </c>
      <c r="X82" s="53" t="e">
        <f t="shared" si="31"/>
        <v>#VALUE!</v>
      </c>
      <c r="Y82" s="53"/>
      <c r="Z82" s="53"/>
      <c r="AA82" s="53"/>
    </row>
    <row r="83" spans="1:27" ht="30" x14ac:dyDescent="0.25">
      <c r="A83" s="79" t="s">
        <v>421</v>
      </c>
      <c r="B83" s="79" t="s">
        <v>1765</v>
      </c>
      <c r="C83" s="79" t="s">
        <v>1760</v>
      </c>
      <c r="D83" s="79" t="s">
        <v>1676</v>
      </c>
      <c r="E83" s="79" t="s">
        <v>1677</v>
      </c>
      <c r="F83" s="79" t="s">
        <v>60</v>
      </c>
      <c r="G83" s="79">
        <v>22</v>
      </c>
      <c r="H83" s="53">
        <f t="shared" si="16"/>
        <v>46.5</v>
      </c>
      <c r="I83" s="53">
        <f t="shared" si="17"/>
        <v>44</v>
      </c>
      <c r="J83" s="53">
        <f t="shared" si="18"/>
        <v>485.5</v>
      </c>
      <c r="K83" s="53">
        <f t="shared" si="21"/>
        <v>23</v>
      </c>
      <c r="L83" s="53" t="b">
        <f t="shared" si="19"/>
        <v>0</v>
      </c>
      <c r="M83" s="53" t="b">
        <f t="shared" si="20"/>
        <v>1</v>
      </c>
      <c r="N83" s="53" t="str">
        <f t="shared" si="22"/>
        <v>Germany-Friedola 1888 GmbH</v>
      </c>
      <c r="O83" s="68" t="str">
        <f t="shared" si="26"/>
        <v>Germany
bottles</v>
      </c>
      <c r="P83" s="53" t="b">
        <f t="shared" si="23"/>
        <v>0</v>
      </c>
      <c r="Q83" s="53"/>
      <c r="R83" s="53" t="str">
        <f t="shared" si="24"/>
        <v>BOTTLES</v>
      </c>
      <c r="S83" s="53" t="str">
        <f t="shared" si="25"/>
        <v>bottles</v>
      </c>
      <c r="T83" s="53">
        <f t="shared" si="27"/>
        <v>2</v>
      </c>
      <c r="U83" s="53" t="str">
        <f t="shared" si="28"/>
        <v>Gormany</v>
      </c>
      <c r="V83" s="53" t="str">
        <f t="shared" si="29"/>
        <v>Snapp</v>
      </c>
      <c r="W83" s="53" t="str">
        <f t="shared" si="30"/>
        <v>mbH</v>
      </c>
      <c r="X83" s="53" t="e">
        <f t="shared" si="31"/>
        <v>#VALUE!</v>
      </c>
      <c r="Y83" s="53"/>
      <c r="Z83" s="53"/>
      <c r="AA83" s="53"/>
    </row>
    <row r="84" spans="1:27" ht="30" x14ac:dyDescent="0.25">
      <c r="A84" s="79" t="s">
        <v>1766</v>
      </c>
      <c r="B84" s="79" t="s">
        <v>1767</v>
      </c>
      <c r="C84" s="79" t="s">
        <v>1760</v>
      </c>
      <c r="D84" s="79" t="s">
        <v>1680</v>
      </c>
      <c r="E84" s="79" t="s">
        <v>1681</v>
      </c>
      <c r="F84" s="79" t="s">
        <v>60</v>
      </c>
      <c r="G84" s="79">
        <v>29</v>
      </c>
      <c r="H84" s="53">
        <f t="shared" si="16"/>
        <v>21.5</v>
      </c>
      <c r="I84" s="53">
        <f t="shared" si="17"/>
        <v>21</v>
      </c>
      <c r="J84" s="53">
        <f t="shared" si="18"/>
        <v>264</v>
      </c>
      <c r="K84" s="53">
        <f t="shared" si="21"/>
        <v>9</v>
      </c>
      <c r="L84" s="53" t="b">
        <f t="shared" si="19"/>
        <v>0</v>
      </c>
      <c r="M84" s="53" t="b">
        <f t="shared" si="20"/>
        <v>1</v>
      </c>
      <c r="N84" s="53" t="str">
        <f t="shared" si="22"/>
        <v>China-CHERRY GROUP CO.,LTD</v>
      </c>
      <c r="O84" s="68" t="str">
        <f t="shared" si="26"/>
        <v>China
bottles</v>
      </c>
      <c r="P84" s="53" t="b">
        <f t="shared" si="23"/>
        <v>0</v>
      </c>
      <c r="Q84" s="53"/>
      <c r="R84" s="53" t="str">
        <f t="shared" si="24"/>
        <v>BOTTLES</v>
      </c>
      <c r="S84" s="53" t="str">
        <f t="shared" si="25"/>
        <v>bottles</v>
      </c>
      <c r="T84" s="53">
        <f t="shared" si="27"/>
        <v>2</v>
      </c>
      <c r="U84" s="53" t="str">
        <f t="shared" si="28"/>
        <v>China</v>
      </c>
      <c r="V84" s="53" t="str">
        <f t="shared" si="29"/>
        <v>Tejav</v>
      </c>
      <c r="W84" s="53" t="str">
        <f t="shared" si="30"/>
        <v>LTD</v>
      </c>
      <c r="X84" s="53" t="e">
        <f t="shared" si="31"/>
        <v>#VALUE!</v>
      </c>
      <c r="Y84" s="53"/>
      <c r="Z84" s="53"/>
      <c r="AA84" s="53"/>
    </row>
    <row r="85" spans="1:27" ht="30" x14ac:dyDescent="0.25">
      <c r="A85" s="79" t="s">
        <v>99</v>
      </c>
      <c r="B85" s="79" t="s">
        <v>1768</v>
      </c>
      <c r="C85" s="79" t="s">
        <v>1769</v>
      </c>
      <c r="D85" s="79" t="s">
        <v>1669</v>
      </c>
      <c r="E85" s="79" t="s">
        <v>1670</v>
      </c>
      <c r="F85" s="79" t="s">
        <v>13</v>
      </c>
      <c r="G85" s="79">
        <v>15</v>
      </c>
      <c r="H85" s="53">
        <f t="shared" si="16"/>
        <v>160.5</v>
      </c>
      <c r="I85" s="53">
        <f t="shared" si="17"/>
        <v>147</v>
      </c>
      <c r="J85" s="53">
        <f t="shared" si="18"/>
        <v>514.5</v>
      </c>
      <c r="K85" s="53">
        <f t="shared" si="21"/>
        <v>18</v>
      </c>
      <c r="L85" s="53" t="b">
        <f t="shared" si="19"/>
        <v>1</v>
      </c>
      <c r="M85" s="53" t="b">
        <f t="shared" si="20"/>
        <v>1</v>
      </c>
      <c r="N85" s="53" t="str">
        <f t="shared" si="22"/>
        <v>Lithuania-BIGSO AB</v>
      </c>
      <c r="O85" s="68" t="str">
        <f t="shared" si="26"/>
        <v>Lithuania
ct</v>
      </c>
      <c r="P85" s="53" t="b">
        <f t="shared" si="23"/>
        <v>0</v>
      </c>
      <c r="Q85" s="53"/>
      <c r="R85" s="53" t="str">
        <f t="shared" si="24"/>
        <v>CT</v>
      </c>
      <c r="S85" s="53" t="str">
        <f t="shared" si="25"/>
        <v>ct</v>
      </c>
      <c r="T85" s="53">
        <f t="shared" si="27"/>
        <v>2</v>
      </c>
      <c r="U85" s="53" t="str">
        <f t="shared" si="28"/>
        <v>Lithuania</v>
      </c>
      <c r="V85" s="53" t="str">
        <f t="shared" si="29"/>
        <v xml:space="preserve">100% </v>
      </c>
      <c r="W85" s="53" t="str">
        <f t="shared" si="30"/>
        <v xml:space="preserve"> AB</v>
      </c>
      <c r="X85" s="53" t="e">
        <f t="shared" si="31"/>
        <v>#VALUE!</v>
      </c>
      <c r="Y85" s="53"/>
      <c r="Z85" s="53"/>
      <c r="AA85" s="53"/>
    </row>
    <row r="86" spans="1:27" ht="30" x14ac:dyDescent="0.25">
      <c r="A86" s="79" t="s">
        <v>552</v>
      </c>
      <c r="B86" s="79" t="s">
        <v>1770</v>
      </c>
      <c r="C86" s="79" t="s">
        <v>1769</v>
      </c>
      <c r="D86" s="79" t="s">
        <v>1666</v>
      </c>
      <c r="E86" s="79" t="s">
        <v>1667</v>
      </c>
      <c r="F86" s="79" t="s">
        <v>60</v>
      </c>
      <c r="G86" s="79">
        <v>14</v>
      </c>
      <c r="H86" s="53">
        <f t="shared" si="16"/>
        <v>185</v>
      </c>
      <c r="I86" s="53">
        <f t="shared" si="17"/>
        <v>175</v>
      </c>
      <c r="J86" s="53">
        <f t="shared" si="18"/>
        <v>415.25</v>
      </c>
      <c r="K86" s="53">
        <f t="shared" si="21"/>
        <v>20</v>
      </c>
      <c r="L86" s="53" t="b">
        <f t="shared" si="19"/>
        <v>1</v>
      </c>
      <c r="M86" s="53" t="b">
        <f t="shared" si="20"/>
        <v>1</v>
      </c>
      <c r="N86" s="53" t="str">
        <f t="shared" si="22"/>
        <v>Finland-HARDFORD AB</v>
      </c>
      <c r="O86" s="68" t="str">
        <f t="shared" si="26"/>
        <v>Finland
bottles</v>
      </c>
      <c r="P86" s="53" t="b">
        <f t="shared" si="23"/>
        <v>0</v>
      </c>
      <c r="Q86" s="53"/>
      <c r="R86" s="53" t="str">
        <f t="shared" si="24"/>
        <v>BOTTLES</v>
      </c>
      <c r="S86" s="53" t="str">
        <f t="shared" si="25"/>
        <v>bottles</v>
      </c>
      <c r="T86" s="53">
        <f t="shared" si="27"/>
        <v>2</v>
      </c>
      <c r="U86" s="53" t="str">
        <f t="shared" si="28"/>
        <v>Finland</v>
      </c>
      <c r="V86" s="53" t="str">
        <f t="shared" si="29"/>
        <v>Ocean</v>
      </c>
      <c r="W86" s="53" t="str">
        <f t="shared" si="30"/>
        <v xml:space="preserve"> AB</v>
      </c>
      <c r="X86" s="53" t="e">
        <f t="shared" si="31"/>
        <v>#VALUE!</v>
      </c>
      <c r="Y86" s="53"/>
      <c r="Z86" s="53"/>
      <c r="AA86" s="53"/>
    </row>
    <row r="87" spans="1:27" ht="30" x14ac:dyDescent="0.25">
      <c r="A87" s="79" t="s">
        <v>563</v>
      </c>
      <c r="B87" s="79" t="s">
        <v>1771</v>
      </c>
      <c r="C87" s="79" t="s">
        <v>1769</v>
      </c>
      <c r="D87" s="79" t="s">
        <v>1676</v>
      </c>
      <c r="E87" s="79" t="s">
        <v>1677</v>
      </c>
      <c r="F87" s="79" t="s">
        <v>60</v>
      </c>
      <c r="G87" s="79">
        <v>18</v>
      </c>
      <c r="H87" s="53">
        <f t="shared" si="16"/>
        <v>82.5</v>
      </c>
      <c r="I87" s="53">
        <f t="shared" si="17"/>
        <v>78</v>
      </c>
      <c r="J87" s="53">
        <f t="shared" si="18"/>
        <v>485.5</v>
      </c>
      <c r="K87" s="53">
        <f t="shared" si="21"/>
        <v>22</v>
      </c>
      <c r="L87" s="53" t="b">
        <f t="shared" si="19"/>
        <v>1</v>
      </c>
      <c r="M87" s="53" t="b">
        <f t="shared" si="20"/>
        <v>1</v>
      </c>
      <c r="N87" s="53" t="str">
        <f t="shared" si="22"/>
        <v>Germany-Friedola 1888 GmbH</v>
      </c>
      <c r="O87" s="68" t="str">
        <f t="shared" si="26"/>
        <v>Germany
bottles</v>
      </c>
      <c r="P87" s="53" t="b">
        <f t="shared" si="23"/>
        <v>0</v>
      </c>
      <c r="Q87" s="53"/>
      <c r="R87" s="53" t="str">
        <f t="shared" si="24"/>
        <v>BOTTLES</v>
      </c>
      <c r="S87" s="53" t="str">
        <f t="shared" si="25"/>
        <v>bottles</v>
      </c>
      <c r="T87" s="53">
        <f t="shared" si="27"/>
        <v>2</v>
      </c>
      <c r="U87" s="53" t="str">
        <f t="shared" si="28"/>
        <v>Gormany</v>
      </c>
      <c r="V87" s="53" t="str">
        <f t="shared" si="29"/>
        <v>Tropi</v>
      </c>
      <c r="W87" s="53" t="str">
        <f t="shared" si="30"/>
        <v>mbH</v>
      </c>
      <c r="X87" s="53" t="e">
        <f t="shared" si="31"/>
        <v>#VALUE!</v>
      </c>
      <c r="Y87" s="53"/>
      <c r="Z87" s="53"/>
      <c r="AA87" s="53"/>
    </row>
    <row r="88" spans="1:27" ht="30" x14ac:dyDescent="0.25">
      <c r="A88" s="79" t="s">
        <v>1250</v>
      </c>
      <c r="B88" s="79" t="s">
        <v>1772</v>
      </c>
      <c r="C88" s="79" t="s">
        <v>1769</v>
      </c>
      <c r="D88" s="79" t="s">
        <v>1662</v>
      </c>
      <c r="E88" s="79" t="s">
        <v>1663</v>
      </c>
      <c r="F88" s="79" t="s">
        <v>60</v>
      </c>
      <c r="G88" s="79">
        <v>18</v>
      </c>
      <c r="H88" s="53">
        <f t="shared" si="16"/>
        <v>82.5</v>
      </c>
      <c r="I88" s="53">
        <f t="shared" si="17"/>
        <v>78</v>
      </c>
      <c r="J88" s="53">
        <f t="shared" si="18"/>
        <v>587.25</v>
      </c>
      <c r="K88" s="53">
        <f t="shared" si="21"/>
        <v>26</v>
      </c>
      <c r="L88" s="53" t="b">
        <f t="shared" si="19"/>
        <v>1</v>
      </c>
      <c r="M88" s="53" t="b">
        <f t="shared" si="20"/>
        <v>1</v>
      </c>
      <c r="N88" s="53" t="str">
        <f t="shared" si="22"/>
        <v>Bangladesh-DENIMACH LTD</v>
      </c>
      <c r="O88" s="68" t="str">
        <f t="shared" si="26"/>
        <v>Bangladesh
bottles</v>
      </c>
      <c r="P88" s="53" t="b">
        <f t="shared" si="23"/>
        <v>0</v>
      </c>
      <c r="Q88" s="53"/>
      <c r="R88" s="53" t="str">
        <f t="shared" si="24"/>
        <v>BOTTLES</v>
      </c>
      <c r="S88" s="53" t="str">
        <f t="shared" si="25"/>
        <v>bottles</v>
      </c>
      <c r="T88" s="53">
        <f t="shared" si="27"/>
        <v>2</v>
      </c>
      <c r="U88" s="53" t="str">
        <f t="shared" si="28"/>
        <v>Bangladosh</v>
      </c>
      <c r="V88" s="53" t="str">
        <f t="shared" si="29"/>
        <v>Tropi</v>
      </c>
      <c r="W88" s="53" t="str">
        <f t="shared" si="30"/>
        <v>LTD</v>
      </c>
      <c r="X88" s="53" t="e">
        <f t="shared" si="31"/>
        <v>#VALUE!</v>
      </c>
      <c r="Y88" s="53"/>
      <c r="Z88" s="53"/>
      <c r="AA88" s="53"/>
    </row>
    <row r="89" spans="1:27" ht="30" x14ac:dyDescent="0.25">
      <c r="A89" s="79" t="s">
        <v>1280</v>
      </c>
      <c r="B89" s="79" t="s">
        <v>1773</v>
      </c>
      <c r="C89" s="79" t="s">
        <v>1769</v>
      </c>
      <c r="D89" s="79" t="s">
        <v>1659</v>
      </c>
      <c r="E89" s="79" t="s">
        <v>1660</v>
      </c>
      <c r="F89" s="79" t="s">
        <v>35</v>
      </c>
      <c r="G89" s="79">
        <v>18</v>
      </c>
      <c r="H89" s="53">
        <f t="shared" si="16"/>
        <v>82.5</v>
      </c>
      <c r="I89" s="53">
        <f t="shared" si="17"/>
        <v>78</v>
      </c>
      <c r="J89" s="53">
        <f t="shared" si="18"/>
        <v>484.25</v>
      </c>
      <c r="K89" s="53">
        <f t="shared" si="21"/>
        <v>18</v>
      </c>
      <c r="L89" s="53" t="b">
        <f t="shared" si="19"/>
        <v>1</v>
      </c>
      <c r="M89" s="53" t="b">
        <f t="shared" si="20"/>
        <v>1</v>
      </c>
      <c r="N89" s="53" t="str">
        <f t="shared" si="22"/>
        <v>poland-CHROMADURLIN S.A.S</v>
      </c>
      <c r="O89" s="68" t="str">
        <f t="shared" si="26"/>
        <v>poland
cans</v>
      </c>
      <c r="P89" s="53" t="b">
        <f t="shared" si="23"/>
        <v>0</v>
      </c>
      <c r="Q89" s="53"/>
      <c r="R89" s="53" t="str">
        <f t="shared" si="24"/>
        <v>CANS</v>
      </c>
      <c r="S89" s="53" t="str">
        <f t="shared" si="25"/>
        <v>cans</v>
      </c>
      <c r="T89" s="53">
        <f t="shared" si="27"/>
        <v>2</v>
      </c>
      <c r="U89" s="53" t="str">
        <f t="shared" si="28"/>
        <v>poland</v>
      </c>
      <c r="V89" s="53" t="str">
        <f t="shared" si="29"/>
        <v>V8 10</v>
      </c>
      <c r="W89" s="53" t="str">
        <f t="shared" si="30"/>
        <v>A.S</v>
      </c>
      <c r="X89" s="53">
        <f t="shared" si="31"/>
        <v>2</v>
      </c>
      <c r="Y89" s="53"/>
      <c r="Z89" s="53"/>
      <c r="AA89" s="53"/>
    </row>
    <row r="90" spans="1:27" ht="30" x14ac:dyDescent="0.25">
      <c r="A90" s="79" t="s">
        <v>1774</v>
      </c>
      <c r="B90" s="79" t="s">
        <v>1775</v>
      </c>
      <c r="C90" s="79" t="s">
        <v>1769</v>
      </c>
      <c r="D90" s="79" t="s">
        <v>1680</v>
      </c>
      <c r="E90" s="79" t="s">
        <v>1681</v>
      </c>
      <c r="F90" s="79" t="s">
        <v>60</v>
      </c>
      <c r="G90" s="79">
        <v>15</v>
      </c>
      <c r="H90" s="53">
        <f t="shared" si="16"/>
        <v>160.5</v>
      </c>
      <c r="I90" s="53">
        <f t="shared" si="17"/>
        <v>147</v>
      </c>
      <c r="J90" s="53">
        <f t="shared" si="18"/>
        <v>264</v>
      </c>
      <c r="K90" s="53">
        <f t="shared" si="21"/>
        <v>8</v>
      </c>
      <c r="L90" s="53" t="b">
        <f t="shared" si="19"/>
        <v>1</v>
      </c>
      <c r="M90" s="53" t="b">
        <f t="shared" si="20"/>
        <v>1</v>
      </c>
      <c r="N90" s="53" t="str">
        <f t="shared" si="22"/>
        <v>China-CHERRY GROUP CO.,LTD</v>
      </c>
      <c r="O90" s="68" t="str">
        <f t="shared" si="26"/>
        <v>China
bottles</v>
      </c>
      <c r="P90" s="53" t="b">
        <f t="shared" si="23"/>
        <v>0</v>
      </c>
      <c r="Q90" s="53"/>
      <c r="R90" s="53" t="str">
        <f t="shared" si="24"/>
        <v>BOTTLES</v>
      </c>
      <c r="S90" s="53" t="str">
        <f t="shared" si="25"/>
        <v>bottles</v>
      </c>
      <c r="T90" s="53">
        <f t="shared" si="27"/>
        <v>2</v>
      </c>
      <c r="U90" s="53" t="str">
        <f t="shared" si="28"/>
        <v>China</v>
      </c>
      <c r="V90" s="53" t="str">
        <f t="shared" si="29"/>
        <v>V-8 S</v>
      </c>
      <c r="W90" s="53" t="str">
        <f t="shared" si="30"/>
        <v>LTD</v>
      </c>
      <c r="X90" s="53" t="e">
        <f t="shared" si="31"/>
        <v>#VALUE!</v>
      </c>
      <c r="Y90" s="53"/>
      <c r="Z90" s="53"/>
      <c r="AA90" s="53"/>
    </row>
    <row r="91" spans="1:27" ht="30" x14ac:dyDescent="0.25">
      <c r="A91" s="79" t="s">
        <v>318</v>
      </c>
      <c r="B91" s="79" t="s">
        <v>1776</v>
      </c>
      <c r="C91" s="79" t="s">
        <v>1769</v>
      </c>
      <c r="D91" s="79" t="s">
        <v>1690</v>
      </c>
      <c r="E91" s="79" t="s">
        <v>1691</v>
      </c>
      <c r="F91" s="79" t="s">
        <v>60</v>
      </c>
      <c r="G91" s="79">
        <v>17</v>
      </c>
      <c r="H91" s="53">
        <f t="shared" si="16"/>
        <v>100</v>
      </c>
      <c r="I91" s="53">
        <f t="shared" si="17"/>
        <v>91</v>
      </c>
      <c r="J91" s="53">
        <f t="shared" si="18"/>
        <v>415</v>
      </c>
      <c r="K91" s="53">
        <f t="shared" si="21"/>
        <v>16</v>
      </c>
      <c r="L91" s="53" t="b">
        <f t="shared" si="19"/>
        <v>1</v>
      </c>
      <c r="M91" s="53" t="b">
        <f t="shared" si="20"/>
        <v>1</v>
      </c>
      <c r="N91" s="53" t="str">
        <f t="shared" si="22"/>
        <v>Cambodia-NINGBO SEDUNO IMP &amp; EXP CO.LTD</v>
      </c>
      <c r="O91" s="68" t="str">
        <f t="shared" si="26"/>
        <v>Cambodia
bottles</v>
      </c>
      <c r="P91" s="53" t="b">
        <f t="shared" si="23"/>
        <v>0</v>
      </c>
      <c r="Q91" s="53"/>
      <c r="R91" s="53" t="str">
        <f t="shared" si="24"/>
        <v>BOTTLES</v>
      </c>
      <c r="S91" s="53" t="str">
        <f t="shared" si="25"/>
        <v>bottles</v>
      </c>
      <c r="T91" s="53">
        <f t="shared" si="27"/>
        <v>2</v>
      </c>
      <c r="U91" s="53" t="str">
        <f t="shared" si="28"/>
        <v>Cambodia</v>
      </c>
      <c r="V91" s="53" t="str">
        <f t="shared" si="29"/>
        <v>Welch</v>
      </c>
      <c r="W91" s="53" t="str">
        <f t="shared" si="30"/>
        <v>LTD</v>
      </c>
      <c r="X91" s="53" t="e">
        <f t="shared" si="31"/>
        <v>#VALUE!</v>
      </c>
      <c r="Y91" s="53"/>
      <c r="Z91" s="53"/>
      <c r="AA91" s="53"/>
    </row>
    <row r="92" spans="1:27" ht="30" x14ac:dyDescent="0.25">
      <c r="A92" s="79" t="s">
        <v>895</v>
      </c>
      <c r="B92" s="79" t="s">
        <v>1777</v>
      </c>
      <c r="C92" s="79" t="s">
        <v>1778</v>
      </c>
      <c r="D92" s="79" t="s">
        <v>1676</v>
      </c>
      <c r="E92" s="79" t="s">
        <v>1677</v>
      </c>
      <c r="F92" s="79" t="s">
        <v>60</v>
      </c>
      <c r="G92" s="79">
        <v>9</v>
      </c>
      <c r="H92" s="53">
        <f t="shared" si="16"/>
        <v>231</v>
      </c>
      <c r="I92" s="53">
        <f t="shared" si="17"/>
        <v>230</v>
      </c>
      <c r="J92" s="53">
        <f t="shared" si="18"/>
        <v>485.5</v>
      </c>
      <c r="K92" s="53">
        <f t="shared" si="21"/>
        <v>21</v>
      </c>
      <c r="L92" s="53" t="b">
        <f t="shared" si="19"/>
        <v>1</v>
      </c>
      <c r="M92" s="53" t="b">
        <f t="shared" si="20"/>
        <v>1</v>
      </c>
      <c r="N92" s="53" t="str">
        <f t="shared" si="22"/>
        <v>Germany-Friedola 1888 GmbH</v>
      </c>
      <c r="O92" s="68" t="str">
        <f t="shared" si="26"/>
        <v>Germany
bottles</v>
      </c>
      <c r="P92" s="53" t="b">
        <f t="shared" si="23"/>
        <v>0</v>
      </c>
      <c r="Q92" s="53"/>
      <c r="R92" s="53" t="str">
        <f t="shared" si="24"/>
        <v>BOTTLES</v>
      </c>
      <c r="S92" s="53" t="str">
        <f t="shared" si="25"/>
        <v>bottles</v>
      </c>
      <c r="T92" s="53">
        <f t="shared" si="27"/>
        <v>2</v>
      </c>
      <c r="U92" s="53" t="str">
        <f t="shared" si="28"/>
        <v>Gormany</v>
      </c>
      <c r="V92" s="53" t="str">
        <f t="shared" si="29"/>
        <v>AquaF</v>
      </c>
      <c r="W92" s="53" t="str">
        <f t="shared" si="30"/>
        <v>mbH</v>
      </c>
      <c r="X92" s="53" t="e">
        <f t="shared" si="31"/>
        <v>#VALUE!</v>
      </c>
      <c r="Y92" s="53"/>
      <c r="Z92" s="53"/>
      <c r="AA92" s="53"/>
    </row>
    <row r="93" spans="1:27" ht="30" x14ac:dyDescent="0.25">
      <c r="A93" s="79" t="s">
        <v>1611</v>
      </c>
      <c r="B93" s="79" t="s">
        <v>1779</v>
      </c>
      <c r="C93" s="79" t="s">
        <v>1778</v>
      </c>
      <c r="D93" s="79" t="s">
        <v>1662</v>
      </c>
      <c r="E93" s="79" t="s">
        <v>1663</v>
      </c>
      <c r="F93" s="79" t="s">
        <v>60</v>
      </c>
      <c r="G93" s="79">
        <v>9</v>
      </c>
      <c r="H93" s="53">
        <f t="shared" si="16"/>
        <v>231</v>
      </c>
      <c r="I93" s="53">
        <f t="shared" si="17"/>
        <v>230</v>
      </c>
      <c r="J93" s="53">
        <f t="shared" si="18"/>
        <v>587.25</v>
      </c>
      <c r="K93" s="53">
        <f t="shared" si="21"/>
        <v>25</v>
      </c>
      <c r="L93" s="53" t="b">
        <f t="shared" si="19"/>
        <v>1</v>
      </c>
      <c r="M93" s="53" t="b">
        <f t="shared" si="20"/>
        <v>1</v>
      </c>
      <c r="N93" s="53" t="str">
        <f t="shared" si="22"/>
        <v>Bangladesh-DENIMACH LTD</v>
      </c>
      <c r="O93" s="68" t="str">
        <f t="shared" si="26"/>
        <v>Bangladesh
bottles</v>
      </c>
      <c r="P93" s="53" t="b">
        <f t="shared" si="23"/>
        <v>0</v>
      </c>
      <c r="Q93" s="53"/>
      <c r="R93" s="53" t="str">
        <f t="shared" si="24"/>
        <v>BOTTLES</v>
      </c>
      <c r="S93" s="53" t="str">
        <f t="shared" si="25"/>
        <v>bottles</v>
      </c>
      <c r="T93" s="53">
        <f t="shared" si="27"/>
        <v>2</v>
      </c>
      <c r="U93" s="53" t="str">
        <f t="shared" si="28"/>
        <v>Bangladosh</v>
      </c>
      <c r="V93" s="53" t="str">
        <f t="shared" si="29"/>
        <v>Dasan</v>
      </c>
      <c r="W93" s="53" t="str">
        <f t="shared" si="30"/>
        <v>LTD</v>
      </c>
      <c r="X93" s="53" t="e">
        <f t="shared" si="31"/>
        <v>#VALUE!</v>
      </c>
      <c r="Y93" s="53"/>
      <c r="Z93" s="53"/>
      <c r="AA93" s="53"/>
    </row>
    <row r="94" spans="1:27" ht="30" x14ac:dyDescent="0.25">
      <c r="A94" s="79" t="s">
        <v>110</v>
      </c>
      <c r="B94" s="79" t="s">
        <v>1780</v>
      </c>
      <c r="C94" s="79" t="s">
        <v>1778</v>
      </c>
      <c r="D94" s="79" t="s">
        <v>1690</v>
      </c>
      <c r="E94" s="79" t="s">
        <v>1691</v>
      </c>
      <c r="F94" s="79" t="s">
        <v>60</v>
      </c>
      <c r="G94" s="79">
        <v>7.5</v>
      </c>
      <c r="H94" s="53">
        <f t="shared" si="16"/>
        <v>241</v>
      </c>
      <c r="I94" s="53">
        <f t="shared" si="17"/>
        <v>241</v>
      </c>
      <c r="J94" s="53">
        <f t="shared" si="18"/>
        <v>415</v>
      </c>
      <c r="K94" s="53">
        <f t="shared" si="21"/>
        <v>15</v>
      </c>
      <c r="L94" s="53" t="b">
        <f t="shared" si="19"/>
        <v>1</v>
      </c>
      <c r="M94" s="53" t="b">
        <f t="shared" si="20"/>
        <v>1</v>
      </c>
      <c r="N94" s="53" t="str">
        <f t="shared" si="22"/>
        <v>Cambodia-NINGBO SEDUNO IMP &amp; EXP CO.LTD</v>
      </c>
      <c r="O94" s="68" t="str">
        <f t="shared" si="26"/>
        <v>Cambodia
bottles</v>
      </c>
      <c r="P94" s="53" t="b">
        <f t="shared" si="23"/>
        <v>0</v>
      </c>
      <c r="Q94" s="53"/>
      <c r="R94" s="53" t="str">
        <f t="shared" si="24"/>
        <v>BOTTLES</v>
      </c>
      <c r="S94" s="53" t="str">
        <f t="shared" si="25"/>
        <v>bottles</v>
      </c>
      <c r="T94" s="53">
        <f t="shared" si="27"/>
        <v>2</v>
      </c>
      <c r="U94" s="53" t="str">
        <f t="shared" si="28"/>
        <v>Cambodia</v>
      </c>
      <c r="V94" s="53" t="str">
        <f t="shared" si="29"/>
        <v>Nestl</v>
      </c>
      <c r="W94" s="53" t="str">
        <f t="shared" si="30"/>
        <v>LTD</v>
      </c>
      <c r="X94" s="53" t="e">
        <f t="shared" si="31"/>
        <v>#VALUE!</v>
      </c>
      <c r="Y94" s="53"/>
      <c r="Z94" s="53"/>
      <c r="AA94" s="53"/>
    </row>
    <row r="95" spans="1:27" ht="30" x14ac:dyDescent="0.25">
      <c r="A95" s="79" t="s">
        <v>537</v>
      </c>
      <c r="B95" s="79" t="s">
        <v>1781</v>
      </c>
      <c r="C95" s="79" t="s">
        <v>1778</v>
      </c>
      <c r="D95" s="79" t="s">
        <v>1669</v>
      </c>
      <c r="E95" s="79" t="s">
        <v>1670</v>
      </c>
      <c r="F95" s="79" t="s">
        <v>60</v>
      </c>
      <c r="G95" s="79">
        <v>10</v>
      </c>
      <c r="H95" s="53">
        <f t="shared" si="16"/>
        <v>228</v>
      </c>
      <c r="I95" s="53">
        <f t="shared" si="17"/>
        <v>227</v>
      </c>
      <c r="J95" s="53">
        <f t="shared" si="18"/>
        <v>514.5</v>
      </c>
      <c r="K95" s="53">
        <f t="shared" si="21"/>
        <v>17</v>
      </c>
      <c r="L95" s="53" t="b">
        <f t="shared" si="19"/>
        <v>1</v>
      </c>
      <c r="M95" s="53" t="b">
        <f t="shared" si="20"/>
        <v>1</v>
      </c>
      <c r="N95" s="53" t="str">
        <f t="shared" si="22"/>
        <v>Lithuania-BIGSO AB</v>
      </c>
      <c r="O95" s="68" t="str">
        <f t="shared" si="26"/>
        <v>Lithuania
bottles</v>
      </c>
      <c r="P95" s="53" t="b">
        <f t="shared" si="23"/>
        <v>0</v>
      </c>
      <c r="Q95" s="53"/>
      <c r="R95" s="53" t="str">
        <f t="shared" si="24"/>
        <v>BOTTLES</v>
      </c>
      <c r="S95" s="53" t="str">
        <f t="shared" si="25"/>
        <v>bottles</v>
      </c>
      <c r="T95" s="53">
        <f t="shared" si="27"/>
        <v>2</v>
      </c>
      <c r="U95" s="53" t="str">
        <f t="shared" si="28"/>
        <v>Lithuania</v>
      </c>
      <c r="V95" s="53" t="str">
        <f t="shared" si="29"/>
        <v>Ozark</v>
      </c>
      <c r="W95" s="53" t="str">
        <f t="shared" si="30"/>
        <v xml:space="preserve"> AB</v>
      </c>
      <c r="X95" s="53" t="e">
        <f t="shared" si="31"/>
        <v>#VALUE!</v>
      </c>
      <c r="Y95" s="53"/>
      <c r="Z95" s="53"/>
      <c r="AA95" s="53"/>
    </row>
    <row r="96" spans="1:27" ht="30" x14ac:dyDescent="0.25">
      <c r="A96" s="79" t="s">
        <v>1649</v>
      </c>
      <c r="B96" s="79" t="s">
        <v>1782</v>
      </c>
      <c r="C96" s="79" t="s">
        <v>1778</v>
      </c>
      <c r="D96" s="79" t="s">
        <v>1662</v>
      </c>
      <c r="E96" s="79" t="s">
        <v>1663</v>
      </c>
      <c r="F96" s="79" t="s">
        <v>60</v>
      </c>
      <c r="G96" s="79">
        <v>13</v>
      </c>
      <c r="H96" s="53">
        <f t="shared" si="16"/>
        <v>201</v>
      </c>
      <c r="I96" s="53">
        <f t="shared" si="17"/>
        <v>197</v>
      </c>
      <c r="J96" s="53">
        <f t="shared" si="18"/>
        <v>587.25</v>
      </c>
      <c r="K96" s="53">
        <f t="shared" si="21"/>
        <v>24</v>
      </c>
      <c r="L96" s="53" t="b">
        <f t="shared" si="19"/>
        <v>1</v>
      </c>
      <c r="M96" s="53" t="b">
        <f t="shared" si="20"/>
        <v>1</v>
      </c>
      <c r="N96" s="53" t="str">
        <f t="shared" si="22"/>
        <v>Bangladesh-DENIMACH LTD</v>
      </c>
      <c r="O96" s="68" t="str">
        <f t="shared" si="26"/>
        <v>Bangladesh
bottles</v>
      </c>
      <c r="P96" s="53" t="b">
        <f t="shared" si="23"/>
        <v>0</v>
      </c>
      <c r="Q96" s="53"/>
      <c r="R96" s="53" t="str">
        <f t="shared" si="24"/>
        <v>BOTTLES</v>
      </c>
      <c r="S96" s="53" t="str">
        <f t="shared" si="25"/>
        <v>bottles</v>
      </c>
      <c r="T96" s="53">
        <f t="shared" si="27"/>
        <v>2</v>
      </c>
      <c r="U96" s="53" t="str">
        <f t="shared" si="28"/>
        <v>Bangladosh</v>
      </c>
      <c r="V96" s="53" t="str">
        <f t="shared" si="29"/>
        <v>Ozark</v>
      </c>
      <c r="W96" s="53" t="str">
        <f t="shared" si="30"/>
        <v>LTD</v>
      </c>
      <c r="X96" s="53" t="e">
        <f t="shared" si="31"/>
        <v>#VALUE!</v>
      </c>
      <c r="Y96" s="53"/>
      <c r="Z96" s="53"/>
      <c r="AA96" s="53"/>
    </row>
    <row r="97" spans="1:27" ht="30" x14ac:dyDescent="0.25">
      <c r="A97" s="79" t="s">
        <v>823</v>
      </c>
      <c r="B97" s="79" t="s">
        <v>1783</v>
      </c>
      <c r="C97" s="79" t="s">
        <v>1778</v>
      </c>
      <c r="D97" s="79" t="s">
        <v>1656</v>
      </c>
      <c r="E97" s="79" t="s">
        <v>1657</v>
      </c>
      <c r="F97" s="79" t="s">
        <v>60</v>
      </c>
      <c r="G97" s="79">
        <v>11</v>
      </c>
      <c r="H97" s="53">
        <f t="shared" si="16"/>
        <v>225</v>
      </c>
      <c r="I97" s="53">
        <f t="shared" si="17"/>
        <v>224</v>
      </c>
      <c r="J97" s="53">
        <f t="shared" si="18"/>
        <v>460</v>
      </c>
      <c r="K97" s="53">
        <f t="shared" si="21"/>
        <v>21</v>
      </c>
      <c r="L97" s="53" t="b">
        <f t="shared" si="19"/>
        <v>1</v>
      </c>
      <c r="M97" s="53" t="b">
        <f t="shared" si="20"/>
        <v>1</v>
      </c>
      <c r="N97" s="53" t="str">
        <f t="shared" si="22"/>
        <v>Netherlands-Bolsius Boxmeer</v>
      </c>
      <c r="O97" s="68" t="str">
        <f t="shared" si="26"/>
        <v>Netherlands
bottles</v>
      </c>
      <c r="P97" s="53" t="b">
        <f t="shared" si="23"/>
        <v>0</v>
      </c>
      <c r="Q97" s="53"/>
      <c r="R97" s="53" t="str">
        <f t="shared" si="24"/>
        <v>BOTTLES</v>
      </c>
      <c r="S97" s="53" t="str">
        <f t="shared" si="25"/>
        <v>bottles</v>
      </c>
      <c r="T97" s="53">
        <f t="shared" si="27"/>
        <v>2</v>
      </c>
      <c r="U97" s="53" t="str">
        <f t="shared" si="28"/>
        <v>Nothorlands</v>
      </c>
      <c r="V97" s="53" t="str">
        <f t="shared" si="29"/>
        <v>Ozark</v>
      </c>
      <c r="W97" s="53" t="str">
        <f t="shared" si="30"/>
        <v>eer</v>
      </c>
      <c r="X97" s="53" t="e">
        <f t="shared" si="31"/>
        <v>#VALUE!</v>
      </c>
      <c r="Y97" s="53"/>
      <c r="Z97" s="53"/>
      <c r="AA97" s="53"/>
    </row>
    <row r="98" spans="1:27" ht="30" x14ac:dyDescent="0.25">
      <c r="A98" s="79" t="s">
        <v>1784</v>
      </c>
      <c r="B98" s="79" t="s">
        <v>1785</v>
      </c>
      <c r="C98" s="79" t="s">
        <v>1778</v>
      </c>
      <c r="D98" s="79" t="s">
        <v>1666</v>
      </c>
      <c r="E98" s="79" t="s">
        <v>1667</v>
      </c>
      <c r="F98" s="79" t="s">
        <v>1786</v>
      </c>
      <c r="G98" s="79">
        <v>16</v>
      </c>
      <c r="H98" s="53">
        <f t="shared" si="16"/>
        <v>132.5</v>
      </c>
      <c r="I98" s="53">
        <f t="shared" si="17"/>
        <v>120</v>
      </c>
      <c r="J98" s="53">
        <f t="shared" si="18"/>
        <v>415.25</v>
      </c>
      <c r="K98" s="53">
        <f t="shared" si="21"/>
        <v>19</v>
      </c>
      <c r="L98" s="53" t="b">
        <f t="shared" si="19"/>
        <v>1</v>
      </c>
      <c r="M98" s="53" t="b">
        <f t="shared" si="20"/>
        <v>1</v>
      </c>
      <c r="N98" s="53" t="str">
        <f t="shared" si="22"/>
        <v>Finland-HARDFORD AB</v>
      </c>
      <c r="O98" s="68" t="str">
        <f t="shared" si="26"/>
        <v>Finland
botlltes</v>
      </c>
      <c r="P98" s="53" t="b">
        <f t="shared" si="23"/>
        <v>0</v>
      </c>
      <c r="Q98" s="53"/>
      <c r="R98" s="53" t="str">
        <f t="shared" si="24"/>
        <v>BOTLLTES</v>
      </c>
      <c r="S98" s="53" t="str">
        <f t="shared" si="25"/>
        <v>botlltes</v>
      </c>
      <c r="T98" s="53">
        <f t="shared" si="27"/>
        <v>2</v>
      </c>
      <c r="U98" s="53" t="str">
        <f t="shared" si="28"/>
        <v>Finland</v>
      </c>
      <c r="V98" s="53" t="str">
        <f t="shared" si="29"/>
        <v>Prope</v>
      </c>
      <c r="W98" s="53" t="str">
        <f t="shared" si="30"/>
        <v xml:space="preserve"> AB</v>
      </c>
      <c r="X98" s="53" t="e">
        <f t="shared" si="31"/>
        <v>#VALUE!</v>
      </c>
      <c r="Y98" s="53"/>
      <c r="Z98" s="53"/>
      <c r="AA98" s="53"/>
    </row>
    <row r="99" spans="1:27" ht="30" x14ac:dyDescent="0.25">
      <c r="A99" s="79" t="s">
        <v>567</v>
      </c>
      <c r="B99" s="79" t="s">
        <v>1787</v>
      </c>
      <c r="C99" s="79" t="s">
        <v>1778</v>
      </c>
      <c r="D99" s="79" t="s">
        <v>1690</v>
      </c>
      <c r="E99" s="79" t="s">
        <v>1691</v>
      </c>
      <c r="F99" s="79" t="s">
        <v>60</v>
      </c>
      <c r="G99" s="79">
        <v>20</v>
      </c>
      <c r="H99" s="53">
        <f t="shared" si="16"/>
        <v>61</v>
      </c>
      <c r="I99" s="53">
        <f t="shared" si="17"/>
        <v>55</v>
      </c>
      <c r="J99" s="53">
        <f t="shared" si="18"/>
        <v>415</v>
      </c>
      <c r="K99" s="53">
        <f t="shared" si="21"/>
        <v>14</v>
      </c>
      <c r="L99" s="53" t="b">
        <f t="shared" si="19"/>
        <v>0</v>
      </c>
      <c r="M99" s="53" t="b">
        <f t="shared" si="20"/>
        <v>1</v>
      </c>
      <c r="N99" s="53" t="str">
        <f t="shared" si="22"/>
        <v>Cambodia-NINGBO SEDUNO IMP &amp; EXP CO.LTD</v>
      </c>
      <c r="O99" s="68" t="str">
        <f t="shared" si="26"/>
        <v>Cambodia
bottles</v>
      </c>
      <c r="P99" s="53" t="b">
        <f t="shared" si="23"/>
        <v>0</v>
      </c>
      <c r="Q99" s="53"/>
      <c r="R99" s="53" t="str">
        <f t="shared" si="24"/>
        <v>BOTTLES</v>
      </c>
      <c r="S99" s="53" t="str">
        <f t="shared" si="25"/>
        <v>bottles</v>
      </c>
      <c r="T99" s="53">
        <f t="shared" si="27"/>
        <v>2</v>
      </c>
      <c r="U99" s="53" t="str">
        <f t="shared" si="28"/>
        <v>Cambodia</v>
      </c>
      <c r="V99" s="53" t="str">
        <f t="shared" si="29"/>
        <v xml:space="preserve">Sobe </v>
      </c>
      <c r="W99" s="53" t="str">
        <f t="shared" si="30"/>
        <v>LTD</v>
      </c>
      <c r="X99" s="53" t="e">
        <f t="shared" si="31"/>
        <v>#VALUE!</v>
      </c>
      <c r="Y99" s="53"/>
      <c r="Z99" s="53"/>
      <c r="AA99" s="53"/>
    </row>
    <row r="100" spans="1:27" ht="30" x14ac:dyDescent="0.25">
      <c r="A100" s="79" t="s">
        <v>221</v>
      </c>
      <c r="B100" s="79" t="s">
        <v>3399</v>
      </c>
      <c r="C100" s="79" t="s">
        <v>1778</v>
      </c>
      <c r="D100" s="79" t="s">
        <v>1671</v>
      </c>
      <c r="E100" s="79" t="s">
        <v>1672</v>
      </c>
      <c r="F100" s="79" t="s">
        <v>223</v>
      </c>
      <c r="G100" s="79">
        <v>19</v>
      </c>
      <c r="H100" s="53">
        <f t="shared" si="16"/>
        <v>74</v>
      </c>
      <c r="I100" s="53">
        <f t="shared" si="17"/>
        <v>71</v>
      </c>
      <c r="J100" s="53">
        <f t="shared" si="18"/>
        <v>561.5</v>
      </c>
      <c r="K100" s="53">
        <f t="shared" si="21"/>
        <v>30</v>
      </c>
      <c r="L100" s="53" t="b">
        <f t="shared" si="19"/>
        <v>1</v>
      </c>
      <c r="M100" s="53" t="b">
        <f t="shared" si="20"/>
        <v>1</v>
      </c>
      <c r="N100" s="53" t="str">
        <f t="shared" si="22"/>
        <v>India-Indo Count Industries Ltd</v>
      </c>
      <c r="O100" s="68" t="str">
        <f t="shared" si="26"/>
        <v>India
cartons</v>
      </c>
      <c r="P100" s="53" t="b">
        <f t="shared" si="23"/>
        <v>0</v>
      </c>
      <c r="Q100" s="53"/>
      <c r="R100" s="53" t="str">
        <f t="shared" si="24"/>
        <v>CARTONS</v>
      </c>
      <c r="S100" s="53" t="str">
        <f t="shared" si="25"/>
        <v>cartons</v>
      </c>
      <c r="T100" s="53">
        <f t="shared" si="27"/>
        <v>2</v>
      </c>
      <c r="U100" s="53" t="str">
        <f t="shared" si="28"/>
        <v>India</v>
      </c>
      <c r="V100" s="53" t="str">
        <f t="shared" si="29"/>
        <v xml:space="preserve">Vita </v>
      </c>
      <c r="W100" s="53" t="str">
        <f t="shared" si="30"/>
        <v>Ltd</v>
      </c>
      <c r="X100" s="53">
        <f t="shared" si="31"/>
        <v>2</v>
      </c>
      <c r="Y100" s="53"/>
      <c r="Z100" s="53"/>
      <c r="AA100" s="53"/>
    </row>
    <row r="101" spans="1:27" ht="30" x14ac:dyDescent="0.25">
      <c r="A101" s="79" t="s">
        <v>510</v>
      </c>
      <c r="B101" s="79" t="s">
        <v>3400</v>
      </c>
      <c r="C101" s="79" t="s">
        <v>3401</v>
      </c>
      <c r="D101" s="79" t="s">
        <v>1666</v>
      </c>
      <c r="E101" s="79" t="s">
        <v>1667</v>
      </c>
      <c r="F101" s="79" t="s">
        <v>167</v>
      </c>
      <c r="G101" s="79">
        <v>10</v>
      </c>
      <c r="H101" s="53">
        <f t="shared" si="16"/>
        <v>228</v>
      </c>
      <c r="I101" s="53">
        <f t="shared" si="17"/>
        <v>227</v>
      </c>
      <c r="J101" s="53">
        <f t="shared" si="18"/>
        <v>415.25</v>
      </c>
      <c r="K101" s="53">
        <f t="shared" si="21"/>
        <v>18</v>
      </c>
      <c r="L101" s="53" t="b">
        <f t="shared" si="19"/>
        <v>1</v>
      </c>
      <c r="M101" s="53" t="b">
        <f t="shared" si="20"/>
        <v>1</v>
      </c>
      <c r="N101" s="53" t="str">
        <f t="shared" si="22"/>
        <v>Finland-HARDFORD AB</v>
      </c>
      <c r="O101" s="68" t="str">
        <f t="shared" si="26"/>
        <v>Finland
oz</v>
      </c>
      <c r="P101" s="53" t="b">
        <f t="shared" si="23"/>
        <v>0</v>
      </c>
      <c r="Q101" s="53"/>
      <c r="R101" s="53" t="str">
        <f t="shared" si="24"/>
        <v>OZ</v>
      </c>
      <c r="S101" s="53" t="str">
        <f t="shared" si="25"/>
        <v>oz</v>
      </c>
      <c r="T101" s="53">
        <f t="shared" si="27"/>
        <v>2</v>
      </c>
      <c r="U101" s="53" t="str">
        <f t="shared" si="28"/>
        <v>Finland</v>
      </c>
      <c r="V101" s="53" t="str">
        <f t="shared" si="29"/>
        <v>Coffe</v>
      </c>
      <c r="W101" s="53" t="str">
        <f t="shared" si="30"/>
        <v xml:space="preserve"> AB</v>
      </c>
      <c r="X101" s="53" t="e">
        <f t="shared" si="31"/>
        <v>#VALUE!</v>
      </c>
      <c r="Y101" s="53"/>
      <c r="Z101" s="53"/>
      <c r="AA101" s="53"/>
    </row>
    <row r="102" spans="1:27" ht="30" x14ac:dyDescent="0.25">
      <c r="A102" s="79" t="s">
        <v>1875</v>
      </c>
      <c r="B102" s="79" t="s">
        <v>3402</v>
      </c>
      <c r="C102" s="79" t="s">
        <v>3401</v>
      </c>
      <c r="D102" s="79" t="s">
        <v>1662</v>
      </c>
      <c r="E102" s="79" t="s">
        <v>1663</v>
      </c>
      <c r="F102" s="79" t="s">
        <v>167</v>
      </c>
      <c r="G102" s="79">
        <v>6</v>
      </c>
      <c r="H102" s="53">
        <f t="shared" si="16"/>
        <v>262.5</v>
      </c>
      <c r="I102" s="53">
        <f t="shared" si="17"/>
        <v>262</v>
      </c>
      <c r="J102" s="53">
        <f t="shared" si="18"/>
        <v>587.25</v>
      </c>
      <c r="K102" s="53">
        <f t="shared" si="21"/>
        <v>23</v>
      </c>
      <c r="L102" s="53" t="b">
        <f t="shared" si="19"/>
        <v>1</v>
      </c>
      <c r="M102" s="53" t="b">
        <f t="shared" si="20"/>
        <v>1</v>
      </c>
      <c r="N102" s="53" t="str">
        <f t="shared" si="22"/>
        <v>Bangladesh-DENIMACH LTD</v>
      </c>
      <c r="O102" s="68" t="str">
        <f t="shared" si="26"/>
        <v>Bangladesh
oz</v>
      </c>
      <c r="P102" s="53" t="b">
        <f t="shared" si="23"/>
        <v>0</v>
      </c>
      <c r="Q102" s="53"/>
      <c r="R102" s="53" t="str">
        <f t="shared" si="24"/>
        <v>OZ</v>
      </c>
      <c r="S102" s="53" t="str">
        <f t="shared" si="25"/>
        <v>oz</v>
      </c>
      <c r="T102" s="53">
        <f t="shared" si="27"/>
        <v>2</v>
      </c>
      <c r="U102" s="53" t="str">
        <f t="shared" si="28"/>
        <v>Bangladosh</v>
      </c>
      <c r="V102" s="53" t="str">
        <f t="shared" si="29"/>
        <v>Coffe</v>
      </c>
      <c r="W102" s="53" t="str">
        <f t="shared" si="30"/>
        <v>LTD</v>
      </c>
      <c r="X102" s="53" t="e">
        <f t="shared" si="31"/>
        <v>#VALUE!</v>
      </c>
      <c r="Y102" s="53"/>
      <c r="Z102" s="53"/>
      <c r="AA102" s="53"/>
    </row>
    <row r="103" spans="1:27" ht="30" x14ac:dyDescent="0.25">
      <c r="A103" s="79" t="s">
        <v>1324</v>
      </c>
      <c r="B103" s="79" t="s">
        <v>3403</v>
      </c>
      <c r="C103" s="79" t="s">
        <v>3401</v>
      </c>
      <c r="D103" s="79" t="s">
        <v>1656</v>
      </c>
      <c r="E103" s="79" t="s">
        <v>1657</v>
      </c>
      <c r="F103" s="79" t="s">
        <v>1326</v>
      </c>
      <c r="G103" s="79">
        <v>10</v>
      </c>
      <c r="H103" s="53">
        <f t="shared" si="16"/>
        <v>228</v>
      </c>
      <c r="I103" s="53">
        <f t="shared" si="17"/>
        <v>227</v>
      </c>
      <c r="J103" s="53">
        <f t="shared" si="18"/>
        <v>460</v>
      </c>
      <c r="K103" s="53">
        <f t="shared" si="21"/>
        <v>20</v>
      </c>
      <c r="L103" s="53" t="b">
        <f t="shared" si="19"/>
        <v>1</v>
      </c>
      <c r="M103" s="53" t="b">
        <f t="shared" si="20"/>
        <v>1</v>
      </c>
      <c r="N103" s="53" t="str">
        <f t="shared" si="22"/>
        <v>Netherlands-Bolsius Boxmeer</v>
      </c>
      <c r="O103" s="68" t="str">
        <f t="shared" si="26"/>
        <v>Netherlands
oz.</v>
      </c>
      <c r="P103" s="53" t="b">
        <f t="shared" si="23"/>
        <v>0</v>
      </c>
      <c r="Q103" s="53"/>
      <c r="R103" s="53" t="str">
        <f t="shared" si="24"/>
        <v>OZ.</v>
      </c>
      <c r="S103" s="53" t="str">
        <f t="shared" si="25"/>
        <v>oz.</v>
      </c>
      <c r="T103" s="53">
        <f t="shared" si="27"/>
        <v>2</v>
      </c>
      <c r="U103" s="53" t="str">
        <f t="shared" si="28"/>
        <v>Nothorlands</v>
      </c>
      <c r="V103" s="53" t="str">
        <f t="shared" si="29"/>
        <v>Coffe</v>
      </c>
      <c r="W103" s="53" t="str">
        <f t="shared" si="30"/>
        <v>eer</v>
      </c>
      <c r="X103" s="53" t="e">
        <f t="shared" si="31"/>
        <v>#VALUE!</v>
      </c>
      <c r="Y103" s="53"/>
      <c r="Z103" s="53"/>
      <c r="AA103" s="53"/>
    </row>
    <row r="104" spans="1:27" ht="30" x14ac:dyDescent="0.25">
      <c r="A104" s="79" t="s">
        <v>719</v>
      </c>
      <c r="B104" s="79" t="s">
        <v>3404</v>
      </c>
      <c r="C104" s="79" t="s">
        <v>3401</v>
      </c>
      <c r="D104" s="79" t="s">
        <v>1676</v>
      </c>
      <c r="E104" s="79" t="s">
        <v>1677</v>
      </c>
      <c r="F104" s="79" t="s">
        <v>178</v>
      </c>
      <c r="G104" s="79">
        <v>15</v>
      </c>
      <c r="H104" s="53">
        <f t="shared" si="16"/>
        <v>160.5</v>
      </c>
      <c r="I104" s="53">
        <f t="shared" si="17"/>
        <v>147</v>
      </c>
      <c r="J104" s="53">
        <f t="shared" si="18"/>
        <v>485.5</v>
      </c>
      <c r="K104" s="53">
        <f t="shared" si="21"/>
        <v>20</v>
      </c>
      <c r="L104" s="53" t="b">
        <f t="shared" si="19"/>
        <v>1</v>
      </c>
      <c r="M104" s="53" t="b">
        <f t="shared" si="20"/>
        <v>1</v>
      </c>
      <c r="N104" s="53" t="str">
        <f t="shared" si="22"/>
        <v>Germany-Friedola 1888 GmbH</v>
      </c>
      <c r="O104" s="68" t="str">
        <f t="shared" si="26"/>
        <v>Germany
tubs</v>
      </c>
      <c r="P104" s="53" t="b">
        <f t="shared" si="23"/>
        <v>0</v>
      </c>
      <c r="Q104" s="53"/>
      <c r="R104" s="53" t="str">
        <f t="shared" si="24"/>
        <v>TUBS</v>
      </c>
      <c r="S104" s="53" t="str">
        <f t="shared" si="25"/>
        <v>tubs</v>
      </c>
      <c r="T104" s="53">
        <f t="shared" si="27"/>
        <v>2</v>
      </c>
      <c r="U104" s="53" t="str">
        <f t="shared" si="28"/>
        <v>Gormany</v>
      </c>
      <c r="V104" s="53" t="str">
        <f t="shared" si="29"/>
        <v>Frenc</v>
      </c>
      <c r="W104" s="53" t="str">
        <f t="shared" si="30"/>
        <v>mbH</v>
      </c>
      <c r="X104" s="53" t="e">
        <f t="shared" si="31"/>
        <v>#VALUE!</v>
      </c>
      <c r="Y104" s="53"/>
      <c r="Z104" s="53"/>
      <c r="AA104" s="53"/>
    </row>
    <row r="105" spans="1:27" ht="30" x14ac:dyDescent="0.25">
      <c r="A105" s="79" t="s">
        <v>596</v>
      </c>
      <c r="B105" s="79" t="s">
        <v>3405</v>
      </c>
      <c r="C105" s="79" t="s">
        <v>3401</v>
      </c>
      <c r="D105" s="79" t="s">
        <v>1669</v>
      </c>
      <c r="E105" s="79" t="s">
        <v>1670</v>
      </c>
      <c r="F105" s="79" t="s">
        <v>178</v>
      </c>
      <c r="G105" s="79">
        <v>16</v>
      </c>
      <c r="H105" s="53">
        <f t="shared" si="16"/>
        <v>132.5</v>
      </c>
      <c r="I105" s="53">
        <f t="shared" si="17"/>
        <v>120</v>
      </c>
      <c r="J105" s="53">
        <f t="shared" si="18"/>
        <v>514.5</v>
      </c>
      <c r="K105" s="53">
        <f t="shared" si="21"/>
        <v>16</v>
      </c>
      <c r="L105" s="53" t="b">
        <f t="shared" si="19"/>
        <v>1</v>
      </c>
      <c r="M105" s="53" t="b">
        <f t="shared" si="20"/>
        <v>1</v>
      </c>
      <c r="N105" s="53" t="str">
        <f t="shared" si="22"/>
        <v>Lithuania-BIGSO AB</v>
      </c>
      <c r="O105" s="68" t="str">
        <f t="shared" si="26"/>
        <v>Lithuania
tubs</v>
      </c>
      <c r="P105" s="53" t="b">
        <f t="shared" si="23"/>
        <v>0</v>
      </c>
      <c r="Q105" s="53"/>
      <c r="R105" s="53" t="str">
        <f t="shared" si="24"/>
        <v>TUBS</v>
      </c>
      <c r="S105" s="53" t="str">
        <f t="shared" si="25"/>
        <v>tubs</v>
      </c>
      <c r="T105" s="53">
        <f t="shared" si="27"/>
        <v>2</v>
      </c>
      <c r="U105" s="53" t="str">
        <f t="shared" si="28"/>
        <v>Lithuania</v>
      </c>
      <c r="V105" s="53" t="str">
        <f t="shared" si="29"/>
        <v xml:space="preserve">Half </v>
      </c>
      <c r="W105" s="53" t="str">
        <f t="shared" si="30"/>
        <v xml:space="preserve"> AB</v>
      </c>
      <c r="X105" s="53" t="e">
        <f t="shared" si="31"/>
        <v>#VALUE!</v>
      </c>
      <c r="Y105" s="53"/>
      <c r="Z105" s="53"/>
      <c r="AA105" s="53"/>
    </row>
    <row r="106" spans="1:27" ht="30" x14ac:dyDescent="0.25">
      <c r="A106" s="79" t="s">
        <v>176</v>
      </c>
      <c r="B106" s="79" t="s">
        <v>3406</v>
      </c>
      <c r="C106" s="79" t="s">
        <v>3401</v>
      </c>
      <c r="D106" s="79" t="s">
        <v>1666</v>
      </c>
      <c r="E106" s="79" t="s">
        <v>1667</v>
      </c>
      <c r="F106" s="79" t="s">
        <v>178</v>
      </c>
      <c r="G106" s="79">
        <v>15</v>
      </c>
      <c r="H106" s="53">
        <f t="shared" si="16"/>
        <v>160.5</v>
      </c>
      <c r="I106" s="53">
        <f t="shared" si="17"/>
        <v>147</v>
      </c>
      <c r="J106" s="53">
        <f t="shared" si="18"/>
        <v>415.25</v>
      </c>
      <c r="K106" s="53">
        <f t="shared" si="21"/>
        <v>17</v>
      </c>
      <c r="L106" s="53" t="b">
        <f t="shared" si="19"/>
        <v>1</v>
      </c>
      <c r="M106" s="53" t="b">
        <f t="shared" si="20"/>
        <v>1</v>
      </c>
      <c r="N106" s="53" t="str">
        <f t="shared" si="22"/>
        <v>Finland-HARDFORD AB</v>
      </c>
      <c r="O106" s="68" t="str">
        <f t="shared" si="26"/>
        <v>Finland
tubs</v>
      </c>
      <c r="P106" s="53" t="b">
        <f t="shared" si="23"/>
        <v>0</v>
      </c>
      <c r="Q106" s="53"/>
      <c r="R106" s="53" t="str">
        <f t="shared" si="24"/>
        <v>TUBS</v>
      </c>
      <c r="S106" s="53" t="str">
        <f t="shared" si="25"/>
        <v>tubs</v>
      </c>
      <c r="T106" s="53">
        <f t="shared" si="27"/>
        <v>2</v>
      </c>
      <c r="U106" s="53" t="str">
        <f t="shared" si="28"/>
        <v>Finland</v>
      </c>
      <c r="V106" s="53" t="str">
        <f t="shared" si="29"/>
        <v>Hazel</v>
      </c>
      <c r="W106" s="53" t="str">
        <f t="shared" si="30"/>
        <v xml:space="preserve"> AB</v>
      </c>
      <c r="X106" s="53" t="e">
        <f t="shared" si="31"/>
        <v>#VALUE!</v>
      </c>
      <c r="Y106" s="53"/>
      <c r="Z106" s="53"/>
      <c r="AA106" s="53"/>
    </row>
    <row r="107" spans="1:27" ht="30" x14ac:dyDescent="0.25">
      <c r="A107" s="79" t="s">
        <v>1181</v>
      </c>
      <c r="B107" s="79" t="s">
        <v>3407</v>
      </c>
      <c r="C107" s="79" t="s">
        <v>3408</v>
      </c>
      <c r="D107" s="79" t="s">
        <v>1656</v>
      </c>
      <c r="E107" s="79" t="s">
        <v>1657</v>
      </c>
      <c r="F107" s="79" t="s">
        <v>13</v>
      </c>
      <c r="G107" s="79">
        <v>14</v>
      </c>
      <c r="H107" s="53">
        <f t="shared" si="16"/>
        <v>185</v>
      </c>
      <c r="I107" s="53">
        <f t="shared" si="17"/>
        <v>175</v>
      </c>
      <c r="J107" s="53">
        <f t="shared" si="18"/>
        <v>460</v>
      </c>
      <c r="K107" s="53">
        <f t="shared" si="21"/>
        <v>19</v>
      </c>
      <c r="L107" s="53" t="b">
        <f t="shared" si="19"/>
        <v>1</v>
      </c>
      <c r="M107" s="53" t="b">
        <f t="shared" si="20"/>
        <v>1</v>
      </c>
      <c r="N107" s="53" t="str">
        <f t="shared" si="22"/>
        <v>Netherlands-Bolsius Boxmeer</v>
      </c>
      <c r="O107" s="68" t="str">
        <f t="shared" si="26"/>
        <v>Netherlands
ct</v>
      </c>
      <c r="P107" s="53" t="b">
        <f t="shared" si="23"/>
        <v>0</v>
      </c>
      <c r="Q107" s="53"/>
      <c r="R107" s="53" t="str">
        <f t="shared" si="24"/>
        <v>CT</v>
      </c>
      <c r="S107" s="53" t="str">
        <f t="shared" si="25"/>
        <v>ct</v>
      </c>
      <c r="T107" s="53">
        <f t="shared" si="27"/>
        <v>2</v>
      </c>
      <c r="U107" s="53" t="str">
        <f t="shared" si="28"/>
        <v>Nothorlands</v>
      </c>
      <c r="V107" s="53" t="str">
        <f t="shared" si="29"/>
        <v xml:space="preserve">Njoy </v>
      </c>
      <c r="W107" s="53" t="str">
        <f t="shared" si="30"/>
        <v>eer</v>
      </c>
      <c r="X107" s="53" t="e">
        <f t="shared" si="31"/>
        <v>#VALUE!</v>
      </c>
      <c r="Y107" s="53"/>
      <c r="Z107" s="53"/>
      <c r="AA107" s="53"/>
    </row>
    <row r="108" spans="1:27" ht="30" x14ac:dyDescent="0.25">
      <c r="A108" s="79" t="s">
        <v>1063</v>
      </c>
      <c r="B108" s="79" t="s">
        <v>3409</v>
      </c>
      <c r="C108" s="79" t="s">
        <v>3408</v>
      </c>
      <c r="D108" s="79" t="s">
        <v>1659</v>
      </c>
      <c r="E108" s="79" t="s">
        <v>1660</v>
      </c>
      <c r="F108" s="79" t="s">
        <v>13</v>
      </c>
      <c r="G108" s="79">
        <v>16.5</v>
      </c>
      <c r="H108" s="53">
        <f t="shared" si="16"/>
        <v>110.5</v>
      </c>
      <c r="I108" s="53">
        <f t="shared" si="17"/>
        <v>110</v>
      </c>
      <c r="J108" s="53">
        <f t="shared" si="18"/>
        <v>484.25</v>
      </c>
      <c r="K108" s="53">
        <f t="shared" si="21"/>
        <v>17</v>
      </c>
      <c r="L108" s="53" t="b">
        <f t="shared" si="19"/>
        <v>1</v>
      </c>
      <c r="M108" s="53" t="b">
        <f t="shared" si="20"/>
        <v>1</v>
      </c>
      <c r="N108" s="53" t="str">
        <f t="shared" si="22"/>
        <v>poland-CHROMADURLIN S.A.S</v>
      </c>
      <c r="O108" s="68" t="str">
        <f t="shared" si="26"/>
        <v>poland
ct</v>
      </c>
      <c r="P108" s="53" t="b">
        <f t="shared" si="23"/>
        <v>0</v>
      </c>
      <c r="Q108" s="53"/>
      <c r="R108" s="53" t="str">
        <f t="shared" si="24"/>
        <v>CT</v>
      </c>
      <c r="S108" s="53" t="str">
        <f t="shared" si="25"/>
        <v>ct</v>
      </c>
      <c r="T108" s="53">
        <f t="shared" si="27"/>
        <v>2</v>
      </c>
      <c r="U108" s="53" t="str">
        <f t="shared" si="28"/>
        <v>poland</v>
      </c>
      <c r="V108" s="53" t="str">
        <f t="shared" si="29"/>
        <v xml:space="preserve">Njoy </v>
      </c>
      <c r="W108" s="53" t="str">
        <f t="shared" si="30"/>
        <v>A.S</v>
      </c>
      <c r="X108" s="53" t="e">
        <f t="shared" si="31"/>
        <v>#VALUE!</v>
      </c>
      <c r="Y108" s="53"/>
      <c r="Z108" s="53"/>
      <c r="AA108" s="53"/>
    </row>
    <row r="109" spans="1:27" ht="30" x14ac:dyDescent="0.25">
      <c r="A109" s="79" t="s">
        <v>370</v>
      </c>
      <c r="B109" s="79" t="s">
        <v>3410</v>
      </c>
      <c r="C109" s="79" t="s">
        <v>3411</v>
      </c>
      <c r="D109" s="79" t="s">
        <v>1662</v>
      </c>
      <c r="E109" s="79" t="s">
        <v>1663</v>
      </c>
      <c r="F109" s="79" t="s">
        <v>167</v>
      </c>
      <c r="G109" s="79">
        <v>17</v>
      </c>
      <c r="H109" s="53">
        <f t="shared" si="16"/>
        <v>100</v>
      </c>
      <c r="I109" s="53">
        <f t="shared" si="17"/>
        <v>91</v>
      </c>
      <c r="J109" s="53">
        <f t="shared" si="18"/>
        <v>587.25</v>
      </c>
      <c r="K109" s="53">
        <f t="shared" si="21"/>
        <v>22</v>
      </c>
      <c r="L109" s="53" t="b">
        <f t="shared" si="19"/>
        <v>1</v>
      </c>
      <c r="M109" s="53" t="b">
        <f t="shared" si="20"/>
        <v>1</v>
      </c>
      <c r="N109" s="53" t="str">
        <f t="shared" si="22"/>
        <v>Bangladesh-DENIMACH LTD</v>
      </c>
      <c r="O109" s="68" t="str">
        <f t="shared" si="26"/>
        <v>Bangladesh
oz</v>
      </c>
      <c r="P109" s="53" t="b">
        <f t="shared" si="23"/>
        <v>0</v>
      </c>
      <c r="Q109" s="53"/>
      <c r="R109" s="53" t="str">
        <f t="shared" si="24"/>
        <v>OZ</v>
      </c>
      <c r="S109" s="53" t="str">
        <f t="shared" si="25"/>
        <v>oz</v>
      </c>
      <c r="T109" s="53">
        <f t="shared" si="27"/>
        <v>2</v>
      </c>
      <c r="U109" s="53" t="str">
        <f t="shared" si="28"/>
        <v>Bangladosh</v>
      </c>
      <c r="V109" s="53" t="str">
        <f t="shared" si="29"/>
        <v>Commu</v>
      </c>
      <c r="W109" s="53" t="str">
        <f t="shared" si="30"/>
        <v>LTD</v>
      </c>
      <c r="X109" s="53" t="e">
        <f t="shared" si="31"/>
        <v>#VALUE!</v>
      </c>
      <c r="Y109" s="53"/>
      <c r="Z109" s="53"/>
      <c r="AA109" s="53"/>
    </row>
    <row r="110" spans="1:27" ht="30" x14ac:dyDescent="0.25">
      <c r="A110" s="79" t="s">
        <v>465</v>
      </c>
      <c r="B110" s="79" t="s">
        <v>3412</v>
      </c>
      <c r="C110" s="79" t="s">
        <v>3411</v>
      </c>
      <c r="D110" s="79" t="s">
        <v>1659</v>
      </c>
      <c r="E110" s="79" t="s">
        <v>1660</v>
      </c>
      <c r="F110" s="79" t="s">
        <v>167</v>
      </c>
      <c r="G110" s="79">
        <v>20</v>
      </c>
      <c r="H110" s="53">
        <f t="shared" si="16"/>
        <v>61</v>
      </c>
      <c r="I110" s="53">
        <f t="shared" si="17"/>
        <v>55</v>
      </c>
      <c r="J110" s="53">
        <f t="shared" si="18"/>
        <v>484.25</v>
      </c>
      <c r="K110" s="53">
        <f t="shared" si="21"/>
        <v>16</v>
      </c>
      <c r="L110" s="53" t="b">
        <f t="shared" si="19"/>
        <v>0</v>
      </c>
      <c r="M110" s="53" t="b">
        <f t="shared" si="20"/>
        <v>1</v>
      </c>
      <c r="N110" s="53" t="str">
        <f t="shared" si="22"/>
        <v>poland-CHROMADURLIN S.A.S</v>
      </c>
      <c r="O110" s="68" t="str">
        <f t="shared" si="26"/>
        <v>poland
oz</v>
      </c>
      <c r="P110" s="53" t="b">
        <f t="shared" si="23"/>
        <v>0</v>
      </c>
      <c r="Q110" s="53"/>
      <c r="R110" s="53" t="str">
        <f t="shared" si="24"/>
        <v>OZ</v>
      </c>
      <c r="S110" s="53" t="str">
        <f t="shared" si="25"/>
        <v>oz</v>
      </c>
      <c r="T110" s="53">
        <f t="shared" si="27"/>
        <v>2</v>
      </c>
      <c r="U110" s="53" t="str">
        <f t="shared" si="28"/>
        <v>poland</v>
      </c>
      <c r="V110" s="53" t="str">
        <f t="shared" si="29"/>
        <v>Dunki</v>
      </c>
      <c r="W110" s="53" t="str">
        <f t="shared" si="30"/>
        <v>A.S</v>
      </c>
      <c r="X110" s="53" t="e">
        <f t="shared" si="31"/>
        <v>#VALUE!</v>
      </c>
      <c r="Y110" s="53"/>
      <c r="Z110" s="53"/>
      <c r="AA110" s="53"/>
    </row>
    <row r="111" spans="1:27" ht="30" x14ac:dyDescent="0.25">
      <c r="A111" s="79" t="s">
        <v>165</v>
      </c>
      <c r="B111" s="79" t="s">
        <v>3413</v>
      </c>
      <c r="C111" s="79" t="s">
        <v>3411</v>
      </c>
      <c r="D111" s="79" t="s">
        <v>1669</v>
      </c>
      <c r="E111" s="79" t="s">
        <v>1670</v>
      </c>
      <c r="F111" s="79" t="s">
        <v>167</v>
      </c>
      <c r="G111" s="79">
        <v>15</v>
      </c>
      <c r="H111" s="53">
        <f t="shared" si="16"/>
        <v>160.5</v>
      </c>
      <c r="I111" s="53">
        <f t="shared" si="17"/>
        <v>147</v>
      </c>
      <c r="J111" s="53">
        <f t="shared" si="18"/>
        <v>514.5</v>
      </c>
      <c r="K111" s="53">
        <f t="shared" si="21"/>
        <v>15</v>
      </c>
      <c r="L111" s="53" t="b">
        <f t="shared" si="19"/>
        <v>1</v>
      </c>
      <c r="M111" s="53" t="b">
        <f t="shared" si="20"/>
        <v>1</v>
      </c>
      <c r="N111" s="53" t="str">
        <f t="shared" si="22"/>
        <v>Lithuania-BIGSO AB</v>
      </c>
      <c r="O111" s="68" t="str">
        <f t="shared" si="26"/>
        <v>Lithuania
oz</v>
      </c>
      <c r="P111" s="53" t="b">
        <f t="shared" si="23"/>
        <v>0</v>
      </c>
      <c r="Q111" s="53"/>
      <c r="R111" s="53" t="str">
        <f t="shared" si="24"/>
        <v>OZ</v>
      </c>
      <c r="S111" s="53" t="str">
        <f t="shared" si="25"/>
        <v>oz</v>
      </c>
      <c r="T111" s="53">
        <f t="shared" si="27"/>
        <v>2</v>
      </c>
      <c r="U111" s="53" t="str">
        <f t="shared" si="28"/>
        <v>Lithuania</v>
      </c>
      <c r="V111" s="53" t="str">
        <f t="shared" si="29"/>
        <v>Folge</v>
      </c>
      <c r="W111" s="53" t="str">
        <f t="shared" si="30"/>
        <v xml:space="preserve"> AB</v>
      </c>
      <c r="X111" s="53" t="e">
        <f t="shared" si="31"/>
        <v>#VALUE!</v>
      </c>
      <c r="Y111" s="53"/>
      <c r="Z111" s="53"/>
      <c r="AA111" s="53"/>
    </row>
    <row r="112" spans="1:27" ht="30" x14ac:dyDescent="0.25">
      <c r="A112" s="79" t="s">
        <v>354</v>
      </c>
      <c r="B112" s="79" t="s">
        <v>3414</v>
      </c>
      <c r="C112" s="79" t="s">
        <v>3411</v>
      </c>
      <c r="D112" s="79" t="s">
        <v>1676</v>
      </c>
      <c r="E112" s="79" t="s">
        <v>1677</v>
      </c>
      <c r="F112" s="79" t="s">
        <v>167</v>
      </c>
      <c r="G112" s="79">
        <v>17</v>
      </c>
      <c r="H112" s="53">
        <f t="shared" si="16"/>
        <v>100</v>
      </c>
      <c r="I112" s="53">
        <f t="shared" si="17"/>
        <v>91</v>
      </c>
      <c r="J112" s="53">
        <f t="shared" si="18"/>
        <v>485.5</v>
      </c>
      <c r="K112" s="53">
        <f t="shared" si="21"/>
        <v>19</v>
      </c>
      <c r="L112" s="53" t="b">
        <f t="shared" si="19"/>
        <v>1</v>
      </c>
      <c r="M112" s="53" t="b">
        <f t="shared" si="20"/>
        <v>1</v>
      </c>
      <c r="N112" s="53" t="str">
        <f t="shared" si="22"/>
        <v>Germany-Friedola 1888 GmbH</v>
      </c>
      <c r="O112" s="68" t="str">
        <f t="shared" si="26"/>
        <v>Germany
oz</v>
      </c>
      <c r="P112" s="53" t="b">
        <f t="shared" si="23"/>
        <v>0</v>
      </c>
      <c r="Q112" s="53"/>
      <c r="R112" s="53" t="str">
        <f t="shared" si="24"/>
        <v>OZ</v>
      </c>
      <c r="S112" s="53" t="str">
        <f t="shared" si="25"/>
        <v>oz</v>
      </c>
      <c r="T112" s="53">
        <f t="shared" si="27"/>
        <v>2</v>
      </c>
      <c r="U112" s="53" t="str">
        <f t="shared" si="28"/>
        <v>Gormany</v>
      </c>
      <c r="V112" s="53" t="str">
        <f t="shared" si="29"/>
        <v>Folge</v>
      </c>
      <c r="W112" s="53" t="str">
        <f t="shared" si="30"/>
        <v>mbH</v>
      </c>
      <c r="X112" s="53" t="e">
        <f t="shared" si="31"/>
        <v>#VALUE!</v>
      </c>
      <c r="Y112" s="53"/>
      <c r="Z112" s="53"/>
      <c r="AA112" s="53"/>
    </row>
    <row r="113" spans="1:27" ht="30" x14ac:dyDescent="0.25">
      <c r="A113" s="79" t="s">
        <v>855</v>
      </c>
      <c r="B113" s="79" t="s">
        <v>3415</v>
      </c>
      <c r="C113" s="79" t="s">
        <v>3411</v>
      </c>
      <c r="D113" s="79" t="s">
        <v>1690</v>
      </c>
      <c r="E113" s="79" t="s">
        <v>1691</v>
      </c>
      <c r="F113" s="79" t="s">
        <v>167</v>
      </c>
      <c r="G113" s="79">
        <v>22.5</v>
      </c>
      <c r="H113" s="53">
        <f t="shared" si="16"/>
        <v>43</v>
      </c>
      <c r="I113" s="53">
        <f t="shared" si="17"/>
        <v>43</v>
      </c>
      <c r="J113" s="53">
        <f t="shared" si="18"/>
        <v>415</v>
      </c>
      <c r="K113" s="53">
        <f t="shared" si="21"/>
        <v>13</v>
      </c>
      <c r="L113" s="53" t="b">
        <f t="shared" si="19"/>
        <v>0</v>
      </c>
      <c r="M113" s="53" t="b">
        <f t="shared" si="20"/>
        <v>1</v>
      </c>
      <c r="N113" s="53" t="str">
        <f t="shared" si="22"/>
        <v>Cambodia-NINGBO SEDUNO IMP &amp; EXP CO.LTD</v>
      </c>
      <c r="O113" s="68" t="str">
        <f t="shared" si="26"/>
        <v>Cambodia
oz</v>
      </c>
      <c r="P113" s="53" t="b">
        <f t="shared" si="23"/>
        <v>0</v>
      </c>
      <c r="Q113" s="53"/>
      <c r="R113" s="53" t="str">
        <f t="shared" si="24"/>
        <v>OZ</v>
      </c>
      <c r="S113" s="53" t="str">
        <f t="shared" si="25"/>
        <v>oz</v>
      </c>
      <c r="T113" s="53">
        <f t="shared" si="27"/>
        <v>2</v>
      </c>
      <c r="U113" s="53" t="str">
        <f t="shared" si="28"/>
        <v>Cambodia</v>
      </c>
      <c r="V113" s="53" t="str">
        <f t="shared" si="29"/>
        <v>Starb</v>
      </c>
      <c r="W113" s="53" t="str">
        <f t="shared" si="30"/>
        <v>LTD</v>
      </c>
      <c r="X113" s="53" t="e">
        <f t="shared" si="31"/>
        <v>#VALUE!</v>
      </c>
      <c r="Y113" s="53"/>
      <c r="Z113" s="53"/>
      <c r="AA113" s="53"/>
    </row>
    <row r="114" spans="1:27" ht="30" x14ac:dyDescent="0.25">
      <c r="A114" s="79" t="s">
        <v>156</v>
      </c>
      <c r="B114" s="79" t="s">
        <v>3416</v>
      </c>
      <c r="C114" s="79" t="s">
        <v>3417</v>
      </c>
      <c r="D114" s="79" t="s">
        <v>1656</v>
      </c>
      <c r="E114" s="79" t="s">
        <v>1657</v>
      </c>
      <c r="F114" s="79" t="s">
        <v>13</v>
      </c>
      <c r="G114" s="79">
        <v>16</v>
      </c>
      <c r="H114" s="53">
        <f t="shared" si="16"/>
        <v>132.5</v>
      </c>
      <c r="I114" s="53">
        <f t="shared" si="17"/>
        <v>120</v>
      </c>
      <c r="J114" s="53">
        <f t="shared" si="18"/>
        <v>460</v>
      </c>
      <c r="K114" s="53">
        <f t="shared" si="21"/>
        <v>18</v>
      </c>
      <c r="L114" s="53" t="b">
        <f t="shared" si="19"/>
        <v>1</v>
      </c>
      <c r="M114" s="53" t="b">
        <f t="shared" si="20"/>
        <v>1</v>
      </c>
      <c r="N114" s="53" t="str">
        <f t="shared" si="22"/>
        <v>Netherlands-Bolsius Boxmeer</v>
      </c>
      <c r="O114" s="68" t="str">
        <f t="shared" si="26"/>
        <v>Netherlands
ct</v>
      </c>
      <c r="P114" s="53" t="b">
        <f t="shared" si="23"/>
        <v>0</v>
      </c>
      <c r="Q114" s="53"/>
      <c r="R114" s="53" t="str">
        <f t="shared" si="24"/>
        <v>CT</v>
      </c>
      <c r="S114" s="53" t="str">
        <f t="shared" si="25"/>
        <v>ct</v>
      </c>
      <c r="T114" s="53">
        <f t="shared" si="27"/>
        <v>2</v>
      </c>
      <c r="U114" s="53" t="str">
        <f t="shared" si="28"/>
        <v>Nothorlands</v>
      </c>
      <c r="V114" s="53" t="str">
        <f t="shared" si="29"/>
        <v>K Cup</v>
      </c>
      <c r="W114" s="53" t="str">
        <f t="shared" si="30"/>
        <v>eer</v>
      </c>
      <c r="X114" s="53" t="e">
        <f t="shared" si="31"/>
        <v>#VALUE!</v>
      </c>
      <c r="Y114" s="53"/>
      <c r="Z114" s="53"/>
      <c r="AA114" s="53"/>
    </row>
    <row r="115" spans="1:27" ht="30" x14ac:dyDescent="0.25">
      <c r="A115" s="79" t="s">
        <v>2855</v>
      </c>
      <c r="B115" s="79" t="s">
        <v>3418</v>
      </c>
      <c r="C115" s="79" t="s">
        <v>3417</v>
      </c>
      <c r="D115" s="79" t="s">
        <v>1671</v>
      </c>
      <c r="E115" s="79" t="s">
        <v>1672</v>
      </c>
      <c r="F115" s="79" t="s">
        <v>269</v>
      </c>
      <c r="G115" s="79">
        <v>14</v>
      </c>
      <c r="H115" s="53">
        <f t="shared" si="16"/>
        <v>185</v>
      </c>
      <c r="I115" s="53">
        <f t="shared" si="17"/>
        <v>175</v>
      </c>
      <c r="J115" s="53">
        <f t="shared" si="18"/>
        <v>561.5</v>
      </c>
      <c r="K115" s="53">
        <f t="shared" si="21"/>
        <v>29</v>
      </c>
      <c r="L115" s="53" t="b">
        <f t="shared" si="19"/>
        <v>1</v>
      </c>
      <c r="M115" s="53" t="b">
        <f t="shared" si="20"/>
        <v>1</v>
      </c>
      <c r="N115" s="53" t="str">
        <f t="shared" si="22"/>
        <v>India-Indo Count Industries Ltd</v>
      </c>
      <c r="O115" s="68" t="str">
        <f t="shared" si="26"/>
        <v>India
ct.</v>
      </c>
      <c r="P115" s="53" t="b">
        <f t="shared" si="23"/>
        <v>0</v>
      </c>
      <c r="Q115" s="53"/>
      <c r="R115" s="53" t="str">
        <f t="shared" si="24"/>
        <v>CT.</v>
      </c>
      <c r="S115" s="53" t="str">
        <f t="shared" si="25"/>
        <v>ct.</v>
      </c>
      <c r="T115" s="53">
        <f t="shared" si="27"/>
        <v>2</v>
      </c>
      <c r="U115" s="53" t="str">
        <f t="shared" si="28"/>
        <v>India</v>
      </c>
      <c r="V115" s="53" t="str">
        <f t="shared" si="29"/>
        <v>Swiss</v>
      </c>
      <c r="W115" s="53" t="str">
        <f t="shared" si="30"/>
        <v>Ltd</v>
      </c>
      <c r="X115" s="53" t="e">
        <f t="shared" si="31"/>
        <v>#VALUE!</v>
      </c>
      <c r="Y115" s="53"/>
      <c r="Z115" s="53"/>
      <c r="AA115" s="53"/>
    </row>
    <row r="116" spans="1:27" ht="30" x14ac:dyDescent="0.25">
      <c r="A116" s="79" t="s">
        <v>144</v>
      </c>
      <c r="B116" s="79" t="s">
        <v>3419</v>
      </c>
      <c r="C116" s="79" t="s">
        <v>3420</v>
      </c>
      <c r="D116" s="79" t="s">
        <v>1671</v>
      </c>
      <c r="E116" s="79" t="s">
        <v>1672</v>
      </c>
      <c r="F116" s="79" t="s">
        <v>13</v>
      </c>
      <c r="G116" s="79">
        <v>42</v>
      </c>
      <c r="H116" s="53">
        <f t="shared" si="16"/>
        <v>8.5</v>
      </c>
      <c r="I116" s="53">
        <f t="shared" si="17"/>
        <v>8</v>
      </c>
      <c r="J116" s="53">
        <f t="shared" si="18"/>
        <v>561.5</v>
      </c>
      <c r="K116" s="53">
        <f t="shared" si="21"/>
        <v>28</v>
      </c>
      <c r="L116" s="53" t="b">
        <f t="shared" si="19"/>
        <v>0</v>
      </c>
      <c r="M116" s="53" t="b">
        <f t="shared" si="20"/>
        <v>1</v>
      </c>
      <c r="N116" s="53" t="str">
        <f t="shared" si="22"/>
        <v>India-Indo Count Industries Ltd</v>
      </c>
      <c r="O116" s="68" t="str">
        <f t="shared" si="26"/>
        <v>India
ct</v>
      </c>
      <c r="P116" s="53" t="b">
        <f t="shared" si="23"/>
        <v>0</v>
      </c>
      <c r="Q116" s="53"/>
      <c r="R116" s="53" t="str">
        <f t="shared" si="24"/>
        <v>CT</v>
      </c>
      <c r="S116" s="53" t="str">
        <f t="shared" si="25"/>
        <v>ct</v>
      </c>
      <c r="T116" s="53">
        <f t="shared" si="27"/>
        <v>2</v>
      </c>
      <c r="U116" s="53" t="str">
        <f t="shared" si="28"/>
        <v>India</v>
      </c>
      <c r="V116" s="53" t="str">
        <f t="shared" si="29"/>
        <v>K Cup</v>
      </c>
      <c r="W116" s="53" t="str">
        <f t="shared" si="30"/>
        <v>Ltd</v>
      </c>
      <c r="X116" s="53" t="e">
        <f t="shared" si="31"/>
        <v>#VALUE!</v>
      </c>
      <c r="Y116" s="53"/>
      <c r="Z116" s="53"/>
      <c r="AA116" s="53"/>
    </row>
    <row r="117" spans="1:27" ht="30" x14ac:dyDescent="0.25">
      <c r="A117" s="79" t="s">
        <v>1171</v>
      </c>
      <c r="B117" s="79" t="s">
        <v>3421</v>
      </c>
      <c r="C117" s="79" t="s">
        <v>3420</v>
      </c>
      <c r="D117" s="79" t="s">
        <v>1669</v>
      </c>
      <c r="E117" s="79" t="s">
        <v>1670</v>
      </c>
      <c r="F117" s="79" t="s">
        <v>13</v>
      </c>
      <c r="G117" s="79">
        <v>44</v>
      </c>
      <c r="H117" s="53">
        <f t="shared" si="16"/>
        <v>7</v>
      </c>
      <c r="I117" s="53">
        <f t="shared" si="17"/>
        <v>7</v>
      </c>
      <c r="J117" s="53">
        <f t="shared" si="18"/>
        <v>514.5</v>
      </c>
      <c r="K117" s="53">
        <f t="shared" si="21"/>
        <v>14</v>
      </c>
      <c r="L117" s="53" t="b">
        <f t="shared" si="19"/>
        <v>0</v>
      </c>
      <c r="M117" s="53" t="b">
        <f t="shared" si="20"/>
        <v>1</v>
      </c>
      <c r="N117" s="53" t="str">
        <f t="shared" si="22"/>
        <v>Lithuania-BIGSO AB</v>
      </c>
      <c r="O117" s="68" t="str">
        <f t="shared" si="26"/>
        <v>Lithuania
ct</v>
      </c>
      <c r="P117" s="53" t="b">
        <f t="shared" si="23"/>
        <v>0</v>
      </c>
      <c r="Q117" s="53"/>
      <c r="R117" s="53" t="str">
        <f t="shared" si="24"/>
        <v>CT</v>
      </c>
      <c r="S117" s="53" t="str">
        <f t="shared" si="25"/>
        <v>ct</v>
      </c>
      <c r="T117" s="53">
        <f t="shared" si="27"/>
        <v>2</v>
      </c>
      <c r="U117" s="53" t="str">
        <f t="shared" si="28"/>
        <v>Lithuania</v>
      </c>
      <c r="V117" s="53" t="str">
        <f t="shared" si="29"/>
        <v>K Cup</v>
      </c>
      <c r="W117" s="53" t="str">
        <f t="shared" si="30"/>
        <v xml:space="preserve"> AB</v>
      </c>
      <c r="X117" s="53" t="e">
        <f t="shared" si="31"/>
        <v>#VALUE!</v>
      </c>
      <c r="Y117" s="53"/>
      <c r="Z117" s="53"/>
      <c r="AA117" s="53"/>
    </row>
    <row r="118" spans="1:27" ht="30" x14ac:dyDescent="0.25">
      <c r="A118" s="79" t="s">
        <v>967</v>
      </c>
      <c r="B118" s="79" t="s">
        <v>3422</v>
      </c>
      <c r="C118" s="79" t="s">
        <v>3420</v>
      </c>
      <c r="D118" s="79" t="s">
        <v>1671</v>
      </c>
      <c r="E118" s="79" t="s">
        <v>1672</v>
      </c>
      <c r="F118" s="79" t="s">
        <v>13</v>
      </c>
      <c r="G118" s="79">
        <v>53</v>
      </c>
      <c r="H118" s="53">
        <f t="shared" si="16"/>
        <v>2.5</v>
      </c>
      <c r="I118" s="53">
        <f t="shared" si="17"/>
        <v>2</v>
      </c>
      <c r="J118" s="53">
        <f t="shared" si="18"/>
        <v>561.5</v>
      </c>
      <c r="K118" s="53">
        <f t="shared" si="21"/>
        <v>27</v>
      </c>
      <c r="L118" s="53" t="b">
        <f t="shared" si="19"/>
        <v>0</v>
      </c>
      <c r="M118" s="53" t="b">
        <f t="shared" si="20"/>
        <v>1</v>
      </c>
      <c r="N118" s="53" t="str">
        <f t="shared" si="22"/>
        <v>India-Indo Count Industries Ltd</v>
      </c>
      <c r="O118" s="68" t="str">
        <f t="shared" si="26"/>
        <v>India
ct</v>
      </c>
      <c r="P118" s="53" t="b">
        <f t="shared" si="23"/>
        <v>0</v>
      </c>
      <c r="Q118" s="53"/>
      <c r="R118" s="53" t="str">
        <f t="shared" si="24"/>
        <v>CT</v>
      </c>
      <c r="S118" s="53" t="str">
        <f t="shared" si="25"/>
        <v>ct</v>
      </c>
      <c r="T118" s="53">
        <f t="shared" si="27"/>
        <v>2</v>
      </c>
      <c r="U118" s="53" t="str">
        <f t="shared" si="28"/>
        <v>India</v>
      </c>
      <c r="V118" s="53" t="str">
        <f t="shared" si="29"/>
        <v>K Cup</v>
      </c>
      <c r="W118" s="53" t="str">
        <f t="shared" si="30"/>
        <v>Ltd</v>
      </c>
      <c r="X118" s="53" t="e">
        <f t="shared" si="31"/>
        <v>#VALUE!</v>
      </c>
      <c r="Y118" s="53"/>
      <c r="Z118" s="53"/>
      <c r="AA118" s="53"/>
    </row>
    <row r="119" spans="1:27" ht="30" x14ac:dyDescent="0.25">
      <c r="A119" s="79" t="s">
        <v>952</v>
      </c>
      <c r="B119" s="79" t="s">
        <v>3423</v>
      </c>
      <c r="C119" s="79" t="s">
        <v>3420</v>
      </c>
      <c r="D119" s="79" t="s">
        <v>1683</v>
      </c>
      <c r="E119" s="79" t="s">
        <v>1684</v>
      </c>
      <c r="F119" s="79" t="s">
        <v>13</v>
      </c>
      <c r="G119" s="79">
        <v>48</v>
      </c>
      <c r="H119" s="53">
        <f t="shared" si="16"/>
        <v>4</v>
      </c>
      <c r="I119" s="53">
        <f t="shared" si="17"/>
        <v>4</v>
      </c>
      <c r="J119" s="53">
        <f t="shared" si="18"/>
        <v>432.25</v>
      </c>
      <c r="K119" s="53">
        <f t="shared" si="21"/>
        <v>13</v>
      </c>
      <c r="L119" s="53" t="b">
        <f t="shared" si="19"/>
        <v>0</v>
      </c>
      <c r="M119" s="53" t="b">
        <f t="shared" si="20"/>
        <v>1</v>
      </c>
      <c r="N119" s="53" t="str">
        <f t="shared" si="22"/>
        <v>United States-MAESA SAS</v>
      </c>
      <c r="O119" s="68" t="str">
        <f t="shared" si="26"/>
        <v>United States
ct</v>
      </c>
      <c r="P119" s="53" t="b">
        <f t="shared" si="23"/>
        <v>0</v>
      </c>
      <c r="Q119" s="53"/>
      <c r="R119" s="53" t="str">
        <f t="shared" si="24"/>
        <v>CT</v>
      </c>
      <c r="S119" s="53" t="str">
        <f t="shared" si="25"/>
        <v>ct</v>
      </c>
      <c r="T119" s="53">
        <f t="shared" si="27"/>
        <v>2</v>
      </c>
      <c r="U119" s="53" t="str">
        <f t="shared" si="28"/>
        <v>Unitod Statos</v>
      </c>
      <c r="V119" s="53" t="str">
        <f t="shared" si="29"/>
        <v>K Cup</v>
      </c>
      <c r="W119" s="53" t="str">
        <f t="shared" si="30"/>
        <v>SAS</v>
      </c>
      <c r="X119" s="53" t="e">
        <f t="shared" si="31"/>
        <v>#VALUE!</v>
      </c>
      <c r="Y119" s="53"/>
      <c r="Z119" s="53"/>
      <c r="AA119" s="53"/>
    </row>
    <row r="120" spans="1:27" ht="30" x14ac:dyDescent="0.25">
      <c r="A120" s="79" t="s">
        <v>1526</v>
      </c>
      <c r="B120" s="79" t="s">
        <v>3424</v>
      </c>
      <c r="C120" s="79" t="s">
        <v>3420</v>
      </c>
      <c r="D120" s="79" t="s">
        <v>1690</v>
      </c>
      <c r="E120" s="79" t="s">
        <v>1691</v>
      </c>
      <c r="F120" s="79" t="s">
        <v>13</v>
      </c>
      <c r="G120" s="79">
        <v>46</v>
      </c>
      <c r="H120" s="53">
        <f t="shared" si="16"/>
        <v>5</v>
      </c>
      <c r="I120" s="53">
        <f t="shared" si="17"/>
        <v>5</v>
      </c>
      <c r="J120" s="53">
        <f t="shared" si="18"/>
        <v>415</v>
      </c>
      <c r="K120" s="53">
        <f t="shared" si="21"/>
        <v>12</v>
      </c>
      <c r="L120" s="53" t="b">
        <f t="shared" si="19"/>
        <v>0</v>
      </c>
      <c r="M120" s="53" t="b">
        <f t="shared" si="20"/>
        <v>1</v>
      </c>
      <c r="N120" s="53" t="str">
        <f t="shared" si="22"/>
        <v>Cambodia-NINGBO SEDUNO IMP &amp; EXP CO.LTD</v>
      </c>
      <c r="O120" s="68" t="str">
        <f t="shared" si="26"/>
        <v>Cambodia
ct</v>
      </c>
      <c r="P120" s="53" t="b">
        <f t="shared" si="23"/>
        <v>0</v>
      </c>
      <c r="Q120" s="53"/>
      <c r="R120" s="53" t="str">
        <f t="shared" si="24"/>
        <v>CT</v>
      </c>
      <c r="S120" s="53" t="str">
        <f t="shared" si="25"/>
        <v>ct</v>
      </c>
      <c r="T120" s="53">
        <f t="shared" si="27"/>
        <v>2</v>
      </c>
      <c r="U120" s="53" t="str">
        <f t="shared" si="28"/>
        <v>Cambodia</v>
      </c>
      <c r="V120" s="53" t="str">
        <f t="shared" si="29"/>
        <v>K Cup</v>
      </c>
      <c r="W120" s="53" t="str">
        <f t="shared" si="30"/>
        <v>LTD</v>
      </c>
      <c r="X120" s="53" t="e">
        <f t="shared" si="31"/>
        <v>#VALUE!</v>
      </c>
      <c r="Y120" s="53"/>
      <c r="Z120" s="53"/>
      <c r="AA120" s="53"/>
    </row>
    <row r="121" spans="1:27" ht="30" x14ac:dyDescent="0.25">
      <c r="A121" s="79" t="s">
        <v>1876</v>
      </c>
      <c r="B121" s="79" t="s">
        <v>3425</v>
      </c>
      <c r="C121" s="79" t="s">
        <v>3420</v>
      </c>
      <c r="D121" s="79" t="s">
        <v>1666</v>
      </c>
      <c r="E121" s="79" t="s">
        <v>1667</v>
      </c>
      <c r="F121" s="79" t="s">
        <v>13</v>
      </c>
      <c r="G121" s="79">
        <v>42</v>
      </c>
      <c r="H121" s="53">
        <f t="shared" si="16"/>
        <v>8.5</v>
      </c>
      <c r="I121" s="53">
        <f t="shared" si="17"/>
        <v>8</v>
      </c>
      <c r="J121" s="53">
        <f t="shared" si="18"/>
        <v>415.25</v>
      </c>
      <c r="K121" s="53">
        <f t="shared" si="21"/>
        <v>16</v>
      </c>
      <c r="L121" s="53" t="b">
        <f t="shared" si="19"/>
        <v>0</v>
      </c>
      <c r="M121" s="53" t="b">
        <f t="shared" si="20"/>
        <v>1</v>
      </c>
      <c r="N121" s="53" t="str">
        <f t="shared" si="22"/>
        <v>Finland-HARDFORD AB</v>
      </c>
      <c r="O121" s="68" t="str">
        <f t="shared" si="26"/>
        <v>Finland
ct</v>
      </c>
      <c r="P121" s="53" t="b">
        <f t="shared" si="23"/>
        <v>0</v>
      </c>
      <c r="Q121" s="53"/>
      <c r="R121" s="53" t="str">
        <f t="shared" si="24"/>
        <v>CT</v>
      </c>
      <c r="S121" s="53" t="str">
        <f t="shared" si="25"/>
        <v>ct</v>
      </c>
      <c r="T121" s="53">
        <f t="shared" si="27"/>
        <v>2</v>
      </c>
      <c r="U121" s="53" t="str">
        <f t="shared" si="28"/>
        <v>Finland</v>
      </c>
      <c r="V121" s="53" t="str">
        <f t="shared" si="29"/>
        <v>K Cup</v>
      </c>
      <c r="W121" s="53" t="str">
        <f t="shared" si="30"/>
        <v xml:space="preserve"> AB</v>
      </c>
      <c r="X121" s="53" t="e">
        <f t="shared" si="31"/>
        <v>#VALUE!</v>
      </c>
      <c r="Y121" s="53"/>
      <c r="Z121" s="53"/>
      <c r="AA121" s="53"/>
    </row>
    <row r="122" spans="1:27" ht="30" x14ac:dyDescent="0.25">
      <c r="A122" s="79" t="s">
        <v>1877</v>
      </c>
      <c r="B122" s="79" t="s">
        <v>3426</v>
      </c>
      <c r="C122" s="79" t="s">
        <v>3420</v>
      </c>
      <c r="D122" s="79" t="s">
        <v>1671</v>
      </c>
      <c r="E122" s="79" t="s">
        <v>1672</v>
      </c>
      <c r="F122" s="79" t="s">
        <v>13</v>
      </c>
      <c r="G122" s="79">
        <v>53</v>
      </c>
      <c r="H122" s="53">
        <f t="shared" si="16"/>
        <v>2.5</v>
      </c>
      <c r="I122" s="53">
        <f t="shared" si="17"/>
        <v>2</v>
      </c>
      <c r="J122" s="53">
        <f t="shared" si="18"/>
        <v>561.5</v>
      </c>
      <c r="K122" s="53">
        <f t="shared" si="21"/>
        <v>26</v>
      </c>
      <c r="L122" s="53" t="b">
        <f t="shared" si="19"/>
        <v>0</v>
      </c>
      <c r="M122" s="53" t="b">
        <f t="shared" si="20"/>
        <v>1</v>
      </c>
      <c r="N122" s="53" t="str">
        <f t="shared" si="22"/>
        <v>India-Indo Count Industries Ltd</v>
      </c>
      <c r="O122" s="68" t="str">
        <f t="shared" si="26"/>
        <v>India
ct</v>
      </c>
      <c r="P122" s="53" t="b">
        <f t="shared" si="23"/>
        <v>0</v>
      </c>
      <c r="Q122" s="53"/>
      <c r="R122" s="53" t="str">
        <f t="shared" si="24"/>
        <v>CT</v>
      </c>
      <c r="S122" s="53" t="str">
        <f t="shared" si="25"/>
        <v>ct</v>
      </c>
      <c r="T122" s="53">
        <f t="shared" si="27"/>
        <v>2</v>
      </c>
      <c r="U122" s="53" t="str">
        <f t="shared" si="28"/>
        <v>India</v>
      </c>
      <c r="V122" s="53" t="str">
        <f t="shared" si="29"/>
        <v>K Cup</v>
      </c>
      <c r="W122" s="53" t="str">
        <f t="shared" si="30"/>
        <v>Ltd</v>
      </c>
      <c r="X122" s="53" t="e">
        <f t="shared" si="31"/>
        <v>#VALUE!</v>
      </c>
      <c r="Y122" s="53"/>
      <c r="Z122" s="53"/>
      <c r="AA122" s="53"/>
    </row>
    <row r="123" spans="1:27" ht="30" x14ac:dyDescent="0.25">
      <c r="A123" s="79" t="s">
        <v>194</v>
      </c>
      <c r="B123" s="79" t="s">
        <v>3427</v>
      </c>
      <c r="C123" s="79" t="s">
        <v>3428</v>
      </c>
      <c r="D123" s="79" t="s">
        <v>1659</v>
      </c>
      <c r="E123" s="79" t="s">
        <v>1660</v>
      </c>
      <c r="F123" s="79" t="s">
        <v>13</v>
      </c>
      <c r="G123" s="79">
        <v>9</v>
      </c>
      <c r="H123" s="53">
        <f t="shared" si="16"/>
        <v>231</v>
      </c>
      <c r="I123" s="53">
        <f t="shared" si="17"/>
        <v>230</v>
      </c>
      <c r="J123" s="53">
        <f t="shared" si="18"/>
        <v>484.25</v>
      </c>
      <c r="K123" s="53">
        <f t="shared" si="21"/>
        <v>15</v>
      </c>
      <c r="L123" s="53" t="b">
        <f t="shared" si="19"/>
        <v>1</v>
      </c>
      <c r="M123" s="53" t="b">
        <f t="shared" si="20"/>
        <v>1</v>
      </c>
      <c r="N123" s="53" t="str">
        <f t="shared" si="22"/>
        <v>poland-CHROMADURLIN S.A.S</v>
      </c>
      <c r="O123" s="68" t="str">
        <f t="shared" si="26"/>
        <v>poland
ct</v>
      </c>
      <c r="P123" s="53" t="b">
        <f t="shared" si="23"/>
        <v>0</v>
      </c>
      <c r="Q123" s="53"/>
      <c r="R123" s="53" t="str">
        <f t="shared" si="24"/>
        <v>CT</v>
      </c>
      <c r="S123" s="53" t="str">
        <f t="shared" si="25"/>
        <v>ct</v>
      </c>
      <c r="T123" s="53">
        <f t="shared" si="27"/>
        <v>2</v>
      </c>
      <c r="U123" s="53" t="str">
        <f t="shared" si="28"/>
        <v>poland</v>
      </c>
      <c r="V123" s="53" t="str">
        <f t="shared" si="29"/>
        <v>K Cup</v>
      </c>
      <c r="W123" s="53" t="str">
        <f t="shared" si="30"/>
        <v>A.S</v>
      </c>
      <c r="X123" s="53" t="e">
        <f t="shared" si="31"/>
        <v>#VALUE!</v>
      </c>
      <c r="Y123" s="53"/>
      <c r="Z123" s="53"/>
      <c r="AA123" s="53"/>
    </row>
    <row r="124" spans="1:27" ht="30" x14ac:dyDescent="0.25">
      <c r="A124" s="79" t="s">
        <v>330</v>
      </c>
      <c r="B124" s="79" t="s">
        <v>3429</v>
      </c>
      <c r="C124" s="79" t="s">
        <v>3430</v>
      </c>
      <c r="D124" s="79" t="s">
        <v>1680</v>
      </c>
      <c r="E124" s="79" t="s">
        <v>1681</v>
      </c>
      <c r="F124" s="79" t="s">
        <v>13</v>
      </c>
      <c r="G124" s="79">
        <v>17</v>
      </c>
      <c r="H124" s="53">
        <f t="shared" si="16"/>
        <v>100</v>
      </c>
      <c r="I124" s="53">
        <f t="shared" si="17"/>
        <v>91</v>
      </c>
      <c r="J124" s="53">
        <f t="shared" si="18"/>
        <v>264</v>
      </c>
      <c r="K124" s="53">
        <f t="shared" si="21"/>
        <v>7</v>
      </c>
      <c r="L124" s="53" t="b">
        <f t="shared" si="19"/>
        <v>1</v>
      </c>
      <c r="M124" s="53" t="b">
        <f t="shared" si="20"/>
        <v>1</v>
      </c>
      <c r="N124" s="53" t="str">
        <f t="shared" si="22"/>
        <v>China-CHERRY GROUP CO.,LTD</v>
      </c>
      <c r="O124" s="68" t="str">
        <f t="shared" si="26"/>
        <v>China
ct</v>
      </c>
      <c r="P124" s="53" t="b">
        <f t="shared" si="23"/>
        <v>0</v>
      </c>
      <c r="Q124" s="53"/>
      <c r="R124" s="53" t="str">
        <f t="shared" si="24"/>
        <v>CT</v>
      </c>
      <c r="S124" s="53" t="str">
        <f t="shared" si="25"/>
        <v>ct</v>
      </c>
      <c r="T124" s="53">
        <f t="shared" si="27"/>
        <v>2</v>
      </c>
      <c r="U124" s="53" t="str">
        <f t="shared" si="28"/>
        <v>China</v>
      </c>
      <c r="V124" s="53" t="str">
        <f t="shared" si="29"/>
        <v>Stirr</v>
      </c>
      <c r="W124" s="53" t="str">
        <f t="shared" si="30"/>
        <v>LTD</v>
      </c>
      <c r="X124" s="53" t="e">
        <f t="shared" si="31"/>
        <v>#VALUE!</v>
      </c>
      <c r="Y124" s="53"/>
      <c r="Z124" s="53"/>
      <c r="AA124" s="53"/>
    </row>
    <row r="125" spans="1:27" ht="30" x14ac:dyDescent="0.25">
      <c r="A125" s="79" t="s">
        <v>277</v>
      </c>
      <c r="B125" s="79" t="s">
        <v>3431</v>
      </c>
      <c r="C125" s="79" t="s">
        <v>3432</v>
      </c>
      <c r="D125" s="79" t="s">
        <v>1659</v>
      </c>
      <c r="E125" s="79" t="s">
        <v>1660</v>
      </c>
      <c r="F125" s="79" t="s">
        <v>13</v>
      </c>
      <c r="G125" s="79">
        <v>15</v>
      </c>
      <c r="H125" s="53">
        <f t="shared" si="16"/>
        <v>160.5</v>
      </c>
      <c r="I125" s="53">
        <f t="shared" si="17"/>
        <v>147</v>
      </c>
      <c r="J125" s="53">
        <f t="shared" si="18"/>
        <v>484.25</v>
      </c>
      <c r="K125" s="53">
        <f t="shared" si="21"/>
        <v>14</v>
      </c>
      <c r="L125" s="53" t="b">
        <f t="shared" si="19"/>
        <v>1</v>
      </c>
      <c r="M125" s="53" t="b">
        <f t="shared" si="20"/>
        <v>1</v>
      </c>
      <c r="N125" s="53" t="str">
        <f t="shared" si="22"/>
        <v>poland-CHROMADURLIN S.A.S</v>
      </c>
      <c r="O125" s="68" t="str">
        <f t="shared" si="26"/>
        <v>poland
ct</v>
      </c>
      <c r="P125" s="53" t="b">
        <f t="shared" si="23"/>
        <v>0</v>
      </c>
      <c r="Q125" s="53"/>
      <c r="R125" s="53" t="str">
        <f t="shared" si="24"/>
        <v>CT</v>
      </c>
      <c r="S125" s="53" t="str">
        <f t="shared" si="25"/>
        <v>ct</v>
      </c>
      <c r="T125" s="53">
        <f t="shared" si="27"/>
        <v>2</v>
      </c>
      <c r="U125" s="53" t="str">
        <f t="shared" si="28"/>
        <v>poland</v>
      </c>
      <c r="V125" s="53" t="str">
        <f t="shared" si="29"/>
        <v>Equal</v>
      </c>
      <c r="W125" s="53" t="str">
        <f t="shared" si="30"/>
        <v>A.S</v>
      </c>
      <c r="X125" s="53" t="e">
        <f t="shared" si="31"/>
        <v>#VALUE!</v>
      </c>
      <c r="Y125" s="53"/>
      <c r="Z125" s="53"/>
      <c r="AA125" s="53"/>
    </row>
    <row r="126" spans="1:27" ht="30" x14ac:dyDescent="0.25">
      <c r="A126" s="79" t="s">
        <v>212</v>
      </c>
      <c r="B126" s="79" t="s">
        <v>3433</v>
      </c>
      <c r="C126" s="79" t="s">
        <v>3432</v>
      </c>
      <c r="D126" s="79" t="s">
        <v>1656</v>
      </c>
      <c r="E126" s="79" t="s">
        <v>1657</v>
      </c>
      <c r="F126" s="79" t="s">
        <v>13</v>
      </c>
      <c r="G126" s="79">
        <v>45</v>
      </c>
      <c r="H126" s="53">
        <f t="shared" si="16"/>
        <v>6</v>
      </c>
      <c r="I126" s="53">
        <f t="shared" si="17"/>
        <v>6</v>
      </c>
      <c r="J126" s="53">
        <f t="shared" si="18"/>
        <v>460</v>
      </c>
      <c r="K126" s="53">
        <f t="shared" si="21"/>
        <v>17</v>
      </c>
      <c r="L126" s="53" t="b">
        <f t="shared" si="19"/>
        <v>0</v>
      </c>
      <c r="M126" s="53" t="b">
        <f t="shared" si="20"/>
        <v>1</v>
      </c>
      <c r="N126" s="53" t="str">
        <f t="shared" si="22"/>
        <v>Netherlands-Bolsius Boxmeer</v>
      </c>
      <c r="O126" s="68" t="str">
        <f t="shared" si="26"/>
        <v>Netherlands
ct</v>
      </c>
      <c r="P126" s="53" t="b">
        <f t="shared" si="23"/>
        <v>0</v>
      </c>
      <c r="Q126" s="53"/>
      <c r="R126" s="53" t="str">
        <f t="shared" si="24"/>
        <v>CT</v>
      </c>
      <c r="S126" s="53" t="str">
        <f t="shared" si="25"/>
        <v>ct</v>
      </c>
      <c r="T126" s="53">
        <f t="shared" si="27"/>
        <v>2</v>
      </c>
      <c r="U126" s="53" t="str">
        <f t="shared" si="28"/>
        <v>Nothorlands</v>
      </c>
      <c r="V126" s="53" t="str">
        <f t="shared" si="29"/>
        <v>Honey</v>
      </c>
      <c r="W126" s="53" t="str">
        <f t="shared" si="30"/>
        <v>eer</v>
      </c>
      <c r="X126" s="53" t="e">
        <f t="shared" si="31"/>
        <v>#VALUE!</v>
      </c>
      <c r="Y126" s="53"/>
      <c r="Z126" s="53"/>
      <c r="AA126" s="53"/>
    </row>
    <row r="127" spans="1:27" ht="30" x14ac:dyDescent="0.25">
      <c r="A127" s="79" t="s">
        <v>1081</v>
      </c>
      <c r="B127" s="79" t="s">
        <v>3434</v>
      </c>
      <c r="C127" s="79" t="s">
        <v>3432</v>
      </c>
      <c r="D127" s="79" t="s">
        <v>1666</v>
      </c>
      <c r="E127" s="79" t="s">
        <v>1667</v>
      </c>
      <c r="F127" s="79" t="s">
        <v>13</v>
      </c>
      <c r="G127" s="79">
        <v>15</v>
      </c>
      <c r="H127" s="53">
        <f t="shared" si="16"/>
        <v>160.5</v>
      </c>
      <c r="I127" s="53">
        <f t="shared" si="17"/>
        <v>147</v>
      </c>
      <c r="J127" s="53">
        <f t="shared" si="18"/>
        <v>415.25</v>
      </c>
      <c r="K127" s="53">
        <f t="shared" si="21"/>
        <v>15</v>
      </c>
      <c r="L127" s="53" t="b">
        <f t="shared" si="19"/>
        <v>1</v>
      </c>
      <c r="M127" s="53" t="b">
        <f t="shared" si="20"/>
        <v>1</v>
      </c>
      <c r="N127" s="53" t="str">
        <f t="shared" si="22"/>
        <v>Finland-HARDFORD AB</v>
      </c>
      <c r="O127" s="68" t="str">
        <f t="shared" si="26"/>
        <v>Finland
ct</v>
      </c>
      <c r="P127" s="53" t="b">
        <f t="shared" si="23"/>
        <v>0</v>
      </c>
      <c r="Q127" s="53"/>
      <c r="R127" s="53" t="str">
        <f t="shared" si="24"/>
        <v>CT</v>
      </c>
      <c r="S127" s="53" t="str">
        <f t="shared" si="25"/>
        <v>ct</v>
      </c>
      <c r="T127" s="53">
        <f t="shared" si="27"/>
        <v>2</v>
      </c>
      <c r="U127" s="53" t="str">
        <f t="shared" si="28"/>
        <v>Finland</v>
      </c>
      <c r="V127" s="53" t="str">
        <f t="shared" si="29"/>
        <v xml:space="preserve">Njoy </v>
      </c>
      <c r="W127" s="53" t="str">
        <f t="shared" si="30"/>
        <v xml:space="preserve"> AB</v>
      </c>
      <c r="X127" s="53" t="e">
        <f t="shared" si="31"/>
        <v>#VALUE!</v>
      </c>
      <c r="Y127" s="53"/>
      <c r="Z127" s="53"/>
      <c r="AA127" s="53"/>
    </row>
    <row r="128" spans="1:27" ht="30" x14ac:dyDescent="0.25">
      <c r="A128" s="79" t="s">
        <v>114</v>
      </c>
      <c r="B128" s="79" t="s">
        <v>3435</v>
      </c>
      <c r="C128" s="79" t="s">
        <v>3432</v>
      </c>
      <c r="D128" s="79" t="s">
        <v>1662</v>
      </c>
      <c r="E128" s="79" t="s">
        <v>1663</v>
      </c>
      <c r="F128" s="79" t="s">
        <v>13</v>
      </c>
      <c r="G128" s="79">
        <v>15</v>
      </c>
      <c r="H128" s="53">
        <f t="shared" si="16"/>
        <v>160.5</v>
      </c>
      <c r="I128" s="53">
        <f t="shared" si="17"/>
        <v>147</v>
      </c>
      <c r="J128" s="53">
        <f t="shared" si="18"/>
        <v>587.25</v>
      </c>
      <c r="K128" s="53">
        <f t="shared" si="21"/>
        <v>21</v>
      </c>
      <c r="L128" s="53" t="b">
        <f t="shared" si="19"/>
        <v>1</v>
      </c>
      <c r="M128" s="53" t="b">
        <f t="shared" si="20"/>
        <v>1</v>
      </c>
      <c r="N128" s="53" t="str">
        <f t="shared" si="22"/>
        <v>Bangladesh-DENIMACH LTD</v>
      </c>
      <c r="O128" s="68" t="str">
        <f t="shared" si="26"/>
        <v>Bangladesh
ct</v>
      </c>
      <c r="P128" s="53" t="b">
        <f t="shared" si="23"/>
        <v>0</v>
      </c>
      <c r="Q128" s="53"/>
      <c r="R128" s="53" t="str">
        <f t="shared" si="24"/>
        <v>CT</v>
      </c>
      <c r="S128" s="53" t="str">
        <f t="shared" si="25"/>
        <v>ct</v>
      </c>
      <c r="T128" s="53">
        <f t="shared" si="27"/>
        <v>2</v>
      </c>
      <c r="U128" s="53" t="str">
        <f t="shared" si="28"/>
        <v>Bangladosh</v>
      </c>
      <c r="V128" s="53" t="str">
        <f t="shared" si="29"/>
        <v xml:space="preserve">Pure </v>
      </c>
      <c r="W128" s="53" t="str">
        <f t="shared" si="30"/>
        <v>LTD</v>
      </c>
      <c r="X128" s="53" t="e">
        <f t="shared" si="31"/>
        <v>#VALUE!</v>
      </c>
      <c r="Y128" s="53"/>
      <c r="Z128" s="53"/>
      <c r="AA128" s="53"/>
    </row>
    <row r="129" spans="1:27" ht="30" x14ac:dyDescent="0.25">
      <c r="A129" s="79" t="s">
        <v>607</v>
      </c>
      <c r="B129" s="79" t="s">
        <v>3436</v>
      </c>
      <c r="C129" s="79" t="s">
        <v>3432</v>
      </c>
      <c r="D129" s="79" t="s">
        <v>1659</v>
      </c>
      <c r="E129" s="79" t="s">
        <v>1660</v>
      </c>
      <c r="F129" s="79" t="s">
        <v>13</v>
      </c>
      <c r="G129" s="79">
        <v>25</v>
      </c>
      <c r="H129" s="53">
        <f t="shared" si="16"/>
        <v>30</v>
      </c>
      <c r="I129" s="53">
        <f t="shared" si="17"/>
        <v>30</v>
      </c>
      <c r="J129" s="53">
        <f t="shared" si="18"/>
        <v>484.25</v>
      </c>
      <c r="K129" s="53">
        <f t="shared" si="21"/>
        <v>13</v>
      </c>
      <c r="L129" s="53" t="b">
        <f t="shared" si="19"/>
        <v>0</v>
      </c>
      <c r="M129" s="53" t="b">
        <f t="shared" si="20"/>
        <v>1</v>
      </c>
      <c r="N129" s="53" t="str">
        <f t="shared" si="22"/>
        <v>poland-CHROMADURLIN S.A.S</v>
      </c>
      <c r="O129" s="68" t="str">
        <f t="shared" si="26"/>
        <v>poland
ct</v>
      </c>
      <c r="P129" s="53" t="b">
        <f t="shared" si="23"/>
        <v>0</v>
      </c>
      <c r="Q129" s="53"/>
      <c r="R129" s="53" t="str">
        <f t="shared" si="24"/>
        <v>CT</v>
      </c>
      <c r="S129" s="53" t="str">
        <f t="shared" si="25"/>
        <v>ct</v>
      </c>
      <c r="T129" s="53">
        <f t="shared" si="27"/>
        <v>2</v>
      </c>
      <c r="U129" s="53" t="str">
        <f t="shared" si="28"/>
        <v>poland</v>
      </c>
      <c r="V129" s="53" t="str">
        <f t="shared" si="29"/>
        <v>Splen</v>
      </c>
      <c r="W129" s="53" t="str">
        <f t="shared" si="30"/>
        <v>A.S</v>
      </c>
      <c r="X129" s="53" t="e">
        <f t="shared" si="31"/>
        <v>#VALUE!</v>
      </c>
      <c r="Y129" s="53"/>
      <c r="Z129" s="53"/>
      <c r="AA129" s="53"/>
    </row>
    <row r="130" spans="1:27" ht="30" x14ac:dyDescent="0.25">
      <c r="A130" s="79" t="s">
        <v>990</v>
      </c>
      <c r="B130" s="79" t="s">
        <v>3437</v>
      </c>
      <c r="C130" s="79" t="s">
        <v>3432</v>
      </c>
      <c r="D130" s="79" t="s">
        <v>1690</v>
      </c>
      <c r="E130" s="79" t="s">
        <v>1691</v>
      </c>
      <c r="F130" s="79" t="s">
        <v>407</v>
      </c>
      <c r="G130" s="79">
        <v>12.5</v>
      </c>
      <c r="H130" s="53">
        <f t="shared" si="16"/>
        <v>207</v>
      </c>
      <c r="I130" s="53">
        <f t="shared" si="17"/>
        <v>206</v>
      </c>
      <c r="J130" s="53">
        <f t="shared" si="18"/>
        <v>415</v>
      </c>
      <c r="K130" s="53">
        <f t="shared" si="21"/>
        <v>11</v>
      </c>
      <c r="L130" s="53" t="b">
        <f t="shared" si="19"/>
        <v>1</v>
      </c>
      <c r="M130" s="53" t="b">
        <f t="shared" si="20"/>
        <v>1</v>
      </c>
      <c r="N130" s="53" t="str">
        <f t="shared" si="22"/>
        <v>Cambodia-NINGBO SEDUNO IMP &amp; EXP CO.LTD</v>
      </c>
      <c r="O130" s="68" t="str">
        <f t="shared" si="26"/>
        <v>Cambodia
pk</v>
      </c>
      <c r="P130" s="53" t="b">
        <f t="shared" si="23"/>
        <v>0</v>
      </c>
      <c r="Q130" s="53"/>
      <c r="R130" s="53" t="str">
        <f t="shared" si="24"/>
        <v>PK</v>
      </c>
      <c r="S130" s="53" t="str">
        <f t="shared" si="25"/>
        <v>pk</v>
      </c>
      <c r="T130" s="53">
        <f t="shared" si="27"/>
        <v>2</v>
      </c>
      <c r="U130" s="53" t="str">
        <f t="shared" si="28"/>
        <v>Cambodia</v>
      </c>
      <c r="V130" s="53" t="str">
        <f t="shared" si="29"/>
        <v>Sugar</v>
      </c>
      <c r="W130" s="53" t="str">
        <f t="shared" si="30"/>
        <v>LTD</v>
      </c>
      <c r="X130" s="53" t="e">
        <f t="shared" si="31"/>
        <v>#VALUE!</v>
      </c>
      <c r="Y130" s="53"/>
      <c r="Z130" s="53"/>
      <c r="AA130" s="53"/>
    </row>
    <row r="131" spans="1:27" ht="30" x14ac:dyDescent="0.25">
      <c r="A131" s="79" t="s">
        <v>885</v>
      </c>
      <c r="B131" s="79" t="s">
        <v>3438</v>
      </c>
      <c r="C131" s="79" t="s">
        <v>3432</v>
      </c>
      <c r="D131" s="79" t="s">
        <v>1676</v>
      </c>
      <c r="E131" s="79" t="s">
        <v>1677</v>
      </c>
      <c r="F131" s="79" t="s">
        <v>407</v>
      </c>
      <c r="G131" s="79">
        <v>16</v>
      </c>
      <c r="H131" s="53">
        <f t="shared" si="16"/>
        <v>132.5</v>
      </c>
      <c r="I131" s="53">
        <f t="shared" si="17"/>
        <v>120</v>
      </c>
      <c r="J131" s="53">
        <f t="shared" si="18"/>
        <v>485.5</v>
      </c>
      <c r="K131" s="53">
        <f t="shared" si="21"/>
        <v>18</v>
      </c>
      <c r="L131" s="53" t="b">
        <f t="shared" si="19"/>
        <v>1</v>
      </c>
      <c r="M131" s="53" t="b">
        <f t="shared" si="20"/>
        <v>1</v>
      </c>
      <c r="N131" s="53" t="str">
        <f t="shared" si="22"/>
        <v>Germany-Friedola 1888 GmbH</v>
      </c>
      <c r="O131" s="68" t="str">
        <f t="shared" si="26"/>
        <v>Germany
pk</v>
      </c>
      <c r="P131" s="53" t="b">
        <f t="shared" si="23"/>
        <v>0</v>
      </c>
      <c r="Q131" s="53"/>
      <c r="R131" s="53" t="str">
        <f t="shared" si="24"/>
        <v>PK</v>
      </c>
      <c r="S131" s="53" t="str">
        <f t="shared" si="25"/>
        <v>pk</v>
      </c>
      <c r="T131" s="53">
        <f t="shared" si="27"/>
        <v>2</v>
      </c>
      <c r="U131" s="53" t="str">
        <f t="shared" si="28"/>
        <v>Gormany</v>
      </c>
      <c r="V131" s="53" t="str">
        <f t="shared" si="29"/>
        <v>Sweet</v>
      </c>
      <c r="W131" s="53" t="str">
        <f t="shared" si="30"/>
        <v>mbH</v>
      </c>
      <c r="X131" s="53" t="e">
        <f t="shared" si="31"/>
        <v>#VALUE!</v>
      </c>
      <c r="Y131" s="53"/>
      <c r="Z131" s="53"/>
      <c r="AA131" s="53"/>
    </row>
    <row r="132" spans="1:27" ht="30" x14ac:dyDescent="0.25">
      <c r="A132" s="79" t="s">
        <v>405</v>
      </c>
      <c r="B132" s="79" t="s">
        <v>3439</v>
      </c>
      <c r="C132" s="79" t="s">
        <v>3432</v>
      </c>
      <c r="D132" s="79" t="s">
        <v>1690</v>
      </c>
      <c r="E132" s="79" t="s">
        <v>1691</v>
      </c>
      <c r="F132" s="79" t="s">
        <v>407</v>
      </c>
      <c r="G132" s="79">
        <v>18</v>
      </c>
      <c r="H132" s="53">
        <f t="shared" ref="H132:H195" si="32">_xlfn.RANK.AVG(G132,$G$4:$G$266)</f>
        <v>82.5</v>
      </c>
      <c r="I132" s="53">
        <f t="shared" ref="I132:I195" si="33">_xlfn.RANK.EQ(G132,$G$4:$G$266)</f>
        <v>78</v>
      </c>
      <c r="J132" s="53">
        <f t="shared" ref="J132:J195" si="34">SUMIF($D$4:$D$266,D132,$G$4:$G$266)</f>
        <v>415</v>
      </c>
      <c r="K132" s="53">
        <f t="shared" si="21"/>
        <v>10</v>
      </c>
      <c r="L132" s="53" t="b">
        <f t="shared" ref="L132:L195" si="35">AND(G132&lt;20,D132&gt;10)</f>
        <v>1</v>
      </c>
      <c r="M132" s="53" t="b">
        <f t="shared" ref="M132:M195" si="36">OR(G132&lt;20,D132&gt;10)</f>
        <v>1</v>
      </c>
      <c r="N132" s="53" t="str">
        <f t="shared" si="22"/>
        <v>Cambodia-NINGBO SEDUNO IMP &amp; EXP CO.LTD</v>
      </c>
      <c r="O132" s="68" t="str">
        <f t="shared" si="26"/>
        <v>Cambodia
pk</v>
      </c>
      <c r="P132" s="53" t="b">
        <f t="shared" si="23"/>
        <v>0</v>
      </c>
      <c r="Q132" s="53"/>
      <c r="R132" s="53" t="str">
        <f t="shared" si="24"/>
        <v>PK</v>
      </c>
      <c r="S132" s="53" t="str">
        <f t="shared" si="25"/>
        <v>pk</v>
      </c>
      <c r="T132" s="53">
        <f t="shared" si="27"/>
        <v>2</v>
      </c>
      <c r="U132" s="53" t="str">
        <f t="shared" si="28"/>
        <v>Cambodia</v>
      </c>
      <c r="V132" s="53" t="str">
        <f t="shared" si="29"/>
        <v>Truvi</v>
      </c>
      <c r="W132" s="53" t="str">
        <f t="shared" si="30"/>
        <v>LTD</v>
      </c>
      <c r="X132" s="53" t="e">
        <f t="shared" si="31"/>
        <v>#VALUE!</v>
      </c>
      <c r="Y132" s="53"/>
      <c r="Z132" s="53"/>
      <c r="AA132" s="53"/>
    </row>
    <row r="133" spans="1:27" ht="30" x14ac:dyDescent="0.25">
      <c r="A133" s="79" t="s">
        <v>1878</v>
      </c>
      <c r="B133" s="79" t="s">
        <v>3440</v>
      </c>
      <c r="C133" s="79" t="s">
        <v>3441</v>
      </c>
      <c r="D133" s="79" t="s">
        <v>1666</v>
      </c>
      <c r="E133" s="79" t="s">
        <v>1667</v>
      </c>
      <c r="F133" s="79" t="s">
        <v>13</v>
      </c>
      <c r="G133" s="79">
        <v>14</v>
      </c>
      <c r="H133" s="53">
        <f t="shared" si="32"/>
        <v>185</v>
      </c>
      <c r="I133" s="53">
        <f t="shared" si="33"/>
        <v>175</v>
      </c>
      <c r="J133" s="53">
        <f t="shared" si="34"/>
        <v>415.25</v>
      </c>
      <c r="K133" s="53">
        <f t="shared" ref="K133:K196" si="37">COUNTIF(D133:D396,D133)</f>
        <v>14</v>
      </c>
      <c r="L133" s="53" t="b">
        <f t="shared" si="35"/>
        <v>1</v>
      </c>
      <c r="M133" s="53" t="b">
        <f t="shared" si="36"/>
        <v>1</v>
      </c>
      <c r="N133" s="53" t="str">
        <f t="shared" ref="N133:N196" si="38">_xlfn.CONCAT(D133,"-",E133)</f>
        <v>Finland-HARDFORD AB</v>
      </c>
      <c r="O133" s="68" t="str">
        <f t="shared" si="26"/>
        <v>Finland
ct</v>
      </c>
      <c r="P133" s="53" t="b">
        <f t="shared" ref="P133:P196" si="39">EXACT(E133,D133)</f>
        <v>0</v>
      </c>
      <c r="Q133" s="53"/>
      <c r="R133" s="53" t="str">
        <f t="shared" ref="R133:R196" si="40">UPPER(F133)</f>
        <v>CT</v>
      </c>
      <c r="S133" s="53" t="str">
        <f t="shared" ref="S133:S196" si="41">LOWER(F133)</f>
        <v>ct</v>
      </c>
      <c r="T133" s="53">
        <f t="shared" si="27"/>
        <v>2</v>
      </c>
      <c r="U133" s="53" t="str">
        <f t="shared" si="28"/>
        <v>Finland</v>
      </c>
      <c r="V133" s="53" t="str">
        <f t="shared" si="29"/>
        <v>Hefty</v>
      </c>
      <c r="W133" s="53" t="str">
        <f t="shared" si="30"/>
        <v xml:space="preserve"> AB</v>
      </c>
      <c r="X133" s="53" t="e">
        <f t="shared" si="31"/>
        <v>#VALUE!</v>
      </c>
      <c r="Y133" s="53"/>
      <c r="Z133" s="53"/>
      <c r="AA133" s="53"/>
    </row>
    <row r="134" spans="1:27" ht="30" x14ac:dyDescent="0.25">
      <c r="A134" s="79" t="s">
        <v>28</v>
      </c>
      <c r="B134" s="79" t="s">
        <v>3442</v>
      </c>
      <c r="C134" s="79" t="s">
        <v>3441</v>
      </c>
      <c r="D134" s="79" t="s">
        <v>1662</v>
      </c>
      <c r="E134" s="79" t="s">
        <v>1663</v>
      </c>
      <c r="F134" s="79" t="s">
        <v>13</v>
      </c>
      <c r="G134" s="79">
        <v>14</v>
      </c>
      <c r="H134" s="53">
        <f t="shared" si="32"/>
        <v>185</v>
      </c>
      <c r="I134" s="53">
        <f t="shared" si="33"/>
        <v>175</v>
      </c>
      <c r="J134" s="53">
        <f t="shared" si="34"/>
        <v>587.25</v>
      </c>
      <c r="K134" s="53">
        <f t="shared" si="37"/>
        <v>20</v>
      </c>
      <c r="L134" s="53" t="b">
        <f t="shared" si="35"/>
        <v>1</v>
      </c>
      <c r="M134" s="53" t="b">
        <f t="shared" si="36"/>
        <v>1</v>
      </c>
      <c r="N134" s="53" t="str">
        <f t="shared" si="38"/>
        <v>Bangladesh-DENIMACH LTD</v>
      </c>
      <c r="O134" s="68" t="str">
        <f t="shared" ref="O134:O197" si="42">_xlfn.CONCAT(D134,CHAR(10),F134)</f>
        <v>Bangladesh
ct</v>
      </c>
      <c r="P134" s="53" t="b">
        <f t="shared" si="39"/>
        <v>0</v>
      </c>
      <c r="Q134" s="53"/>
      <c r="R134" s="53" t="str">
        <f t="shared" si="40"/>
        <v>CT</v>
      </c>
      <c r="S134" s="53" t="str">
        <f t="shared" si="41"/>
        <v>ct</v>
      </c>
      <c r="T134" s="53">
        <f t="shared" si="27"/>
        <v>2</v>
      </c>
      <c r="U134" s="53" t="str">
        <f t="shared" si="28"/>
        <v>Bangladosh</v>
      </c>
      <c r="V134" s="53" t="str">
        <f t="shared" si="29"/>
        <v>Paper</v>
      </c>
      <c r="W134" s="53" t="str">
        <f t="shared" si="30"/>
        <v>LTD</v>
      </c>
      <c r="X134" s="53" t="e">
        <f t="shared" si="31"/>
        <v>#VALUE!</v>
      </c>
      <c r="Y134" s="53"/>
      <c r="Z134" s="53"/>
      <c r="AA134" s="53"/>
    </row>
    <row r="135" spans="1:27" ht="30" x14ac:dyDescent="0.25">
      <c r="A135" s="79" t="s">
        <v>185</v>
      </c>
      <c r="B135" s="79" t="s">
        <v>3443</v>
      </c>
      <c r="C135" s="79" t="s">
        <v>3444</v>
      </c>
      <c r="D135" s="79" t="s">
        <v>1662</v>
      </c>
      <c r="E135" s="79" t="s">
        <v>1663</v>
      </c>
      <c r="F135" s="79" t="s">
        <v>13</v>
      </c>
      <c r="G135" s="79">
        <v>14</v>
      </c>
      <c r="H135" s="53">
        <f t="shared" si="32"/>
        <v>185</v>
      </c>
      <c r="I135" s="53">
        <f t="shared" si="33"/>
        <v>175</v>
      </c>
      <c r="J135" s="53">
        <f t="shared" si="34"/>
        <v>587.25</v>
      </c>
      <c r="K135" s="53">
        <f t="shared" si="37"/>
        <v>19</v>
      </c>
      <c r="L135" s="53" t="b">
        <f t="shared" si="35"/>
        <v>1</v>
      </c>
      <c r="M135" s="53" t="b">
        <f t="shared" si="36"/>
        <v>1</v>
      </c>
      <c r="N135" s="53" t="str">
        <f t="shared" si="38"/>
        <v>Bangladesh-DENIMACH LTD</v>
      </c>
      <c r="O135" s="68" t="str">
        <f t="shared" si="42"/>
        <v>Bangladesh
ct</v>
      </c>
      <c r="P135" s="53" t="b">
        <f t="shared" si="39"/>
        <v>0</v>
      </c>
      <c r="Q135" s="53"/>
      <c r="R135" s="53" t="str">
        <f t="shared" si="40"/>
        <v>CT</v>
      </c>
      <c r="S135" s="53" t="str">
        <f t="shared" si="41"/>
        <v>ct</v>
      </c>
      <c r="T135" s="53">
        <f t="shared" si="27"/>
        <v>2</v>
      </c>
      <c r="U135" s="53" t="str">
        <f t="shared" si="28"/>
        <v>Bangladosh</v>
      </c>
      <c r="V135" s="53" t="str">
        <f t="shared" si="29"/>
        <v>Clear</v>
      </c>
      <c r="W135" s="53" t="str">
        <f t="shared" si="30"/>
        <v>LTD</v>
      </c>
      <c r="X135" s="53" t="e">
        <f t="shared" si="31"/>
        <v>#VALUE!</v>
      </c>
      <c r="Y135" s="53"/>
      <c r="Z135" s="53"/>
      <c r="AA135" s="53"/>
    </row>
    <row r="136" spans="1:27" ht="30" x14ac:dyDescent="0.25">
      <c r="A136" s="79" t="s">
        <v>79</v>
      </c>
      <c r="B136" s="79" t="s">
        <v>3445</v>
      </c>
      <c r="C136" s="79" t="s">
        <v>3444</v>
      </c>
      <c r="D136" s="79" t="s">
        <v>1683</v>
      </c>
      <c r="E136" s="79" t="s">
        <v>1684</v>
      </c>
      <c r="F136" s="79" t="s">
        <v>13</v>
      </c>
      <c r="G136" s="79">
        <v>15</v>
      </c>
      <c r="H136" s="53">
        <f t="shared" si="32"/>
        <v>160.5</v>
      </c>
      <c r="I136" s="53">
        <f t="shared" si="33"/>
        <v>147</v>
      </c>
      <c r="J136" s="53">
        <f t="shared" si="34"/>
        <v>432.25</v>
      </c>
      <c r="K136" s="53">
        <f t="shared" si="37"/>
        <v>12</v>
      </c>
      <c r="L136" s="53" t="b">
        <f t="shared" si="35"/>
        <v>1</v>
      </c>
      <c r="M136" s="53" t="b">
        <f t="shared" si="36"/>
        <v>1</v>
      </c>
      <c r="N136" s="53" t="str">
        <f t="shared" si="38"/>
        <v>United States-MAESA SAS</v>
      </c>
      <c r="O136" s="68" t="str">
        <f t="shared" si="42"/>
        <v>United States
ct</v>
      </c>
      <c r="P136" s="53" t="b">
        <f t="shared" si="39"/>
        <v>0</v>
      </c>
      <c r="Q136" s="53"/>
      <c r="R136" s="53" t="str">
        <f t="shared" si="40"/>
        <v>CT</v>
      </c>
      <c r="S136" s="53" t="str">
        <f t="shared" si="41"/>
        <v>ct</v>
      </c>
      <c r="T136" s="53">
        <f t="shared" si="27"/>
        <v>2</v>
      </c>
      <c r="U136" s="53" t="str">
        <f t="shared" si="28"/>
        <v>Unitod Statos</v>
      </c>
      <c r="V136" s="53" t="str">
        <f t="shared" si="29"/>
        <v>Clear</v>
      </c>
      <c r="W136" s="53" t="str">
        <f t="shared" si="30"/>
        <v>SAS</v>
      </c>
      <c r="X136" s="53" t="e">
        <f t="shared" si="31"/>
        <v>#VALUE!</v>
      </c>
      <c r="Y136" s="53"/>
      <c r="Z136" s="53"/>
      <c r="AA136" s="53"/>
    </row>
    <row r="137" spans="1:27" ht="30" x14ac:dyDescent="0.25">
      <c r="A137" s="79" t="s">
        <v>628</v>
      </c>
      <c r="B137" s="79" t="s">
        <v>3446</v>
      </c>
      <c r="C137" s="79" t="s">
        <v>3444</v>
      </c>
      <c r="D137" s="79" t="s">
        <v>1662</v>
      </c>
      <c r="E137" s="79" t="s">
        <v>1663</v>
      </c>
      <c r="F137" s="79" t="s">
        <v>13</v>
      </c>
      <c r="G137" s="79">
        <v>16</v>
      </c>
      <c r="H137" s="53">
        <f t="shared" si="32"/>
        <v>132.5</v>
      </c>
      <c r="I137" s="53">
        <f t="shared" si="33"/>
        <v>120</v>
      </c>
      <c r="J137" s="53">
        <f t="shared" si="34"/>
        <v>587.25</v>
      </c>
      <c r="K137" s="53">
        <f t="shared" si="37"/>
        <v>18</v>
      </c>
      <c r="L137" s="53" t="b">
        <f t="shared" si="35"/>
        <v>1</v>
      </c>
      <c r="M137" s="53" t="b">
        <f t="shared" si="36"/>
        <v>1</v>
      </c>
      <c r="N137" s="53" t="str">
        <f t="shared" si="38"/>
        <v>Bangladesh-DENIMACH LTD</v>
      </c>
      <c r="O137" s="68" t="str">
        <f t="shared" si="42"/>
        <v>Bangladesh
ct</v>
      </c>
      <c r="P137" s="53" t="b">
        <f t="shared" si="39"/>
        <v>0</v>
      </c>
      <c r="Q137" s="53"/>
      <c r="R137" s="53" t="str">
        <f t="shared" si="40"/>
        <v>CT</v>
      </c>
      <c r="S137" s="53" t="str">
        <f t="shared" si="41"/>
        <v>ct</v>
      </c>
      <c r="T137" s="53">
        <f t="shared" si="27"/>
        <v>2</v>
      </c>
      <c r="U137" s="53" t="str">
        <f t="shared" si="28"/>
        <v>Bangladosh</v>
      </c>
      <c r="V137" s="53" t="str">
        <f t="shared" si="29"/>
        <v>Red P</v>
      </c>
      <c r="W137" s="53" t="str">
        <f t="shared" si="30"/>
        <v>LTD</v>
      </c>
      <c r="X137" s="53" t="e">
        <f t="shared" si="31"/>
        <v>#VALUE!</v>
      </c>
      <c r="Y137" s="53"/>
      <c r="Z137" s="53"/>
      <c r="AA137" s="53"/>
    </row>
    <row r="138" spans="1:27" ht="30" x14ac:dyDescent="0.25">
      <c r="A138" s="79" t="s">
        <v>1589</v>
      </c>
      <c r="B138" s="79" t="s">
        <v>3447</v>
      </c>
      <c r="C138" s="79" t="s">
        <v>3448</v>
      </c>
      <c r="D138" s="79" t="s">
        <v>1683</v>
      </c>
      <c r="E138" s="79" t="s">
        <v>1684</v>
      </c>
      <c r="F138" s="79" t="s">
        <v>269</v>
      </c>
      <c r="G138" s="79">
        <v>14</v>
      </c>
      <c r="H138" s="53">
        <f t="shared" si="32"/>
        <v>185</v>
      </c>
      <c r="I138" s="53">
        <f t="shared" si="33"/>
        <v>175</v>
      </c>
      <c r="J138" s="53">
        <f t="shared" si="34"/>
        <v>432.25</v>
      </c>
      <c r="K138" s="53">
        <f t="shared" si="37"/>
        <v>11</v>
      </c>
      <c r="L138" s="53" t="b">
        <f t="shared" si="35"/>
        <v>1</v>
      </c>
      <c r="M138" s="53" t="b">
        <f t="shared" si="36"/>
        <v>1</v>
      </c>
      <c r="N138" s="53" t="str">
        <f t="shared" si="38"/>
        <v>United States-MAESA SAS</v>
      </c>
      <c r="O138" s="68" t="str">
        <f t="shared" si="42"/>
        <v>United States
ct.</v>
      </c>
      <c r="P138" s="53" t="b">
        <f t="shared" si="39"/>
        <v>0</v>
      </c>
      <c r="Q138" s="53"/>
      <c r="R138" s="53" t="str">
        <f t="shared" si="40"/>
        <v>CT.</v>
      </c>
      <c r="S138" s="53" t="str">
        <f t="shared" si="41"/>
        <v>ct.</v>
      </c>
      <c r="T138" s="53">
        <f t="shared" ref="T138:T201" si="43">SEARCH("0",A138)</f>
        <v>2</v>
      </c>
      <c r="U138" s="53" t="str">
        <f t="shared" ref="U138:U201" si="44">SUBSTITUTE(D138,"e","o")</f>
        <v>Unitod Statos</v>
      </c>
      <c r="V138" s="53" t="str">
        <f t="shared" ref="V138:V201" si="45">LEFT(B138,"5")</f>
        <v>Chine</v>
      </c>
      <c r="W138" s="53" t="str">
        <f t="shared" ref="W138:W201" si="46">RIGHT(E138,"3")</f>
        <v>SAS</v>
      </c>
      <c r="X138" s="53" t="e">
        <f t="shared" ref="X138:X201" si="47">FIND("a",F138)</f>
        <v>#VALUE!</v>
      </c>
      <c r="Y138" s="53"/>
      <c r="Z138" s="53"/>
      <c r="AA138" s="53"/>
    </row>
    <row r="139" spans="1:27" ht="30" x14ac:dyDescent="0.25">
      <c r="A139" s="79" t="s">
        <v>757</v>
      </c>
      <c r="B139" s="79" t="s">
        <v>3449</v>
      </c>
      <c r="C139" s="79" t="s">
        <v>3448</v>
      </c>
      <c r="D139" s="79" t="s">
        <v>1669</v>
      </c>
      <c r="E139" s="79" t="s">
        <v>1670</v>
      </c>
      <c r="F139" s="79" t="s">
        <v>13</v>
      </c>
      <c r="G139" s="79">
        <v>19.5</v>
      </c>
      <c r="H139" s="53">
        <f t="shared" si="32"/>
        <v>69</v>
      </c>
      <c r="I139" s="53">
        <f t="shared" si="33"/>
        <v>68</v>
      </c>
      <c r="J139" s="53">
        <f t="shared" si="34"/>
        <v>514.5</v>
      </c>
      <c r="K139" s="53">
        <f t="shared" si="37"/>
        <v>13</v>
      </c>
      <c r="L139" s="53" t="b">
        <f t="shared" si="35"/>
        <v>1</v>
      </c>
      <c r="M139" s="53" t="b">
        <f t="shared" si="36"/>
        <v>1</v>
      </c>
      <c r="N139" s="53" t="str">
        <f t="shared" si="38"/>
        <v>Lithuania-BIGSO AB</v>
      </c>
      <c r="O139" s="68" t="str">
        <f t="shared" si="42"/>
        <v>Lithuania
ct</v>
      </c>
      <c r="P139" s="53" t="b">
        <f t="shared" si="39"/>
        <v>0</v>
      </c>
      <c r="Q139" s="53"/>
      <c r="R139" s="53" t="str">
        <f t="shared" si="40"/>
        <v>CT</v>
      </c>
      <c r="S139" s="53" t="str">
        <f t="shared" si="41"/>
        <v>ct</v>
      </c>
      <c r="T139" s="53">
        <f t="shared" si="43"/>
        <v>2</v>
      </c>
      <c r="U139" s="53" t="str">
        <f t="shared" si="44"/>
        <v>Lithuania</v>
      </c>
      <c r="V139" s="53" t="str">
        <f t="shared" si="45"/>
        <v>Dixie</v>
      </c>
      <c r="W139" s="53" t="str">
        <f t="shared" si="46"/>
        <v xml:space="preserve"> AB</v>
      </c>
      <c r="X139" s="53" t="e">
        <f t="shared" si="47"/>
        <v>#VALUE!</v>
      </c>
      <c r="Y139" s="53"/>
      <c r="Z139" s="53"/>
      <c r="AA139" s="53"/>
    </row>
    <row r="140" spans="1:27" ht="30" x14ac:dyDescent="0.25">
      <c r="A140" s="79" t="s">
        <v>362</v>
      </c>
      <c r="B140" s="79" t="s">
        <v>3450</v>
      </c>
      <c r="C140" s="79" t="s">
        <v>3448</v>
      </c>
      <c r="D140" s="79" t="s">
        <v>1683</v>
      </c>
      <c r="E140" s="79" t="s">
        <v>1684</v>
      </c>
      <c r="F140" s="79" t="s">
        <v>13</v>
      </c>
      <c r="G140" s="79">
        <v>24</v>
      </c>
      <c r="H140" s="53">
        <f t="shared" si="32"/>
        <v>34</v>
      </c>
      <c r="I140" s="53">
        <f t="shared" si="33"/>
        <v>31</v>
      </c>
      <c r="J140" s="53">
        <f t="shared" si="34"/>
        <v>432.25</v>
      </c>
      <c r="K140" s="53">
        <f t="shared" si="37"/>
        <v>10</v>
      </c>
      <c r="L140" s="53" t="b">
        <f t="shared" si="35"/>
        <v>0</v>
      </c>
      <c r="M140" s="53" t="b">
        <f t="shared" si="36"/>
        <v>1</v>
      </c>
      <c r="N140" s="53" t="str">
        <f t="shared" si="38"/>
        <v>United States-MAESA SAS</v>
      </c>
      <c r="O140" s="68" t="str">
        <f t="shared" si="42"/>
        <v>United States
ct</v>
      </c>
      <c r="P140" s="53" t="b">
        <f t="shared" si="39"/>
        <v>0</v>
      </c>
      <c r="Q140" s="53"/>
      <c r="R140" s="53" t="str">
        <f t="shared" si="40"/>
        <v>CT</v>
      </c>
      <c r="S140" s="53" t="str">
        <f t="shared" si="41"/>
        <v>ct</v>
      </c>
      <c r="T140" s="53">
        <f t="shared" si="43"/>
        <v>2</v>
      </c>
      <c r="U140" s="53" t="str">
        <f t="shared" si="44"/>
        <v>Unitod Statos</v>
      </c>
      <c r="V140" s="53" t="str">
        <f t="shared" si="45"/>
        <v xml:space="preserve">Foam </v>
      </c>
      <c r="W140" s="53" t="str">
        <f t="shared" si="46"/>
        <v>SAS</v>
      </c>
      <c r="X140" s="53" t="e">
        <f t="shared" si="47"/>
        <v>#VALUE!</v>
      </c>
      <c r="Y140" s="53"/>
      <c r="Z140" s="53"/>
      <c r="AA140" s="53"/>
    </row>
    <row r="141" spans="1:27" ht="30" x14ac:dyDescent="0.25">
      <c r="A141" s="79" t="s">
        <v>476</v>
      </c>
      <c r="B141" s="79" t="s">
        <v>3451</v>
      </c>
      <c r="C141" s="79" t="s">
        <v>3448</v>
      </c>
      <c r="D141" s="79" t="s">
        <v>1669</v>
      </c>
      <c r="E141" s="79" t="s">
        <v>1670</v>
      </c>
      <c r="F141" s="79" t="s">
        <v>13</v>
      </c>
      <c r="G141" s="79">
        <v>32</v>
      </c>
      <c r="H141" s="53">
        <f t="shared" si="32"/>
        <v>20</v>
      </c>
      <c r="I141" s="53">
        <f t="shared" si="33"/>
        <v>20</v>
      </c>
      <c r="J141" s="53">
        <f t="shared" si="34"/>
        <v>514.5</v>
      </c>
      <c r="K141" s="53">
        <f t="shared" si="37"/>
        <v>12</v>
      </c>
      <c r="L141" s="53" t="b">
        <f t="shared" si="35"/>
        <v>0</v>
      </c>
      <c r="M141" s="53" t="b">
        <f t="shared" si="36"/>
        <v>1</v>
      </c>
      <c r="N141" s="53" t="str">
        <f t="shared" si="38"/>
        <v>Lithuania-BIGSO AB</v>
      </c>
      <c r="O141" s="68" t="str">
        <f t="shared" si="42"/>
        <v>Lithuania
ct</v>
      </c>
      <c r="P141" s="53" t="b">
        <f t="shared" si="39"/>
        <v>0</v>
      </c>
      <c r="Q141" s="53"/>
      <c r="R141" s="53" t="str">
        <f t="shared" si="40"/>
        <v>CT</v>
      </c>
      <c r="S141" s="53" t="str">
        <f t="shared" si="41"/>
        <v>ct</v>
      </c>
      <c r="T141" s="53">
        <f t="shared" si="43"/>
        <v>2</v>
      </c>
      <c r="U141" s="53" t="str">
        <f t="shared" si="44"/>
        <v>Lithuania</v>
      </c>
      <c r="V141" s="53" t="str">
        <f t="shared" si="45"/>
        <v xml:space="preserve">Foam </v>
      </c>
      <c r="W141" s="53" t="str">
        <f t="shared" si="46"/>
        <v xml:space="preserve"> AB</v>
      </c>
      <c r="X141" s="53" t="e">
        <f t="shared" si="47"/>
        <v>#VALUE!</v>
      </c>
      <c r="Y141" s="53"/>
      <c r="Z141" s="53"/>
      <c r="AA141" s="53"/>
    </row>
    <row r="142" spans="1:27" ht="30" x14ac:dyDescent="0.25">
      <c r="A142" s="79" t="s">
        <v>1532</v>
      </c>
      <c r="B142" s="79" t="s">
        <v>3452</v>
      </c>
      <c r="C142" s="79" t="s">
        <v>3448</v>
      </c>
      <c r="D142" s="79" t="s">
        <v>1676</v>
      </c>
      <c r="E142" s="79" t="s">
        <v>1677</v>
      </c>
      <c r="F142" s="79" t="s">
        <v>13</v>
      </c>
      <c r="G142" s="79">
        <v>24</v>
      </c>
      <c r="H142" s="53">
        <f t="shared" si="32"/>
        <v>34</v>
      </c>
      <c r="I142" s="53">
        <f t="shared" si="33"/>
        <v>31</v>
      </c>
      <c r="J142" s="53">
        <f t="shared" si="34"/>
        <v>485.5</v>
      </c>
      <c r="K142" s="53">
        <f t="shared" si="37"/>
        <v>17</v>
      </c>
      <c r="L142" s="53" t="b">
        <f t="shared" si="35"/>
        <v>0</v>
      </c>
      <c r="M142" s="53" t="b">
        <f t="shared" si="36"/>
        <v>1</v>
      </c>
      <c r="N142" s="53" t="str">
        <f t="shared" si="38"/>
        <v>Germany-Friedola 1888 GmbH</v>
      </c>
      <c r="O142" s="68" t="str">
        <f t="shared" si="42"/>
        <v>Germany
ct</v>
      </c>
      <c r="P142" s="53" t="b">
        <f t="shared" si="39"/>
        <v>0</v>
      </c>
      <c r="Q142" s="53"/>
      <c r="R142" s="53" t="str">
        <f t="shared" si="40"/>
        <v>CT</v>
      </c>
      <c r="S142" s="53" t="str">
        <f t="shared" si="41"/>
        <v>ct</v>
      </c>
      <c r="T142" s="53">
        <f t="shared" si="43"/>
        <v>2</v>
      </c>
      <c r="U142" s="53" t="str">
        <f t="shared" si="44"/>
        <v>Gormany</v>
      </c>
      <c r="V142" s="53" t="str">
        <f t="shared" si="45"/>
        <v xml:space="preserve">Foam </v>
      </c>
      <c r="W142" s="53" t="str">
        <f t="shared" si="46"/>
        <v>mbH</v>
      </c>
      <c r="X142" s="53" t="e">
        <f t="shared" si="47"/>
        <v>#VALUE!</v>
      </c>
      <c r="Y142" s="53"/>
      <c r="Z142" s="53"/>
      <c r="AA142" s="53"/>
    </row>
    <row r="143" spans="1:27" ht="30" x14ac:dyDescent="0.25">
      <c r="A143" s="79" t="s">
        <v>785</v>
      </c>
      <c r="B143" s="79" t="s">
        <v>3453</v>
      </c>
      <c r="C143" s="79" t="s">
        <v>3448</v>
      </c>
      <c r="D143" s="79" t="s">
        <v>1656</v>
      </c>
      <c r="E143" s="79" t="s">
        <v>1657</v>
      </c>
      <c r="F143" s="79" t="s">
        <v>13</v>
      </c>
      <c r="G143" s="79">
        <v>29</v>
      </c>
      <c r="H143" s="53">
        <f t="shared" si="32"/>
        <v>21.5</v>
      </c>
      <c r="I143" s="53">
        <f t="shared" si="33"/>
        <v>21</v>
      </c>
      <c r="J143" s="53">
        <f t="shared" si="34"/>
        <v>460</v>
      </c>
      <c r="K143" s="53">
        <f t="shared" si="37"/>
        <v>16</v>
      </c>
      <c r="L143" s="53" t="b">
        <f t="shared" si="35"/>
        <v>0</v>
      </c>
      <c r="M143" s="53" t="b">
        <f t="shared" si="36"/>
        <v>1</v>
      </c>
      <c r="N143" s="53" t="str">
        <f t="shared" si="38"/>
        <v>Netherlands-Bolsius Boxmeer</v>
      </c>
      <c r="O143" s="68" t="str">
        <f t="shared" si="42"/>
        <v>Netherlands
ct</v>
      </c>
      <c r="P143" s="53" t="b">
        <f t="shared" si="39"/>
        <v>0</v>
      </c>
      <c r="Q143" s="53"/>
      <c r="R143" s="53" t="str">
        <f t="shared" si="40"/>
        <v>CT</v>
      </c>
      <c r="S143" s="53" t="str">
        <f t="shared" si="41"/>
        <v>ct</v>
      </c>
      <c r="T143" s="53">
        <f t="shared" si="43"/>
        <v>2</v>
      </c>
      <c r="U143" s="53" t="str">
        <f t="shared" si="44"/>
        <v>Nothorlands</v>
      </c>
      <c r="V143" s="53" t="str">
        <f t="shared" si="45"/>
        <v xml:space="preserve">Foam </v>
      </c>
      <c r="W143" s="53" t="str">
        <f t="shared" si="46"/>
        <v>eer</v>
      </c>
      <c r="X143" s="53" t="e">
        <f t="shared" si="47"/>
        <v>#VALUE!</v>
      </c>
      <c r="Y143" s="53"/>
      <c r="Z143" s="53"/>
      <c r="AA143" s="53"/>
    </row>
    <row r="144" spans="1:27" ht="30" x14ac:dyDescent="0.25">
      <c r="A144" s="79" t="s">
        <v>1143</v>
      </c>
      <c r="B144" s="79" t="s">
        <v>3454</v>
      </c>
      <c r="C144" s="79" t="s">
        <v>3455</v>
      </c>
      <c r="D144" s="79" t="s">
        <v>1690</v>
      </c>
      <c r="E144" s="79" t="s">
        <v>1691</v>
      </c>
      <c r="F144" s="79" t="s">
        <v>13</v>
      </c>
      <c r="G144" s="79">
        <v>18</v>
      </c>
      <c r="H144" s="53">
        <f t="shared" si="32"/>
        <v>82.5</v>
      </c>
      <c r="I144" s="53">
        <f t="shared" si="33"/>
        <v>78</v>
      </c>
      <c r="J144" s="53">
        <f t="shared" si="34"/>
        <v>415</v>
      </c>
      <c r="K144" s="53">
        <f t="shared" si="37"/>
        <v>9</v>
      </c>
      <c r="L144" s="53" t="b">
        <f t="shared" si="35"/>
        <v>1</v>
      </c>
      <c r="M144" s="53" t="b">
        <f t="shared" si="36"/>
        <v>1</v>
      </c>
      <c r="N144" s="53" t="str">
        <f t="shared" si="38"/>
        <v>Cambodia-NINGBO SEDUNO IMP &amp; EXP CO.LTD</v>
      </c>
      <c r="O144" s="68" t="str">
        <f t="shared" si="42"/>
        <v>Cambodia
ct</v>
      </c>
      <c r="P144" s="53" t="b">
        <f t="shared" si="39"/>
        <v>0</v>
      </c>
      <c r="Q144" s="53"/>
      <c r="R144" s="53" t="str">
        <f t="shared" si="40"/>
        <v>CT</v>
      </c>
      <c r="S144" s="53" t="str">
        <f t="shared" si="41"/>
        <v>ct</v>
      </c>
      <c r="T144" s="53">
        <f t="shared" si="43"/>
        <v>2</v>
      </c>
      <c r="U144" s="53" t="str">
        <f t="shared" si="44"/>
        <v>Cambodia</v>
      </c>
      <c r="V144" s="53" t="str">
        <f t="shared" si="45"/>
        <v>Hefty</v>
      </c>
      <c r="W144" s="53" t="str">
        <f t="shared" si="46"/>
        <v>LTD</v>
      </c>
      <c r="X144" s="53" t="e">
        <f t="shared" si="47"/>
        <v>#VALUE!</v>
      </c>
      <c r="Y144" s="53"/>
      <c r="Z144" s="53"/>
      <c r="AA144" s="53"/>
    </row>
    <row r="145" spans="1:27" ht="30" x14ac:dyDescent="0.25">
      <c r="A145" s="79" t="s">
        <v>1177</v>
      </c>
      <c r="B145" s="79" t="s">
        <v>3456</v>
      </c>
      <c r="C145" s="79" t="s">
        <v>3455</v>
      </c>
      <c r="D145" s="79" t="s">
        <v>1671</v>
      </c>
      <c r="E145" s="79" t="s">
        <v>1672</v>
      </c>
      <c r="F145" s="79" t="s">
        <v>13</v>
      </c>
      <c r="G145" s="79">
        <v>12.5</v>
      </c>
      <c r="H145" s="53">
        <f t="shared" si="32"/>
        <v>207</v>
      </c>
      <c r="I145" s="53">
        <f t="shared" si="33"/>
        <v>206</v>
      </c>
      <c r="J145" s="53">
        <f t="shared" si="34"/>
        <v>561.5</v>
      </c>
      <c r="K145" s="53">
        <f t="shared" si="37"/>
        <v>25</v>
      </c>
      <c r="L145" s="53" t="b">
        <f t="shared" si="35"/>
        <v>1</v>
      </c>
      <c r="M145" s="53" t="b">
        <f t="shared" si="36"/>
        <v>1</v>
      </c>
      <c r="N145" s="53" t="str">
        <f t="shared" si="38"/>
        <v>India-Indo Count Industries Ltd</v>
      </c>
      <c r="O145" s="68" t="str">
        <f t="shared" si="42"/>
        <v>India
ct</v>
      </c>
      <c r="P145" s="53" t="b">
        <f t="shared" si="39"/>
        <v>0</v>
      </c>
      <c r="Q145" s="53"/>
      <c r="R145" s="53" t="str">
        <f t="shared" si="40"/>
        <v>CT</v>
      </c>
      <c r="S145" s="53" t="str">
        <f t="shared" si="41"/>
        <v>ct</v>
      </c>
      <c r="T145" s="53">
        <f t="shared" si="43"/>
        <v>2</v>
      </c>
      <c r="U145" s="53" t="str">
        <f t="shared" si="44"/>
        <v>India</v>
      </c>
      <c r="V145" s="53" t="str">
        <f t="shared" si="45"/>
        <v>Hefty</v>
      </c>
      <c r="W145" s="53" t="str">
        <f t="shared" si="46"/>
        <v>Ltd</v>
      </c>
      <c r="X145" s="53" t="e">
        <f t="shared" si="47"/>
        <v>#VALUE!</v>
      </c>
      <c r="Y145" s="53"/>
      <c r="Z145" s="53"/>
      <c r="AA145" s="53"/>
    </row>
    <row r="146" spans="1:27" ht="30" x14ac:dyDescent="0.25">
      <c r="A146" s="79" t="s">
        <v>1598</v>
      </c>
      <c r="B146" s="79" t="s">
        <v>3457</v>
      </c>
      <c r="C146" s="79" t="s">
        <v>3455</v>
      </c>
      <c r="D146" s="79" t="s">
        <v>1671</v>
      </c>
      <c r="E146" s="79" t="s">
        <v>1672</v>
      </c>
      <c r="F146" s="79" t="s">
        <v>13</v>
      </c>
      <c r="G146" s="79">
        <v>16</v>
      </c>
      <c r="H146" s="53">
        <f t="shared" si="32"/>
        <v>132.5</v>
      </c>
      <c r="I146" s="53">
        <f t="shared" si="33"/>
        <v>120</v>
      </c>
      <c r="J146" s="53">
        <f t="shared" si="34"/>
        <v>561.5</v>
      </c>
      <c r="K146" s="53">
        <f t="shared" si="37"/>
        <v>24</v>
      </c>
      <c r="L146" s="53" t="b">
        <f t="shared" si="35"/>
        <v>1</v>
      </c>
      <c r="M146" s="53" t="b">
        <f t="shared" si="36"/>
        <v>1</v>
      </c>
      <c r="N146" s="53" t="str">
        <f t="shared" si="38"/>
        <v>India-Indo Count Industries Ltd</v>
      </c>
      <c r="O146" s="68" t="str">
        <f t="shared" si="42"/>
        <v>India
ct</v>
      </c>
      <c r="P146" s="53" t="b">
        <f t="shared" si="39"/>
        <v>0</v>
      </c>
      <c r="Q146" s="53"/>
      <c r="R146" s="53" t="str">
        <f t="shared" si="40"/>
        <v>CT</v>
      </c>
      <c r="S146" s="53" t="str">
        <f t="shared" si="41"/>
        <v>ct</v>
      </c>
      <c r="T146" s="53">
        <f t="shared" si="43"/>
        <v>2</v>
      </c>
      <c r="U146" s="53" t="str">
        <f t="shared" si="44"/>
        <v>India</v>
      </c>
      <c r="V146" s="53" t="str">
        <f t="shared" si="45"/>
        <v>Hefty</v>
      </c>
      <c r="W146" s="53" t="str">
        <f t="shared" si="46"/>
        <v>Ltd</v>
      </c>
      <c r="X146" s="53" t="e">
        <f t="shared" si="47"/>
        <v>#VALUE!</v>
      </c>
      <c r="Y146" s="53"/>
      <c r="Z146" s="53"/>
      <c r="AA146" s="53"/>
    </row>
    <row r="147" spans="1:27" ht="30" x14ac:dyDescent="0.25">
      <c r="A147" s="79" t="s">
        <v>517</v>
      </c>
      <c r="B147" s="79" t="s">
        <v>3458</v>
      </c>
      <c r="C147" s="79" t="s">
        <v>3455</v>
      </c>
      <c r="D147" s="79" t="s">
        <v>1666</v>
      </c>
      <c r="E147" s="79" t="s">
        <v>1667</v>
      </c>
      <c r="F147" s="79" t="s">
        <v>13</v>
      </c>
      <c r="G147" s="79">
        <v>20</v>
      </c>
      <c r="H147" s="53">
        <f t="shared" si="32"/>
        <v>61</v>
      </c>
      <c r="I147" s="53">
        <f t="shared" si="33"/>
        <v>55</v>
      </c>
      <c r="J147" s="53">
        <f t="shared" si="34"/>
        <v>415.25</v>
      </c>
      <c r="K147" s="53">
        <f t="shared" si="37"/>
        <v>13</v>
      </c>
      <c r="L147" s="53" t="b">
        <f t="shared" si="35"/>
        <v>0</v>
      </c>
      <c r="M147" s="53" t="b">
        <f t="shared" si="36"/>
        <v>1</v>
      </c>
      <c r="N147" s="53" t="str">
        <f t="shared" si="38"/>
        <v>Finland-HARDFORD AB</v>
      </c>
      <c r="O147" s="68" t="str">
        <f t="shared" si="42"/>
        <v>Finland
ct</v>
      </c>
      <c r="P147" s="53" t="b">
        <f t="shared" si="39"/>
        <v>0</v>
      </c>
      <c r="Q147" s="53"/>
      <c r="R147" s="53" t="str">
        <f t="shared" si="40"/>
        <v>CT</v>
      </c>
      <c r="S147" s="53" t="str">
        <f t="shared" si="41"/>
        <v>ct</v>
      </c>
      <c r="T147" s="53">
        <f t="shared" si="43"/>
        <v>2</v>
      </c>
      <c r="U147" s="53" t="str">
        <f t="shared" si="44"/>
        <v>Finland</v>
      </c>
      <c r="V147" s="53" t="str">
        <f t="shared" si="45"/>
        <v>Paper</v>
      </c>
      <c r="W147" s="53" t="str">
        <f t="shared" si="46"/>
        <v xml:space="preserve"> AB</v>
      </c>
      <c r="X147" s="53" t="e">
        <f t="shared" si="47"/>
        <v>#VALUE!</v>
      </c>
      <c r="Y147" s="53"/>
      <c r="Z147" s="53"/>
      <c r="AA147" s="53"/>
    </row>
    <row r="148" spans="1:27" ht="30" x14ac:dyDescent="0.25">
      <c r="A148" s="79" t="s">
        <v>979</v>
      </c>
      <c r="B148" s="79" t="s">
        <v>3459</v>
      </c>
      <c r="C148" s="79" t="s">
        <v>3455</v>
      </c>
      <c r="D148" s="79" t="s">
        <v>1671</v>
      </c>
      <c r="E148" s="79" t="s">
        <v>1672</v>
      </c>
      <c r="F148" s="79" t="s">
        <v>13</v>
      </c>
      <c r="G148" s="79">
        <v>17</v>
      </c>
      <c r="H148" s="53">
        <f t="shared" si="32"/>
        <v>100</v>
      </c>
      <c r="I148" s="53">
        <f t="shared" si="33"/>
        <v>91</v>
      </c>
      <c r="J148" s="53">
        <f t="shared" si="34"/>
        <v>561.5</v>
      </c>
      <c r="K148" s="53">
        <f t="shared" si="37"/>
        <v>23</v>
      </c>
      <c r="L148" s="53" t="b">
        <f t="shared" si="35"/>
        <v>1</v>
      </c>
      <c r="M148" s="53" t="b">
        <f t="shared" si="36"/>
        <v>1</v>
      </c>
      <c r="N148" s="53" t="str">
        <f t="shared" si="38"/>
        <v>India-Indo Count Industries Ltd</v>
      </c>
      <c r="O148" s="68" t="str">
        <f t="shared" si="42"/>
        <v>India
ct</v>
      </c>
      <c r="P148" s="53" t="b">
        <f t="shared" si="39"/>
        <v>0</v>
      </c>
      <c r="Q148" s="53"/>
      <c r="R148" s="53" t="str">
        <f t="shared" si="40"/>
        <v>CT</v>
      </c>
      <c r="S148" s="53" t="str">
        <f t="shared" si="41"/>
        <v>ct</v>
      </c>
      <c r="T148" s="53">
        <f t="shared" si="43"/>
        <v>2</v>
      </c>
      <c r="U148" s="53" t="str">
        <f t="shared" si="44"/>
        <v>India</v>
      </c>
      <c r="V148" s="53" t="str">
        <f t="shared" si="45"/>
        <v>Paper</v>
      </c>
      <c r="W148" s="53" t="str">
        <f t="shared" si="46"/>
        <v>Ltd</v>
      </c>
      <c r="X148" s="53" t="e">
        <f t="shared" si="47"/>
        <v>#VALUE!</v>
      </c>
      <c r="Y148" s="53"/>
      <c r="Z148" s="53"/>
      <c r="AA148" s="53"/>
    </row>
    <row r="149" spans="1:27" ht="30" x14ac:dyDescent="0.25">
      <c r="A149" s="79" t="s">
        <v>489</v>
      </c>
      <c r="B149" s="79" t="s">
        <v>3460</v>
      </c>
      <c r="C149" s="79" t="s">
        <v>3455</v>
      </c>
      <c r="D149" s="79" t="s">
        <v>1659</v>
      </c>
      <c r="E149" s="79" t="s">
        <v>1660</v>
      </c>
      <c r="F149" s="79" t="s">
        <v>13</v>
      </c>
      <c r="G149" s="79">
        <v>21</v>
      </c>
      <c r="H149" s="53">
        <f t="shared" si="32"/>
        <v>51.5</v>
      </c>
      <c r="I149" s="53">
        <f t="shared" si="33"/>
        <v>50</v>
      </c>
      <c r="J149" s="53">
        <f t="shared" si="34"/>
        <v>484.25</v>
      </c>
      <c r="K149" s="53">
        <f t="shared" si="37"/>
        <v>12</v>
      </c>
      <c r="L149" s="53" t="b">
        <f t="shared" si="35"/>
        <v>0</v>
      </c>
      <c r="M149" s="53" t="b">
        <f t="shared" si="36"/>
        <v>1</v>
      </c>
      <c r="N149" s="53" t="str">
        <f t="shared" si="38"/>
        <v>poland-CHROMADURLIN S.A.S</v>
      </c>
      <c r="O149" s="68" t="str">
        <f t="shared" si="42"/>
        <v>poland
ct</v>
      </c>
      <c r="P149" s="53" t="b">
        <f t="shared" si="39"/>
        <v>0</v>
      </c>
      <c r="Q149" s="53"/>
      <c r="R149" s="53" t="str">
        <f t="shared" si="40"/>
        <v>CT</v>
      </c>
      <c r="S149" s="53" t="str">
        <f t="shared" si="41"/>
        <v>ct</v>
      </c>
      <c r="T149" s="53">
        <f t="shared" si="43"/>
        <v>2</v>
      </c>
      <c r="U149" s="53" t="str">
        <f t="shared" si="44"/>
        <v>poland</v>
      </c>
      <c r="V149" s="53" t="str">
        <f t="shared" si="45"/>
        <v>Paper</v>
      </c>
      <c r="W149" s="53" t="str">
        <f t="shared" si="46"/>
        <v>A.S</v>
      </c>
      <c r="X149" s="53" t="e">
        <f t="shared" si="47"/>
        <v>#VALUE!</v>
      </c>
      <c r="Y149" s="53"/>
      <c r="Z149" s="53"/>
      <c r="AA149" s="53"/>
    </row>
    <row r="150" spans="1:27" ht="30" x14ac:dyDescent="0.25">
      <c r="A150" s="79" t="s">
        <v>1879</v>
      </c>
      <c r="B150" s="79" t="s">
        <v>3461</v>
      </c>
      <c r="C150" s="79" t="s">
        <v>3462</v>
      </c>
      <c r="D150" s="79" t="s">
        <v>1680</v>
      </c>
      <c r="E150" s="79" t="s">
        <v>1681</v>
      </c>
      <c r="F150" s="79" t="s">
        <v>13</v>
      </c>
      <c r="G150" s="79">
        <v>15</v>
      </c>
      <c r="H150" s="53">
        <f t="shared" si="32"/>
        <v>160.5</v>
      </c>
      <c r="I150" s="53">
        <f t="shared" si="33"/>
        <v>147</v>
      </c>
      <c r="J150" s="53">
        <f t="shared" si="34"/>
        <v>264</v>
      </c>
      <c r="K150" s="53">
        <f t="shared" si="37"/>
        <v>6</v>
      </c>
      <c r="L150" s="53" t="b">
        <f t="shared" si="35"/>
        <v>1</v>
      </c>
      <c r="M150" s="53" t="b">
        <f t="shared" si="36"/>
        <v>1</v>
      </c>
      <c r="N150" s="53" t="str">
        <f t="shared" si="38"/>
        <v>China-CHERRY GROUP CO.,LTD</v>
      </c>
      <c r="O150" s="68" t="str">
        <f t="shared" si="42"/>
        <v>China
ct</v>
      </c>
      <c r="P150" s="53" t="b">
        <f t="shared" si="39"/>
        <v>0</v>
      </c>
      <c r="Q150" s="53"/>
      <c r="R150" s="53" t="str">
        <f t="shared" si="40"/>
        <v>CT</v>
      </c>
      <c r="S150" s="53" t="str">
        <f t="shared" si="41"/>
        <v>ct</v>
      </c>
      <c r="T150" s="53">
        <f t="shared" si="43"/>
        <v>2</v>
      </c>
      <c r="U150" s="53" t="str">
        <f t="shared" si="44"/>
        <v>China</v>
      </c>
      <c r="V150" s="53" t="str">
        <f t="shared" si="45"/>
        <v>Plast</v>
      </c>
      <c r="W150" s="53" t="str">
        <f t="shared" si="46"/>
        <v>LTD</v>
      </c>
      <c r="X150" s="53" t="e">
        <f t="shared" si="47"/>
        <v>#VALUE!</v>
      </c>
      <c r="Y150" s="53"/>
      <c r="Z150" s="53"/>
      <c r="AA150" s="53"/>
    </row>
    <row r="151" spans="1:27" ht="30" x14ac:dyDescent="0.25">
      <c r="A151" s="79" t="s">
        <v>1477</v>
      </c>
      <c r="B151" s="79" t="s">
        <v>3463</v>
      </c>
      <c r="C151" s="79" t="s">
        <v>3462</v>
      </c>
      <c r="D151" s="79" t="s">
        <v>1676</v>
      </c>
      <c r="E151" s="79" t="s">
        <v>1677</v>
      </c>
      <c r="F151" s="79" t="s">
        <v>13</v>
      </c>
      <c r="G151" s="79">
        <v>15</v>
      </c>
      <c r="H151" s="53">
        <f t="shared" si="32"/>
        <v>160.5</v>
      </c>
      <c r="I151" s="53">
        <f t="shared" si="33"/>
        <v>147</v>
      </c>
      <c r="J151" s="53">
        <f t="shared" si="34"/>
        <v>485.5</v>
      </c>
      <c r="K151" s="53">
        <f t="shared" si="37"/>
        <v>16</v>
      </c>
      <c r="L151" s="53" t="b">
        <f t="shared" si="35"/>
        <v>1</v>
      </c>
      <c r="M151" s="53" t="b">
        <f t="shared" si="36"/>
        <v>1</v>
      </c>
      <c r="N151" s="53" t="str">
        <f t="shared" si="38"/>
        <v>Germany-Friedola 1888 GmbH</v>
      </c>
      <c r="O151" s="68" t="str">
        <f t="shared" si="42"/>
        <v>Germany
ct</v>
      </c>
      <c r="P151" s="53" t="b">
        <f t="shared" si="39"/>
        <v>0</v>
      </c>
      <c r="Q151" s="53"/>
      <c r="R151" s="53" t="str">
        <f t="shared" si="40"/>
        <v>CT</v>
      </c>
      <c r="S151" s="53" t="str">
        <f t="shared" si="41"/>
        <v>ct</v>
      </c>
      <c r="T151" s="53">
        <f t="shared" si="43"/>
        <v>2</v>
      </c>
      <c r="U151" s="53" t="str">
        <f t="shared" si="44"/>
        <v>Gormany</v>
      </c>
      <c r="V151" s="53" t="str">
        <f t="shared" si="45"/>
        <v>Plast</v>
      </c>
      <c r="W151" s="53" t="str">
        <f t="shared" si="46"/>
        <v>mbH</v>
      </c>
      <c r="X151" s="53" t="e">
        <f t="shared" si="47"/>
        <v>#VALUE!</v>
      </c>
      <c r="Y151" s="53"/>
      <c r="Z151" s="53"/>
      <c r="AA151" s="53"/>
    </row>
    <row r="152" spans="1:27" ht="30" x14ac:dyDescent="0.25">
      <c r="A152" s="79" t="s">
        <v>1372</v>
      </c>
      <c r="B152" s="79" t="s">
        <v>3464</v>
      </c>
      <c r="C152" s="79" t="s">
        <v>3462</v>
      </c>
      <c r="D152" s="79" t="s">
        <v>1666</v>
      </c>
      <c r="E152" s="79" t="s">
        <v>1667</v>
      </c>
      <c r="F152" s="79" t="s">
        <v>13</v>
      </c>
      <c r="G152" s="79">
        <v>15</v>
      </c>
      <c r="H152" s="53">
        <f t="shared" si="32"/>
        <v>160.5</v>
      </c>
      <c r="I152" s="53">
        <f t="shared" si="33"/>
        <v>147</v>
      </c>
      <c r="J152" s="53">
        <f t="shared" si="34"/>
        <v>415.25</v>
      </c>
      <c r="K152" s="53">
        <f t="shared" si="37"/>
        <v>12</v>
      </c>
      <c r="L152" s="53" t="b">
        <f t="shared" si="35"/>
        <v>1</v>
      </c>
      <c r="M152" s="53" t="b">
        <f t="shared" si="36"/>
        <v>1</v>
      </c>
      <c r="N152" s="53" t="str">
        <f t="shared" si="38"/>
        <v>Finland-HARDFORD AB</v>
      </c>
      <c r="O152" s="68" t="str">
        <f t="shared" si="42"/>
        <v>Finland
ct</v>
      </c>
      <c r="P152" s="53" t="b">
        <f t="shared" si="39"/>
        <v>0</v>
      </c>
      <c r="Q152" s="53"/>
      <c r="R152" s="53" t="str">
        <f t="shared" si="40"/>
        <v>CT</v>
      </c>
      <c r="S152" s="53" t="str">
        <f t="shared" si="41"/>
        <v>ct</v>
      </c>
      <c r="T152" s="53">
        <f t="shared" si="43"/>
        <v>2</v>
      </c>
      <c r="U152" s="53" t="str">
        <f t="shared" si="44"/>
        <v>Finland</v>
      </c>
      <c r="V152" s="53" t="str">
        <f t="shared" si="45"/>
        <v>Plast</v>
      </c>
      <c r="W152" s="53" t="str">
        <f t="shared" si="46"/>
        <v xml:space="preserve"> AB</v>
      </c>
      <c r="X152" s="53" t="e">
        <f t="shared" si="47"/>
        <v>#VALUE!</v>
      </c>
      <c r="Y152" s="53"/>
      <c r="Z152" s="53"/>
      <c r="AA152" s="53"/>
    </row>
    <row r="153" spans="1:27" ht="30" x14ac:dyDescent="0.25">
      <c r="A153" s="79" t="s">
        <v>588</v>
      </c>
      <c r="B153" s="79" t="s">
        <v>3465</v>
      </c>
      <c r="C153" s="79" t="s">
        <v>3466</v>
      </c>
      <c r="D153" s="79" t="s">
        <v>1671</v>
      </c>
      <c r="E153" s="79" t="s">
        <v>1672</v>
      </c>
      <c r="F153" s="79" t="s">
        <v>106</v>
      </c>
      <c r="G153" s="79">
        <v>16</v>
      </c>
      <c r="H153" s="53">
        <f t="shared" si="32"/>
        <v>132.5</v>
      </c>
      <c r="I153" s="53">
        <f t="shared" si="33"/>
        <v>120</v>
      </c>
      <c r="J153" s="53">
        <f t="shared" si="34"/>
        <v>561.5</v>
      </c>
      <c r="K153" s="53">
        <f t="shared" si="37"/>
        <v>22</v>
      </c>
      <c r="L153" s="53" t="b">
        <f t="shared" si="35"/>
        <v>1</v>
      </c>
      <c r="M153" s="53" t="b">
        <f t="shared" si="36"/>
        <v>1</v>
      </c>
      <c r="N153" s="53" t="str">
        <f t="shared" si="38"/>
        <v>India-Indo Count Industries Ltd</v>
      </c>
      <c r="O153" s="68" t="str">
        <f t="shared" si="42"/>
        <v>India
bags</v>
      </c>
      <c r="P153" s="53" t="b">
        <f t="shared" si="39"/>
        <v>0</v>
      </c>
      <c r="Q153" s="53"/>
      <c r="R153" s="53" t="str">
        <f t="shared" si="40"/>
        <v>BAGS</v>
      </c>
      <c r="S153" s="53" t="str">
        <f t="shared" si="41"/>
        <v>bags</v>
      </c>
      <c r="T153" s="53">
        <f t="shared" si="43"/>
        <v>2</v>
      </c>
      <c r="U153" s="53" t="str">
        <f t="shared" si="44"/>
        <v>India</v>
      </c>
      <c r="V153" s="53" t="str">
        <f t="shared" si="45"/>
        <v>Baked</v>
      </c>
      <c r="W153" s="53" t="str">
        <f t="shared" si="46"/>
        <v>Ltd</v>
      </c>
      <c r="X153" s="53">
        <f t="shared" si="47"/>
        <v>2</v>
      </c>
      <c r="Y153" s="53"/>
      <c r="Z153" s="53"/>
      <c r="AA153" s="53"/>
    </row>
    <row r="154" spans="1:27" ht="30" x14ac:dyDescent="0.25">
      <c r="A154" s="79" t="s">
        <v>441</v>
      </c>
      <c r="B154" s="79" t="s">
        <v>3467</v>
      </c>
      <c r="C154" s="79" t="s">
        <v>3466</v>
      </c>
      <c r="D154" s="79" t="s">
        <v>1690</v>
      </c>
      <c r="E154" s="79" t="s">
        <v>1691</v>
      </c>
      <c r="F154" s="79" t="s">
        <v>106</v>
      </c>
      <c r="G154" s="79">
        <v>17</v>
      </c>
      <c r="H154" s="53">
        <f t="shared" si="32"/>
        <v>100</v>
      </c>
      <c r="I154" s="53">
        <f t="shared" si="33"/>
        <v>91</v>
      </c>
      <c r="J154" s="53">
        <f t="shared" si="34"/>
        <v>415</v>
      </c>
      <c r="K154" s="53">
        <f t="shared" si="37"/>
        <v>8</v>
      </c>
      <c r="L154" s="53" t="b">
        <f t="shared" si="35"/>
        <v>1</v>
      </c>
      <c r="M154" s="53" t="b">
        <f t="shared" si="36"/>
        <v>1</v>
      </c>
      <c r="N154" s="53" t="str">
        <f t="shared" si="38"/>
        <v>Cambodia-NINGBO SEDUNO IMP &amp; EXP CO.LTD</v>
      </c>
      <c r="O154" s="68" t="str">
        <f t="shared" si="42"/>
        <v>Cambodia
bags</v>
      </c>
      <c r="P154" s="53" t="b">
        <f t="shared" si="39"/>
        <v>0</v>
      </c>
      <c r="Q154" s="53"/>
      <c r="R154" s="53" t="str">
        <f t="shared" si="40"/>
        <v>BAGS</v>
      </c>
      <c r="S154" s="53" t="str">
        <f t="shared" si="41"/>
        <v>bags</v>
      </c>
      <c r="T154" s="53">
        <f t="shared" si="43"/>
        <v>2</v>
      </c>
      <c r="U154" s="53" t="str">
        <f t="shared" si="44"/>
        <v>Cambodia</v>
      </c>
      <c r="V154" s="53" t="str">
        <f t="shared" si="45"/>
        <v>Cheet</v>
      </c>
      <c r="W154" s="53" t="str">
        <f t="shared" si="46"/>
        <v>LTD</v>
      </c>
      <c r="X154" s="53">
        <f t="shared" si="47"/>
        <v>2</v>
      </c>
      <c r="Y154" s="53"/>
      <c r="Z154" s="53"/>
      <c r="AA154" s="53"/>
    </row>
    <row r="155" spans="1:27" ht="30" x14ac:dyDescent="0.25">
      <c r="A155" s="79" t="s">
        <v>1880</v>
      </c>
      <c r="B155" s="79" t="s">
        <v>3468</v>
      </c>
      <c r="C155" s="79" t="s">
        <v>3466</v>
      </c>
      <c r="D155" s="79" t="s">
        <v>1659</v>
      </c>
      <c r="E155" s="79" t="s">
        <v>1660</v>
      </c>
      <c r="F155" s="79" t="s">
        <v>106</v>
      </c>
      <c r="G155" s="79">
        <v>15</v>
      </c>
      <c r="H155" s="53">
        <f t="shared" si="32"/>
        <v>160.5</v>
      </c>
      <c r="I155" s="53">
        <f t="shared" si="33"/>
        <v>147</v>
      </c>
      <c r="J155" s="53">
        <f t="shared" si="34"/>
        <v>484.25</v>
      </c>
      <c r="K155" s="53">
        <f t="shared" si="37"/>
        <v>11</v>
      </c>
      <c r="L155" s="53" t="b">
        <f t="shared" si="35"/>
        <v>1</v>
      </c>
      <c r="M155" s="53" t="b">
        <f t="shared" si="36"/>
        <v>1</v>
      </c>
      <c r="N155" s="53" t="str">
        <f t="shared" si="38"/>
        <v>poland-CHROMADURLIN S.A.S</v>
      </c>
      <c r="O155" s="68" t="str">
        <f t="shared" si="42"/>
        <v>poland
bags</v>
      </c>
      <c r="P155" s="53" t="b">
        <f t="shared" si="39"/>
        <v>0</v>
      </c>
      <c r="Q155" s="53"/>
      <c r="R155" s="53" t="str">
        <f t="shared" si="40"/>
        <v>BAGS</v>
      </c>
      <c r="S155" s="53" t="str">
        <f t="shared" si="41"/>
        <v>bags</v>
      </c>
      <c r="T155" s="53">
        <f t="shared" si="43"/>
        <v>2</v>
      </c>
      <c r="U155" s="53" t="str">
        <f t="shared" si="44"/>
        <v>poland</v>
      </c>
      <c r="V155" s="53" t="str">
        <f t="shared" si="45"/>
        <v>Cheez</v>
      </c>
      <c r="W155" s="53" t="str">
        <f t="shared" si="46"/>
        <v>A.S</v>
      </c>
      <c r="X155" s="53">
        <f t="shared" si="47"/>
        <v>2</v>
      </c>
      <c r="Y155" s="53"/>
      <c r="Z155" s="53"/>
      <c r="AA155" s="53"/>
    </row>
    <row r="156" spans="1:27" ht="30" x14ac:dyDescent="0.25">
      <c r="A156" s="79" t="s">
        <v>128</v>
      </c>
      <c r="B156" s="79" t="s">
        <v>3469</v>
      </c>
      <c r="C156" s="79" t="s">
        <v>3466</v>
      </c>
      <c r="D156" s="79" t="s">
        <v>1671</v>
      </c>
      <c r="E156" s="79" t="s">
        <v>1672</v>
      </c>
      <c r="F156" s="79" t="s">
        <v>106</v>
      </c>
      <c r="G156" s="79">
        <v>15</v>
      </c>
      <c r="H156" s="53">
        <f t="shared" si="32"/>
        <v>160.5</v>
      </c>
      <c r="I156" s="53">
        <f t="shared" si="33"/>
        <v>147</v>
      </c>
      <c r="J156" s="53">
        <f t="shared" si="34"/>
        <v>561.5</v>
      </c>
      <c r="K156" s="53">
        <f t="shared" si="37"/>
        <v>21</v>
      </c>
      <c r="L156" s="53" t="b">
        <f t="shared" si="35"/>
        <v>1</v>
      </c>
      <c r="M156" s="53" t="b">
        <f t="shared" si="36"/>
        <v>1</v>
      </c>
      <c r="N156" s="53" t="str">
        <f t="shared" si="38"/>
        <v>India-Indo Count Industries Ltd</v>
      </c>
      <c r="O156" s="68" t="str">
        <f t="shared" si="42"/>
        <v>India
bags</v>
      </c>
      <c r="P156" s="53" t="b">
        <f t="shared" si="39"/>
        <v>0</v>
      </c>
      <c r="Q156" s="53"/>
      <c r="R156" s="53" t="str">
        <f t="shared" si="40"/>
        <v>BAGS</v>
      </c>
      <c r="S156" s="53" t="str">
        <f t="shared" si="41"/>
        <v>bags</v>
      </c>
      <c r="T156" s="53">
        <f t="shared" si="43"/>
        <v>2</v>
      </c>
      <c r="U156" s="53" t="str">
        <f t="shared" si="44"/>
        <v>India</v>
      </c>
      <c r="V156" s="53" t="str">
        <f t="shared" si="45"/>
        <v>Cheez</v>
      </c>
      <c r="W156" s="53" t="str">
        <f t="shared" si="46"/>
        <v>Ltd</v>
      </c>
      <c r="X156" s="53">
        <f t="shared" si="47"/>
        <v>2</v>
      </c>
      <c r="Y156" s="53"/>
      <c r="Z156" s="53"/>
      <c r="AA156" s="53"/>
    </row>
    <row r="157" spans="1:27" ht="30" x14ac:dyDescent="0.25">
      <c r="A157" s="79" t="s">
        <v>1428</v>
      </c>
      <c r="B157" s="79" t="s">
        <v>3470</v>
      </c>
      <c r="C157" s="79" t="s">
        <v>3466</v>
      </c>
      <c r="D157" s="79" t="s">
        <v>1666</v>
      </c>
      <c r="E157" s="79" t="s">
        <v>1667</v>
      </c>
      <c r="F157" s="79" t="s">
        <v>1072</v>
      </c>
      <c r="G157" s="79">
        <v>15</v>
      </c>
      <c r="H157" s="53">
        <f t="shared" si="32"/>
        <v>160.5</v>
      </c>
      <c r="I157" s="53">
        <f t="shared" si="33"/>
        <v>147</v>
      </c>
      <c r="J157" s="53">
        <f t="shared" si="34"/>
        <v>415.25</v>
      </c>
      <c r="K157" s="53">
        <f t="shared" si="37"/>
        <v>11</v>
      </c>
      <c r="L157" s="53" t="b">
        <f t="shared" si="35"/>
        <v>1</v>
      </c>
      <c r="M157" s="53" t="b">
        <f t="shared" si="36"/>
        <v>1</v>
      </c>
      <c r="N157" s="53" t="str">
        <f t="shared" si="38"/>
        <v>Finland-HARDFORD AB</v>
      </c>
      <c r="O157" s="68" t="str">
        <f t="shared" si="42"/>
        <v>Finland
Bags</v>
      </c>
      <c r="P157" s="53" t="b">
        <f t="shared" si="39"/>
        <v>0</v>
      </c>
      <c r="Q157" s="53"/>
      <c r="R157" s="53" t="str">
        <f t="shared" si="40"/>
        <v>BAGS</v>
      </c>
      <c r="S157" s="53" t="str">
        <f t="shared" si="41"/>
        <v>bags</v>
      </c>
      <c r="T157" s="53">
        <f t="shared" si="43"/>
        <v>2</v>
      </c>
      <c r="U157" s="53" t="str">
        <f t="shared" si="44"/>
        <v>Finland</v>
      </c>
      <c r="V157" s="53" t="str">
        <f t="shared" si="45"/>
        <v xml:space="preserve">Chex </v>
      </c>
      <c r="W157" s="53" t="str">
        <f t="shared" si="46"/>
        <v xml:space="preserve"> AB</v>
      </c>
      <c r="X157" s="53">
        <f t="shared" si="47"/>
        <v>2</v>
      </c>
      <c r="Y157" s="53"/>
      <c r="Z157" s="53"/>
      <c r="AA157" s="53"/>
    </row>
    <row r="158" spans="1:27" ht="30" x14ac:dyDescent="0.25">
      <c r="A158" s="79" t="s">
        <v>119</v>
      </c>
      <c r="B158" s="79" t="s">
        <v>3471</v>
      </c>
      <c r="C158" s="79" t="s">
        <v>3466</v>
      </c>
      <c r="D158" s="79" t="s">
        <v>1671</v>
      </c>
      <c r="E158" s="79" t="s">
        <v>1672</v>
      </c>
      <c r="F158" s="79" t="s">
        <v>106</v>
      </c>
      <c r="G158" s="79">
        <v>17</v>
      </c>
      <c r="H158" s="53">
        <f t="shared" si="32"/>
        <v>100</v>
      </c>
      <c r="I158" s="53">
        <f t="shared" si="33"/>
        <v>91</v>
      </c>
      <c r="J158" s="53">
        <f t="shared" si="34"/>
        <v>561.5</v>
      </c>
      <c r="K158" s="53">
        <f t="shared" si="37"/>
        <v>20</v>
      </c>
      <c r="L158" s="53" t="b">
        <f t="shared" si="35"/>
        <v>1</v>
      </c>
      <c r="M158" s="53" t="b">
        <f t="shared" si="36"/>
        <v>1</v>
      </c>
      <c r="N158" s="53" t="str">
        <f t="shared" si="38"/>
        <v>India-Indo Count Industries Ltd</v>
      </c>
      <c r="O158" s="68" t="str">
        <f t="shared" si="42"/>
        <v>India
bags</v>
      </c>
      <c r="P158" s="53" t="b">
        <f t="shared" si="39"/>
        <v>0</v>
      </c>
      <c r="Q158" s="53"/>
      <c r="R158" s="53" t="str">
        <f t="shared" si="40"/>
        <v>BAGS</v>
      </c>
      <c r="S158" s="53" t="str">
        <f t="shared" si="41"/>
        <v>bags</v>
      </c>
      <c r="T158" s="53">
        <f t="shared" si="43"/>
        <v>2</v>
      </c>
      <c r="U158" s="53" t="str">
        <f t="shared" si="44"/>
        <v>India</v>
      </c>
      <c r="V158" s="53" t="str">
        <f t="shared" si="45"/>
        <v>Dorit</v>
      </c>
      <c r="W158" s="53" t="str">
        <f t="shared" si="46"/>
        <v>Ltd</v>
      </c>
      <c r="X158" s="53">
        <f t="shared" si="47"/>
        <v>2</v>
      </c>
      <c r="Y158" s="53"/>
      <c r="Z158" s="53"/>
      <c r="AA158" s="53"/>
    </row>
    <row r="159" spans="1:27" ht="30" x14ac:dyDescent="0.25">
      <c r="A159" s="79" t="s">
        <v>259</v>
      </c>
      <c r="B159" s="79" t="s">
        <v>3472</v>
      </c>
      <c r="C159" s="79" t="s">
        <v>3466</v>
      </c>
      <c r="D159" s="79" t="s">
        <v>1662</v>
      </c>
      <c r="E159" s="79" t="s">
        <v>1663</v>
      </c>
      <c r="F159" s="79" t="s">
        <v>106</v>
      </c>
      <c r="G159" s="79">
        <v>17</v>
      </c>
      <c r="H159" s="53">
        <f t="shared" si="32"/>
        <v>100</v>
      </c>
      <c r="I159" s="53">
        <f t="shared" si="33"/>
        <v>91</v>
      </c>
      <c r="J159" s="53">
        <f t="shared" si="34"/>
        <v>587.25</v>
      </c>
      <c r="K159" s="53">
        <f t="shared" si="37"/>
        <v>17</v>
      </c>
      <c r="L159" s="53" t="b">
        <f t="shared" si="35"/>
        <v>1</v>
      </c>
      <c r="M159" s="53" t="b">
        <f t="shared" si="36"/>
        <v>1</v>
      </c>
      <c r="N159" s="53" t="str">
        <f t="shared" si="38"/>
        <v>Bangladesh-DENIMACH LTD</v>
      </c>
      <c r="O159" s="68" t="str">
        <f t="shared" si="42"/>
        <v>Bangladesh
bags</v>
      </c>
      <c r="P159" s="53" t="b">
        <f t="shared" si="39"/>
        <v>0</v>
      </c>
      <c r="Q159" s="53"/>
      <c r="R159" s="53" t="str">
        <f t="shared" si="40"/>
        <v>BAGS</v>
      </c>
      <c r="S159" s="53" t="str">
        <f t="shared" si="41"/>
        <v>bags</v>
      </c>
      <c r="T159" s="53">
        <f t="shared" si="43"/>
        <v>2</v>
      </c>
      <c r="U159" s="53" t="str">
        <f t="shared" si="44"/>
        <v>Bangladosh</v>
      </c>
      <c r="V159" s="53" t="str">
        <f t="shared" si="45"/>
        <v>Flami</v>
      </c>
      <c r="W159" s="53" t="str">
        <f t="shared" si="46"/>
        <v>LTD</v>
      </c>
      <c r="X159" s="53">
        <f t="shared" si="47"/>
        <v>2</v>
      </c>
      <c r="Y159" s="53"/>
      <c r="Z159" s="53"/>
      <c r="AA159" s="53"/>
    </row>
    <row r="160" spans="1:27" ht="30" x14ac:dyDescent="0.25">
      <c r="A160" s="79" t="s">
        <v>1881</v>
      </c>
      <c r="B160" s="79" t="s">
        <v>3473</v>
      </c>
      <c r="C160" s="79" t="s">
        <v>3466</v>
      </c>
      <c r="D160" s="79" t="s">
        <v>1666</v>
      </c>
      <c r="E160" s="79" t="s">
        <v>1667</v>
      </c>
      <c r="F160" s="79" t="s">
        <v>106</v>
      </c>
      <c r="G160" s="79">
        <v>17</v>
      </c>
      <c r="H160" s="53">
        <f t="shared" si="32"/>
        <v>100</v>
      </c>
      <c r="I160" s="53">
        <f t="shared" si="33"/>
        <v>91</v>
      </c>
      <c r="J160" s="53">
        <f t="shared" si="34"/>
        <v>415.25</v>
      </c>
      <c r="K160" s="53">
        <f t="shared" si="37"/>
        <v>10</v>
      </c>
      <c r="L160" s="53" t="b">
        <f t="shared" si="35"/>
        <v>1</v>
      </c>
      <c r="M160" s="53" t="b">
        <f t="shared" si="36"/>
        <v>1</v>
      </c>
      <c r="N160" s="53" t="str">
        <f t="shared" si="38"/>
        <v>Finland-HARDFORD AB</v>
      </c>
      <c r="O160" s="68" t="str">
        <f t="shared" si="42"/>
        <v>Finland
bags</v>
      </c>
      <c r="P160" s="53" t="b">
        <f t="shared" si="39"/>
        <v>0</v>
      </c>
      <c r="Q160" s="53"/>
      <c r="R160" s="53" t="str">
        <f t="shared" si="40"/>
        <v>BAGS</v>
      </c>
      <c r="S160" s="53" t="str">
        <f t="shared" si="41"/>
        <v>bags</v>
      </c>
      <c r="T160" s="53">
        <f t="shared" si="43"/>
        <v>2</v>
      </c>
      <c r="U160" s="53" t="str">
        <f t="shared" si="44"/>
        <v>Finland</v>
      </c>
      <c r="V160" s="53" t="str">
        <f t="shared" si="45"/>
        <v>Frito</v>
      </c>
      <c r="W160" s="53" t="str">
        <f t="shared" si="46"/>
        <v xml:space="preserve"> AB</v>
      </c>
      <c r="X160" s="53">
        <f t="shared" si="47"/>
        <v>2</v>
      </c>
      <c r="Y160" s="53"/>
      <c r="Z160" s="53"/>
      <c r="AA160" s="53"/>
    </row>
    <row r="161" spans="1:27" ht="30" x14ac:dyDescent="0.25">
      <c r="A161" s="79" t="s">
        <v>1420</v>
      </c>
      <c r="B161" s="79" t="s">
        <v>3474</v>
      </c>
      <c r="C161" s="79" t="s">
        <v>3466</v>
      </c>
      <c r="D161" s="79" t="s">
        <v>1669</v>
      </c>
      <c r="E161" s="79" t="s">
        <v>1670</v>
      </c>
      <c r="F161" s="79"/>
      <c r="G161" s="79">
        <v>17</v>
      </c>
      <c r="H161" s="53">
        <f t="shared" si="32"/>
        <v>100</v>
      </c>
      <c r="I161" s="53">
        <f t="shared" si="33"/>
        <v>91</v>
      </c>
      <c r="J161" s="53">
        <f t="shared" si="34"/>
        <v>514.5</v>
      </c>
      <c r="K161" s="53">
        <f t="shared" si="37"/>
        <v>11</v>
      </c>
      <c r="L161" s="53" t="b">
        <f t="shared" si="35"/>
        <v>1</v>
      </c>
      <c r="M161" s="53" t="b">
        <f t="shared" si="36"/>
        <v>1</v>
      </c>
      <c r="N161" s="53" t="str">
        <f t="shared" si="38"/>
        <v>Lithuania-BIGSO AB</v>
      </c>
      <c r="O161" s="68" t="str">
        <f t="shared" si="42"/>
        <v xml:space="preserve">Lithuania
</v>
      </c>
      <c r="P161" s="53" t="b">
        <f t="shared" si="39"/>
        <v>0</v>
      </c>
      <c r="Q161" s="53"/>
      <c r="R161" s="53" t="str">
        <f t="shared" si="40"/>
        <v/>
      </c>
      <c r="S161" s="53" t="str">
        <f t="shared" si="41"/>
        <v/>
      </c>
      <c r="T161" s="53">
        <f t="shared" si="43"/>
        <v>2</v>
      </c>
      <c r="U161" s="53" t="str">
        <f t="shared" si="44"/>
        <v>Lithuania</v>
      </c>
      <c r="V161" s="53" t="str">
        <f t="shared" si="45"/>
        <v>Frito</v>
      </c>
      <c r="W161" s="53" t="str">
        <f t="shared" si="46"/>
        <v xml:space="preserve"> AB</v>
      </c>
      <c r="X161" s="53" t="e">
        <f t="shared" si="47"/>
        <v>#VALUE!</v>
      </c>
      <c r="Y161" s="53"/>
      <c r="Z161" s="53"/>
      <c r="AA161" s="53"/>
    </row>
    <row r="162" spans="1:27" ht="30" x14ac:dyDescent="0.25">
      <c r="A162" s="79" t="s">
        <v>949</v>
      </c>
      <c r="B162" s="79" t="s">
        <v>3475</v>
      </c>
      <c r="C162" s="79" t="s">
        <v>3466</v>
      </c>
      <c r="D162" s="79" t="s">
        <v>1662</v>
      </c>
      <c r="E162" s="79" t="s">
        <v>1663</v>
      </c>
      <c r="F162" s="79" t="s">
        <v>106</v>
      </c>
      <c r="G162" s="79">
        <v>17</v>
      </c>
      <c r="H162" s="53">
        <f t="shared" si="32"/>
        <v>100</v>
      </c>
      <c r="I162" s="53">
        <f t="shared" si="33"/>
        <v>91</v>
      </c>
      <c r="J162" s="53">
        <f t="shared" si="34"/>
        <v>587.25</v>
      </c>
      <c r="K162" s="53">
        <f t="shared" si="37"/>
        <v>16</v>
      </c>
      <c r="L162" s="53" t="b">
        <f t="shared" si="35"/>
        <v>1</v>
      </c>
      <c r="M162" s="53" t="b">
        <f t="shared" si="36"/>
        <v>1</v>
      </c>
      <c r="N162" s="53" t="str">
        <f t="shared" si="38"/>
        <v>Bangladesh-DENIMACH LTD</v>
      </c>
      <c r="O162" s="68" t="str">
        <f t="shared" si="42"/>
        <v>Bangladesh
bags</v>
      </c>
      <c r="P162" s="53" t="b">
        <f t="shared" si="39"/>
        <v>0</v>
      </c>
      <c r="Q162" s="53"/>
      <c r="R162" s="53" t="str">
        <f t="shared" si="40"/>
        <v>BAGS</v>
      </c>
      <c r="S162" s="53" t="str">
        <f t="shared" si="41"/>
        <v>bags</v>
      </c>
      <c r="T162" s="53">
        <f t="shared" si="43"/>
        <v>2</v>
      </c>
      <c r="U162" s="53" t="str">
        <f t="shared" si="44"/>
        <v>Bangladosh</v>
      </c>
      <c r="V162" s="53" t="str">
        <f t="shared" si="45"/>
        <v>Frito</v>
      </c>
      <c r="W162" s="53" t="str">
        <f t="shared" si="46"/>
        <v>LTD</v>
      </c>
      <c r="X162" s="53">
        <f t="shared" si="47"/>
        <v>2</v>
      </c>
      <c r="Y162" s="53"/>
      <c r="Z162" s="53"/>
      <c r="AA162" s="53"/>
    </row>
    <row r="163" spans="1:27" ht="30" x14ac:dyDescent="0.25">
      <c r="A163" s="79" t="s">
        <v>997</v>
      </c>
      <c r="B163" s="79" t="s">
        <v>3476</v>
      </c>
      <c r="C163" s="79" t="s">
        <v>3466</v>
      </c>
      <c r="D163" s="79" t="s">
        <v>1671</v>
      </c>
      <c r="E163" s="79" t="s">
        <v>1672</v>
      </c>
      <c r="F163" s="79" t="s">
        <v>106</v>
      </c>
      <c r="G163" s="79">
        <v>17</v>
      </c>
      <c r="H163" s="53">
        <f t="shared" si="32"/>
        <v>100</v>
      </c>
      <c r="I163" s="53">
        <f t="shared" si="33"/>
        <v>91</v>
      </c>
      <c r="J163" s="53">
        <f t="shared" si="34"/>
        <v>561.5</v>
      </c>
      <c r="K163" s="53">
        <f t="shared" si="37"/>
        <v>19</v>
      </c>
      <c r="L163" s="53" t="b">
        <f t="shared" si="35"/>
        <v>1</v>
      </c>
      <c r="M163" s="53" t="b">
        <f t="shared" si="36"/>
        <v>1</v>
      </c>
      <c r="N163" s="53" t="str">
        <f t="shared" si="38"/>
        <v>India-Indo Count Industries Ltd</v>
      </c>
      <c r="O163" s="68" t="str">
        <f t="shared" si="42"/>
        <v>India
bags</v>
      </c>
      <c r="P163" s="53" t="b">
        <f t="shared" si="39"/>
        <v>0</v>
      </c>
      <c r="Q163" s="53"/>
      <c r="R163" s="53" t="str">
        <f t="shared" si="40"/>
        <v>BAGS</v>
      </c>
      <c r="S163" s="53" t="str">
        <f t="shared" si="41"/>
        <v>bags</v>
      </c>
      <c r="T163" s="53">
        <f t="shared" si="43"/>
        <v>2</v>
      </c>
      <c r="U163" s="53" t="str">
        <f t="shared" si="44"/>
        <v>India</v>
      </c>
      <c r="V163" s="53" t="str">
        <f t="shared" si="45"/>
        <v>Frito</v>
      </c>
      <c r="W163" s="53" t="str">
        <f t="shared" si="46"/>
        <v>Ltd</v>
      </c>
      <c r="X163" s="53">
        <f t="shared" si="47"/>
        <v>2</v>
      </c>
      <c r="Y163" s="53"/>
      <c r="Z163" s="53"/>
      <c r="AA163" s="53"/>
    </row>
    <row r="164" spans="1:27" ht="30" x14ac:dyDescent="0.25">
      <c r="A164" s="79" t="s">
        <v>3277</v>
      </c>
      <c r="B164" s="79" t="s">
        <v>3477</v>
      </c>
      <c r="C164" s="79" t="s">
        <v>3466</v>
      </c>
      <c r="D164" s="79" t="s">
        <v>1676</v>
      </c>
      <c r="E164" s="79" t="s">
        <v>1677</v>
      </c>
      <c r="F164" s="79" t="s">
        <v>1072</v>
      </c>
      <c r="G164" s="79">
        <v>17</v>
      </c>
      <c r="H164" s="53">
        <f t="shared" si="32"/>
        <v>100</v>
      </c>
      <c r="I164" s="53">
        <f t="shared" si="33"/>
        <v>91</v>
      </c>
      <c r="J164" s="53">
        <f t="shared" si="34"/>
        <v>485.5</v>
      </c>
      <c r="K164" s="53">
        <f t="shared" si="37"/>
        <v>15</v>
      </c>
      <c r="L164" s="53" t="b">
        <f t="shared" si="35"/>
        <v>1</v>
      </c>
      <c r="M164" s="53" t="b">
        <f t="shared" si="36"/>
        <v>1</v>
      </c>
      <c r="N164" s="53" t="str">
        <f t="shared" si="38"/>
        <v>Germany-Friedola 1888 GmbH</v>
      </c>
      <c r="O164" s="68" t="str">
        <f t="shared" si="42"/>
        <v>Germany
Bags</v>
      </c>
      <c r="P164" s="53" t="b">
        <f t="shared" si="39"/>
        <v>0</v>
      </c>
      <c r="Q164" s="53"/>
      <c r="R164" s="53" t="str">
        <f t="shared" si="40"/>
        <v>BAGS</v>
      </c>
      <c r="S164" s="53" t="str">
        <f t="shared" si="41"/>
        <v>bags</v>
      </c>
      <c r="T164" s="53">
        <f t="shared" si="43"/>
        <v>2</v>
      </c>
      <c r="U164" s="53" t="str">
        <f t="shared" si="44"/>
        <v>Gormany</v>
      </c>
      <c r="V164" s="53" t="str">
        <f t="shared" si="45"/>
        <v>Frito</v>
      </c>
      <c r="W164" s="53" t="str">
        <f t="shared" si="46"/>
        <v>mbH</v>
      </c>
      <c r="X164" s="53">
        <f t="shared" si="47"/>
        <v>2</v>
      </c>
      <c r="Y164" s="53"/>
      <c r="Z164" s="53"/>
      <c r="AA164" s="53"/>
    </row>
    <row r="165" spans="1:27" ht="30" x14ac:dyDescent="0.25">
      <c r="A165" s="79" t="s">
        <v>1070</v>
      </c>
      <c r="B165" s="79" t="s">
        <v>3478</v>
      </c>
      <c r="C165" s="79" t="s">
        <v>3466</v>
      </c>
      <c r="D165" s="79" t="s">
        <v>1662</v>
      </c>
      <c r="E165" s="79" t="s">
        <v>1663</v>
      </c>
      <c r="F165" s="79" t="s">
        <v>1072</v>
      </c>
      <c r="G165" s="79">
        <v>16</v>
      </c>
      <c r="H165" s="53">
        <f t="shared" si="32"/>
        <v>132.5</v>
      </c>
      <c r="I165" s="53">
        <f t="shared" si="33"/>
        <v>120</v>
      </c>
      <c r="J165" s="53">
        <f t="shared" si="34"/>
        <v>587.25</v>
      </c>
      <c r="K165" s="53">
        <f t="shared" si="37"/>
        <v>15</v>
      </c>
      <c r="L165" s="53" t="b">
        <f t="shared" si="35"/>
        <v>1</v>
      </c>
      <c r="M165" s="53" t="b">
        <f t="shared" si="36"/>
        <v>1</v>
      </c>
      <c r="N165" s="53" t="str">
        <f t="shared" si="38"/>
        <v>Bangladesh-DENIMACH LTD</v>
      </c>
      <c r="O165" s="68" t="str">
        <f t="shared" si="42"/>
        <v>Bangladesh
Bags</v>
      </c>
      <c r="P165" s="53" t="b">
        <f t="shared" si="39"/>
        <v>0</v>
      </c>
      <c r="Q165" s="53"/>
      <c r="R165" s="53" t="str">
        <f t="shared" si="40"/>
        <v>BAGS</v>
      </c>
      <c r="S165" s="53" t="str">
        <f t="shared" si="41"/>
        <v>bags</v>
      </c>
      <c r="T165" s="53">
        <f t="shared" si="43"/>
        <v>2</v>
      </c>
      <c r="U165" s="53" t="str">
        <f t="shared" si="44"/>
        <v>Bangladosh</v>
      </c>
      <c r="V165" s="53" t="str">
        <f t="shared" si="45"/>
        <v>Garde</v>
      </c>
      <c r="W165" s="53" t="str">
        <f t="shared" si="46"/>
        <v>LTD</v>
      </c>
      <c r="X165" s="53">
        <f t="shared" si="47"/>
        <v>2</v>
      </c>
      <c r="Y165" s="53"/>
      <c r="Z165" s="53"/>
      <c r="AA165" s="53"/>
    </row>
    <row r="166" spans="1:27" ht="30" x14ac:dyDescent="0.25">
      <c r="A166" s="79" t="s">
        <v>104</v>
      </c>
      <c r="B166" s="79" t="s">
        <v>3479</v>
      </c>
      <c r="C166" s="79" t="s">
        <v>3466</v>
      </c>
      <c r="D166" s="79" t="s">
        <v>1659</v>
      </c>
      <c r="E166" s="79" t="s">
        <v>1660</v>
      </c>
      <c r="F166" s="79" t="s">
        <v>106</v>
      </c>
      <c r="G166" s="79">
        <v>15</v>
      </c>
      <c r="H166" s="53">
        <f t="shared" si="32"/>
        <v>160.5</v>
      </c>
      <c r="I166" s="53">
        <f t="shared" si="33"/>
        <v>147</v>
      </c>
      <c r="J166" s="53">
        <f t="shared" si="34"/>
        <v>484.25</v>
      </c>
      <c r="K166" s="53">
        <f t="shared" si="37"/>
        <v>10</v>
      </c>
      <c r="L166" s="53" t="b">
        <f t="shared" si="35"/>
        <v>1</v>
      </c>
      <c r="M166" s="53" t="b">
        <f t="shared" si="36"/>
        <v>1</v>
      </c>
      <c r="N166" s="53" t="str">
        <f t="shared" si="38"/>
        <v>poland-CHROMADURLIN S.A.S</v>
      </c>
      <c r="O166" s="68" t="str">
        <f t="shared" si="42"/>
        <v>poland
bags</v>
      </c>
      <c r="P166" s="53" t="b">
        <f t="shared" si="39"/>
        <v>0</v>
      </c>
      <c r="Q166" s="53"/>
      <c r="R166" s="53" t="str">
        <f t="shared" si="40"/>
        <v>BAGS</v>
      </c>
      <c r="S166" s="53" t="str">
        <f t="shared" si="41"/>
        <v>bags</v>
      </c>
      <c r="T166" s="53">
        <f t="shared" si="43"/>
        <v>2</v>
      </c>
      <c r="U166" s="53" t="str">
        <f t="shared" si="44"/>
        <v>poland</v>
      </c>
      <c r="V166" s="53" t="str">
        <f t="shared" si="45"/>
        <v>Goldf</v>
      </c>
      <c r="W166" s="53" t="str">
        <f t="shared" si="46"/>
        <v>A.S</v>
      </c>
      <c r="X166" s="53">
        <f t="shared" si="47"/>
        <v>2</v>
      </c>
      <c r="Y166" s="53"/>
      <c r="Z166" s="53"/>
      <c r="AA166" s="53"/>
    </row>
    <row r="167" spans="1:27" ht="30" x14ac:dyDescent="0.25">
      <c r="A167" s="79" t="s">
        <v>1139</v>
      </c>
      <c r="B167" s="79" t="s">
        <v>3480</v>
      </c>
      <c r="C167" s="79" t="s">
        <v>3466</v>
      </c>
      <c r="D167" s="79" t="s">
        <v>1676</v>
      </c>
      <c r="E167" s="79" t="s">
        <v>1677</v>
      </c>
      <c r="F167" s="79" t="s">
        <v>13</v>
      </c>
      <c r="G167" s="79">
        <v>16</v>
      </c>
      <c r="H167" s="53">
        <f t="shared" si="32"/>
        <v>132.5</v>
      </c>
      <c r="I167" s="53">
        <f t="shared" si="33"/>
        <v>120</v>
      </c>
      <c r="J167" s="53">
        <f t="shared" si="34"/>
        <v>485.5</v>
      </c>
      <c r="K167" s="53">
        <f t="shared" si="37"/>
        <v>14</v>
      </c>
      <c r="L167" s="53" t="b">
        <f t="shared" si="35"/>
        <v>1</v>
      </c>
      <c r="M167" s="53" t="b">
        <f t="shared" si="36"/>
        <v>1</v>
      </c>
      <c r="N167" s="53" t="str">
        <f t="shared" si="38"/>
        <v>Germany-Friedola 1888 GmbH</v>
      </c>
      <c r="O167" s="68" t="str">
        <f t="shared" si="42"/>
        <v>Germany
ct</v>
      </c>
      <c r="P167" s="53" t="b">
        <f t="shared" si="39"/>
        <v>0</v>
      </c>
      <c r="Q167" s="53"/>
      <c r="R167" s="53" t="str">
        <f t="shared" si="40"/>
        <v>CT</v>
      </c>
      <c r="S167" s="53" t="str">
        <f t="shared" si="41"/>
        <v>ct</v>
      </c>
      <c r="T167" s="53">
        <f t="shared" si="43"/>
        <v>2</v>
      </c>
      <c r="U167" s="53" t="str">
        <f t="shared" si="44"/>
        <v>Gormany</v>
      </c>
      <c r="V167" s="53" t="str">
        <f t="shared" si="45"/>
        <v>Goldf</v>
      </c>
      <c r="W167" s="53" t="str">
        <f t="shared" si="46"/>
        <v>mbH</v>
      </c>
      <c r="X167" s="53" t="e">
        <f t="shared" si="47"/>
        <v>#VALUE!</v>
      </c>
      <c r="Y167" s="53"/>
      <c r="Z167" s="53"/>
      <c r="AA167" s="53"/>
    </row>
    <row r="168" spans="1:27" ht="30" x14ac:dyDescent="0.25">
      <c r="A168" s="79" t="s">
        <v>286</v>
      </c>
      <c r="B168" s="79" t="s">
        <v>3481</v>
      </c>
      <c r="C168" s="79" t="s">
        <v>3466</v>
      </c>
      <c r="D168" s="79" t="s">
        <v>1666</v>
      </c>
      <c r="E168" s="79" t="s">
        <v>1667</v>
      </c>
      <c r="F168" s="79" t="s">
        <v>106</v>
      </c>
      <c r="G168" s="79">
        <v>16</v>
      </c>
      <c r="H168" s="53">
        <f t="shared" si="32"/>
        <v>132.5</v>
      </c>
      <c r="I168" s="53">
        <f t="shared" si="33"/>
        <v>120</v>
      </c>
      <c r="J168" s="53">
        <f t="shared" si="34"/>
        <v>415.25</v>
      </c>
      <c r="K168" s="53">
        <f t="shared" si="37"/>
        <v>9</v>
      </c>
      <c r="L168" s="53" t="b">
        <f t="shared" si="35"/>
        <v>1</v>
      </c>
      <c r="M168" s="53" t="b">
        <f t="shared" si="36"/>
        <v>1</v>
      </c>
      <c r="N168" s="53" t="str">
        <f t="shared" si="38"/>
        <v>Finland-HARDFORD AB</v>
      </c>
      <c r="O168" s="68" t="str">
        <f t="shared" si="42"/>
        <v>Finland
bags</v>
      </c>
      <c r="P168" s="53" t="b">
        <f t="shared" si="39"/>
        <v>0</v>
      </c>
      <c r="Q168" s="53"/>
      <c r="R168" s="53" t="str">
        <f t="shared" si="40"/>
        <v>BAGS</v>
      </c>
      <c r="S168" s="53" t="str">
        <f t="shared" si="41"/>
        <v>bags</v>
      </c>
      <c r="T168" s="53">
        <f t="shared" si="43"/>
        <v>2</v>
      </c>
      <c r="U168" s="53" t="str">
        <f t="shared" si="44"/>
        <v>Finland</v>
      </c>
      <c r="V168" s="53" t="str">
        <f t="shared" si="45"/>
        <v xml:space="preserve">Miss </v>
      </c>
      <c r="W168" s="53" t="str">
        <f t="shared" si="46"/>
        <v xml:space="preserve"> AB</v>
      </c>
      <c r="X168" s="53">
        <f t="shared" si="47"/>
        <v>2</v>
      </c>
      <c r="Y168" s="53"/>
      <c r="Z168" s="53"/>
      <c r="AA168" s="53"/>
    </row>
    <row r="169" spans="1:27" ht="30" x14ac:dyDescent="0.25">
      <c r="A169" s="79" t="s">
        <v>793</v>
      </c>
      <c r="B169" s="79" t="s">
        <v>3482</v>
      </c>
      <c r="C169" s="79" t="s">
        <v>3466</v>
      </c>
      <c r="D169" s="79" t="s">
        <v>1683</v>
      </c>
      <c r="E169" s="79" t="s">
        <v>1684</v>
      </c>
      <c r="F169" s="79" t="s">
        <v>106</v>
      </c>
      <c r="G169" s="79">
        <v>17</v>
      </c>
      <c r="H169" s="53">
        <f t="shared" si="32"/>
        <v>100</v>
      </c>
      <c r="I169" s="53">
        <f t="shared" si="33"/>
        <v>91</v>
      </c>
      <c r="J169" s="53">
        <f t="shared" si="34"/>
        <v>432.25</v>
      </c>
      <c r="K169" s="53">
        <f t="shared" si="37"/>
        <v>9</v>
      </c>
      <c r="L169" s="53" t="b">
        <f t="shared" si="35"/>
        <v>1</v>
      </c>
      <c r="M169" s="53" t="b">
        <f t="shared" si="36"/>
        <v>1</v>
      </c>
      <c r="N169" s="53" t="str">
        <f t="shared" si="38"/>
        <v>United States-MAESA SAS</v>
      </c>
      <c r="O169" s="68" t="str">
        <f t="shared" si="42"/>
        <v>United States
bags</v>
      </c>
      <c r="P169" s="53" t="b">
        <f t="shared" si="39"/>
        <v>0</v>
      </c>
      <c r="Q169" s="53"/>
      <c r="R169" s="53" t="str">
        <f t="shared" si="40"/>
        <v>BAGS</v>
      </c>
      <c r="S169" s="53" t="str">
        <f t="shared" si="41"/>
        <v>bags</v>
      </c>
      <c r="T169" s="53">
        <f t="shared" si="43"/>
        <v>2</v>
      </c>
      <c r="U169" s="53" t="str">
        <f t="shared" si="44"/>
        <v>Unitod Statos</v>
      </c>
      <c r="V169" s="53" t="str">
        <f t="shared" si="45"/>
        <v>Pop C</v>
      </c>
      <c r="W169" s="53" t="str">
        <f t="shared" si="46"/>
        <v>SAS</v>
      </c>
      <c r="X169" s="53">
        <f t="shared" si="47"/>
        <v>2</v>
      </c>
      <c r="Y169" s="53"/>
      <c r="Z169" s="53"/>
      <c r="AA169" s="53"/>
    </row>
    <row r="170" spans="1:27" ht="30" x14ac:dyDescent="0.25">
      <c r="A170" s="79" t="s">
        <v>797</v>
      </c>
      <c r="B170" s="79" t="s">
        <v>3483</v>
      </c>
      <c r="C170" s="79" t="s">
        <v>3466</v>
      </c>
      <c r="D170" s="79" t="s">
        <v>1671</v>
      </c>
      <c r="E170" s="79" t="s">
        <v>1672</v>
      </c>
      <c r="F170" s="79" t="s">
        <v>13</v>
      </c>
      <c r="G170" s="79">
        <v>14</v>
      </c>
      <c r="H170" s="53">
        <f t="shared" si="32"/>
        <v>185</v>
      </c>
      <c r="I170" s="53">
        <f t="shared" si="33"/>
        <v>175</v>
      </c>
      <c r="J170" s="53">
        <f t="shared" si="34"/>
        <v>561.5</v>
      </c>
      <c r="K170" s="53">
        <f t="shared" si="37"/>
        <v>18</v>
      </c>
      <c r="L170" s="53" t="b">
        <f t="shared" si="35"/>
        <v>1</v>
      </c>
      <c r="M170" s="53" t="b">
        <f t="shared" si="36"/>
        <v>1</v>
      </c>
      <c r="N170" s="53" t="str">
        <f t="shared" si="38"/>
        <v>India-Indo Count Industries Ltd</v>
      </c>
      <c r="O170" s="68" t="str">
        <f t="shared" si="42"/>
        <v>India
ct</v>
      </c>
      <c r="P170" s="53" t="b">
        <f t="shared" si="39"/>
        <v>0</v>
      </c>
      <c r="Q170" s="53"/>
      <c r="R170" s="53" t="str">
        <f t="shared" si="40"/>
        <v>CT</v>
      </c>
      <c r="S170" s="53" t="str">
        <f t="shared" si="41"/>
        <v>ct</v>
      </c>
      <c r="T170" s="53">
        <f t="shared" si="43"/>
        <v>2</v>
      </c>
      <c r="U170" s="53" t="str">
        <f t="shared" si="44"/>
        <v>India</v>
      </c>
      <c r="V170" s="53" t="str">
        <f t="shared" si="45"/>
        <v>Pring</v>
      </c>
      <c r="W170" s="53" t="str">
        <f t="shared" si="46"/>
        <v>Ltd</v>
      </c>
      <c r="X170" s="53" t="e">
        <f t="shared" si="47"/>
        <v>#VALUE!</v>
      </c>
      <c r="Y170" s="53"/>
      <c r="Z170" s="53"/>
      <c r="AA170" s="53"/>
    </row>
    <row r="171" spans="1:27" ht="30" x14ac:dyDescent="0.25">
      <c r="A171" s="79" t="s">
        <v>1882</v>
      </c>
      <c r="B171" s="79" t="s">
        <v>3484</v>
      </c>
      <c r="C171" s="79" t="s">
        <v>3466</v>
      </c>
      <c r="D171" s="79" t="s">
        <v>1676</v>
      </c>
      <c r="E171" s="79" t="s">
        <v>1677</v>
      </c>
      <c r="F171" s="79" t="s">
        <v>13</v>
      </c>
      <c r="G171" s="79">
        <v>18</v>
      </c>
      <c r="H171" s="53">
        <f t="shared" si="32"/>
        <v>82.5</v>
      </c>
      <c r="I171" s="53">
        <f t="shared" si="33"/>
        <v>78</v>
      </c>
      <c r="J171" s="53">
        <f t="shared" si="34"/>
        <v>485.5</v>
      </c>
      <c r="K171" s="53">
        <f t="shared" si="37"/>
        <v>13</v>
      </c>
      <c r="L171" s="53" t="b">
        <f t="shared" si="35"/>
        <v>1</v>
      </c>
      <c r="M171" s="53" t="b">
        <f t="shared" si="36"/>
        <v>1</v>
      </c>
      <c r="N171" s="53" t="str">
        <f t="shared" si="38"/>
        <v>Germany-Friedola 1888 GmbH</v>
      </c>
      <c r="O171" s="68" t="str">
        <f t="shared" si="42"/>
        <v>Germany
ct</v>
      </c>
      <c r="P171" s="53" t="b">
        <f t="shared" si="39"/>
        <v>0</v>
      </c>
      <c r="Q171" s="53"/>
      <c r="R171" s="53" t="str">
        <f t="shared" si="40"/>
        <v>CT</v>
      </c>
      <c r="S171" s="53" t="str">
        <f t="shared" si="41"/>
        <v>ct</v>
      </c>
      <c r="T171" s="53">
        <f t="shared" si="43"/>
        <v>2</v>
      </c>
      <c r="U171" s="53" t="str">
        <f t="shared" si="44"/>
        <v>Gormany</v>
      </c>
      <c r="V171" s="53" t="str">
        <f t="shared" si="45"/>
        <v>Snyde</v>
      </c>
      <c r="W171" s="53" t="str">
        <f t="shared" si="46"/>
        <v>mbH</v>
      </c>
      <c r="X171" s="53" t="e">
        <f t="shared" si="47"/>
        <v>#VALUE!</v>
      </c>
      <c r="Y171" s="53"/>
      <c r="Z171" s="53"/>
      <c r="AA171" s="53"/>
    </row>
    <row r="172" spans="1:27" ht="30" x14ac:dyDescent="0.25">
      <c r="A172" s="79" t="s">
        <v>640</v>
      </c>
      <c r="B172" s="79" t="s">
        <v>3485</v>
      </c>
      <c r="C172" s="79" t="s">
        <v>3466</v>
      </c>
      <c r="D172" s="79" t="s">
        <v>1671</v>
      </c>
      <c r="E172" s="79" t="s">
        <v>1672</v>
      </c>
      <c r="F172" s="79" t="s">
        <v>13</v>
      </c>
      <c r="G172" s="79">
        <v>17</v>
      </c>
      <c r="H172" s="53">
        <f t="shared" si="32"/>
        <v>100</v>
      </c>
      <c r="I172" s="53">
        <f t="shared" si="33"/>
        <v>91</v>
      </c>
      <c r="J172" s="53">
        <f t="shared" si="34"/>
        <v>561.5</v>
      </c>
      <c r="K172" s="53">
        <f t="shared" si="37"/>
        <v>17</v>
      </c>
      <c r="L172" s="53" t="b">
        <f t="shared" si="35"/>
        <v>1</v>
      </c>
      <c r="M172" s="53" t="b">
        <f t="shared" si="36"/>
        <v>1</v>
      </c>
      <c r="N172" s="53" t="str">
        <f t="shared" si="38"/>
        <v>India-Indo Count Industries Ltd</v>
      </c>
      <c r="O172" s="68" t="str">
        <f t="shared" si="42"/>
        <v>India
ct</v>
      </c>
      <c r="P172" s="53" t="b">
        <f t="shared" si="39"/>
        <v>0</v>
      </c>
      <c r="Q172" s="53"/>
      <c r="R172" s="53" t="str">
        <f t="shared" si="40"/>
        <v>CT</v>
      </c>
      <c r="S172" s="53" t="str">
        <f t="shared" si="41"/>
        <v>ct</v>
      </c>
      <c r="T172" s="53">
        <f t="shared" si="43"/>
        <v>2</v>
      </c>
      <c r="U172" s="53" t="str">
        <f t="shared" si="44"/>
        <v>India</v>
      </c>
      <c r="V172" s="53" t="str">
        <f t="shared" si="45"/>
        <v>Sun C</v>
      </c>
      <c r="W172" s="53" t="str">
        <f t="shared" si="46"/>
        <v>Ltd</v>
      </c>
      <c r="X172" s="53" t="e">
        <f t="shared" si="47"/>
        <v>#VALUE!</v>
      </c>
      <c r="Y172" s="53"/>
      <c r="Z172" s="53"/>
      <c r="AA172" s="53"/>
    </row>
    <row r="173" spans="1:27" ht="30" x14ac:dyDescent="0.25">
      <c r="A173" s="79" t="s">
        <v>778</v>
      </c>
      <c r="B173" s="79" t="s">
        <v>3486</v>
      </c>
      <c r="C173" s="79" t="s">
        <v>3466</v>
      </c>
      <c r="D173" s="79" t="s">
        <v>1656</v>
      </c>
      <c r="E173" s="79" t="s">
        <v>1657</v>
      </c>
      <c r="F173" s="79" t="s">
        <v>269</v>
      </c>
      <c r="G173" s="79">
        <v>15</v>
      </c>
      <c r="H173" s="53">
        <f t="shared" si="32"/>
        <v>160.5</v>
      </c>
      <c r="I173" s="53">
        <f t="shared" si="33"/>
        <v>147</v>
      </c>
      <c r="J173" s="53">
        <f t="shared" si="34"/>
        <v>460</v>
      </c>
      <c r="K173" s="53">
        <f t="shared" si="37"/>
        <v>15</v>
      </c>
      <c r="L173" s="53" t="b">
        <f t="shared" si="35"/>
        <v>1</v>
      </c>
      <c r="M173" s="53" t="b">
        <f t="shared" si="36"/>
        <v>1</v>
      </c>
      <c r="N173" s="53" t="str">
        <f t="shared" si="38"/>
        <v>Netherlands-Bolsius Boxmeer</v>
      </c>
      <c r="O173" s="68" t="str">
        <f t="shared" si="42"/>
        <v>Netherlands
ct.</v>
      </c>
      <c r="P173" s="53" t="b">
        <f t="shared" si="39"/>
        <v>0</v>
      </c>
      <c r="Q173" s="53"/>
      <c r="R173" s="53" t="str">
        <f t="shared" si="40"/>
        <v>CT.</v>
      </c>
      <c r="S173" s="53" t="str">
        <f t="shared" si="41"/>
        <v>ct.</v>
      </c>
      <c r="T173" s="53">
        <f t="shared" si="43"/>
        <v>2</v>
      </c>
      <c r="U173" s="53" t="str">
        <f t="shared" si="44"/>
        <v>Nothorlands</v>
      </c>
      <c r="V173" s="53" t="str">
        <f t="shared" si="45"/>
        <v>Veggi</v>
      </c>
      <c r="W173" s="53" t="str">
        <f t="shared" si="46"/>
        <v>eer</v>
      </c>
      <c r="X173" s="53" t="e">
        <f t="shared" si="47"/>
        <v>#VALUE!</v>
      </c>
      <c r="Y173" s="53"/>
      <c r="Z173" s="53"/>
      <c r="AA173" s="53"/>
    </row>
    <row r="174" spans="1:27" ht="30" x14ac:dyDescent="0.25">
      <c r="A174" s="79" t="s">
        <v>741</v>
      </c>
      <c r="B174" s="79" t="s">
        <v>3487</v>
      </c>
      <c r="C174" s="79" t="s">
        <v>3488</v>
      </c>
      <c r="D174" s="79" t="s">
        <v>1666</v>
      </c>
      <c r="E174" s="79" t="s">
        <v>1667</v>
      </c>
      <c r="F174" s="79" t="s">
        <v>13</v>
      </c>
      <c r="G174" s="79">
        <v>16</v>
      </c>
      <c r="H174" s="53">
        <f t="shared" si="32"/>
        <v>132.5</v>
      </c>
      <c r="I174" s="53">
        <f t="shared" si="33"/>
        <v>120</v>
      </c>
      <c r="J174" s="53">
        <f t="shared" si="34"/>
        <v>415.25</v>
      </c>
      <c r="K174" s="53">
        <f t="shared" si="37"/>
        <v>8</v>
      </c>
      <c r="L174" s="53" t="b">
        <f t="shared" si="35"/>
        <v>1</v>
      </c>
      <c r="M174" s="53" t="b">
        <f t="shared" si="36"/>
        <v>1</v>
      </c>
      <c r="N174" s="53" t="str">
        <f t="shared" si="38"/>
        <v>Finland-HARDFORD AB</v>
      </c>
      <c r="O174" s="68" t="str">
        <f t="shared" si="42"/>
        <v>Finland
ct</v>
      </c>
      <c r="P174" s="53" t="b">
        <f t="shared" si="39"/>
        <v>0</v>
      </c>
      <c r="Q174" s="53"/>
      <c r="R174" s="53" t="str">
        <f t="shared" si="40"/>
        <v>CT</v>
      </c>
      <c r="S174" s="53" t="str">
        <f t="shared" si="41"/>
        <v>ct</v>
      </c>
      <c r="T174" s="53">
        <f t="shared" si="43"/>
        <v>2</v>
      </c>
      <c r="U174" s="53" t="str">
        <f t="shared" si="44"/>
        <v>Finland</v>
      </c>
      <c r="V174" s="53" t="str">
        <f t="shared" si="45"/>
        <v xml:space="preserve">Dark </v>
      </c>
      <c r="W174" s="53" t="str">
        <f t="shared" si="46"/>
        <v xml:space="preserve"> AB</v>
      </c>
      <c r="X174" s="53" t="e">
        <f t="shared" si="47"/>
        <v>#VALUE!</v>
      </c>
      <c r="Y174" s="53"/>
      <c r="Z174" s="53"/>
      <c r="AA174" s="53"/>
    </row>
    <row r="175" spans="1:27" ht="30" x14ac:dyDescent="0.25">
      <c r="A175" s="79" t="s">
        <v>1133</v>
      </c>
      <c r="B175" s="79" t="s">
        <v>3489</v>
      </c>
      <c r="C175" s="79" t="s">
        <v>3488</v>
      </c>
      <c r="D175" s="79" t="s">
        <v>1656</v>
      </c>
      <c r="E175" s="79" t="s">
        <v>1657</v>
      </c>
      <c r="F175" s="79" t="s">
        <v>167</v>
      </c>
      <c r="G175" s="79">
        <v>19</v>
      </c>
      <c r="H175" s="53">
        <f t="shared" si="32"/>
        <v>74</v>
      </c>
      <c r="I175" s="53">
        <f t="shared" si="33"/>
        <v>71</v>
      </c>
      <c r="J175" s="53">
        <f t="shared" si="34"/>
        <v>460</v>
      </c>
      <c r="K175" s="53">
        <f t="shared" si="37"/>
        <v>14</v>
      </c>
      <c r="L175" s="53" t="b">
        <f t="shared" si="35"/>
        <v>1</v>
      </c>
      <c r="M175" s="53" t="b">
        <f t="shared" si="36"/>
        <v>1</v>
      </c>
      <c r="N175" s="53" t="str">
        <f t="shared" si="38"/>
        <v>Netherlands-Bolsius Boxmeer</v>
      </c>
      <c r="O175" s="68" t="str">
        <f t="shared" si="42"/>
        <v>Netherlands
oz</v>
      </c>
      <c r="P175" s="53" t="b">
        <f t="shared" si="39"/>
        <v>0</v>
      </c>
      <c r="Q175" s="53"/>
      <c r="R175" s="53" t="str">
        <f t="shared" si="40"/>
        <v>OZ</v>
      </c>
      <c r="S175" s="53" t="str">
        <f t="shared" si="41"/>
        <v>oz</v>
      </c>
      <c r="T175" s="53">
        <f t="shared" si="43"/>
        <v>2</v>
      </c>
      <c r="U175" s="53" t="str">
        <f t="shared" si="44"/>
        <v>Nothorlands</v>
      </c>
      <c r="V175" s="53" t="str">
        <f t="shared" si="45"/>
        <v>Hersh</v>
      </c>
      <c r="W175" s="53" t="str">
        <f t="shared" si="46"/>
        <v>eer</v>
      </c>
      <c r="X175" s="53" t="e">
        <f t="shared" si="47"/>
        <v>#VALUE!</v>
      </c>
      <c r="Y175" s="53"/>
      <c r="Z175" s="53"/>
      <c r="AA175" s="53"/>
    </row>
    <row r="176" spans="1:27" ht="30" x14ac:dyDescent="0.25">
      <c r="A176" s="79" t="s">
        <v>3054</v>
      </c>
      <c r="B176" s="79" t="s">
        <v>3490</v>
      </c>
      <c r="C176" s="79" t="s">
        <v>3488</v>
      </c>
      <c r="D176" s="79" t="s">
        <v>1662</v>
      </c>
      <c r="E176" s="79" t="s">
        <v>1663</v>
      </c>
      <c r="F176" s="79" t="s">
        <v>13</v>
      </c>
      <c r="G176" s="79">
        <v>19</v>
      </c>
      <c r="H176" s="53">
        <f t="shared" si="32"/>
        <v>74</v>
      </c>
      <c r="I176" s="53">
        <f t="shared" si="33"/>
        <v>71</v>
      </c>
      <c r="J176" s="53">
        <f t="shared" si="34"/>
        <v>587.25</v>
      </c>
      <c r="K176" s="53">
        <f t="shared" si="37"/>
        <v>14</v>
      </c>
      <c r="L176" s="53" t="b">
        <f t="shared" si="35"/>
        <v>1</v>
      </c>
      <c r="M176" s="53" t="b">
        <f t="shared" si="36"/>
        <v>1</v>
      </c>
      <c r="N176" s="53" t="str">
        <f t="shared" si="38"/>
        <v>Bangladesh-DENIMACH LTD</v>
      </c>
      <c r="O176" s="68" t="str">
        <f t="shared" si="42"/>
        <v>Bangladesh
ct</v>
      </c>
      <c r="P176" s="53" t="b">
        <f t="shared" si="39"/>
        <v>0</v>
      </c>
      <c r="Q176" s="53"/>
      <c r="R176" s="53" t="str">
        <f t="shared" si="40"/>
        <v>CT</v>
      </c>
      <c r="S176" s="53" t="str">
        <f t="shared" si="41"/>
        <v>ct</v>
      </c>
      <c r="T176" s="53">
        <f t="shared" si="43"/>
        <v>2</v>
      </c>
      <c r="U176" s="53" t="str">
        <f t="shared" si="44"/>
        <v>Bangladosh</v>
      </c>
      <c r="V176" s="53" t="str">
        <f t="shared" si="45"/>
        <v>Hersh</v>
      </c>
      <c r="W176" s="53" t="str">
        <f t="shared" si="46"/>
        <v>LTD</v>
      </c>
      <c r="X176" s="53" t="e">
        <f t="shared" si="47"/>
        <v>#VALUE!</v>
      </c>
      <c r="Y176" s="53"/>
      <c r="Z176" s="53"/>
      <c r="AA176" s="53"/>
    </row>
    <row r="177" spans="1:27" ht="30" x14ac:dyDescent="0.25">
      <c r="A177" s="79" t="s">
        <v>1883</v>
      </c>
      <c r="B177" s="79" t="s">
        <v>3491</v>
      </c>
      <c r="C177" s="79" t="s">
        <v>3488</v>
      </c>
      <c r="D177" s="79" t="s">
        <v>1676</v>
      </c>
      <c r="E177" s="79" t="s">
        <v>1677</v>
      </c>
      <c r="F177" s="79" t="s">
        <v>167</v>
      </c>
      <c r="G177" s="79">
        <v>18</v>
      </c>
      <c r="H177" s="53">
        <f t="shared" si="32"/>
        <v>82.5</v>
      </c>
      <c r="I177" s="53">
        <f t="shared" si="33"/>
        <v>78</v>
      </c>
      <c r="J177" s="53">
        <f t="shared" si="34"/>
        <v>485.5</v>
      </c>
      <c r="K177" s="53">
        <f t="shared" si="37"/>
        <v>12</v>
      </c>
      <c r="L177" s="53" t="b">
        <f t="shared" si="35"/>
        <v>1</v>
      </c>
      <c r="M177" s="53" t="b">
        <f t="shared" si="36"/>
        <v>1</v>
      </c>
      <c r="N177" s="53" t="str">
        <f t="shared" si="38"/>
        <v>Germany-Friedola 1888 GmbH</v>
      </c>
      <c r="O177" s="68" t="str">
        <f t="shared" si="42"/>
        <v>Germany
oz</v>
      </c>
      <c r="P177" s="53" t="b">
        <f t="shared" si="39"/>
        <v>0</v>
      </c>
      <c r="Q177" s="53"/>
      <c r="R177" s="53" t="str">
        <f t="shared" si="40"/>
        <v>OZ</v>
      </c>
      <c r="S177" s="53" t="str">
        <f t="shared" si="41"/>
        <v>oz</v>
      </c>
      <c r="T177" s="53">
        <f t="shared" si="43"/>
        <v>2</v>
      </c>
      <c r="U177" s="53" t="str">
        <f t="shared" si="44"/>
        <v>Gormany</v>
      </c>
      <c r="V177" s="53" t="str">
        <f t="shared" si="45"/>
        <v>Hersh</v>
      </c>
      <c r="W177" s="53" t="str">
        <f t="shared" si="46"/>
        <v>mbH</v>
      </c>
      <c r="X177" s="53" t="e">
        <f t="shared" si="47"/>
        <v>#VALUE!</v>
      </c>
      <c r="Y177" s="53"/>
      <c r="Z177" s="53"/>
      <c r="AA177" s="53"/>
    </row>
    <row r="178" spans="1:27" ht="30" x14ac:dyDescent="0.25">
      <c r="A178" s="79" t="s">
        <v>3492</v>
      </c>
      <c r="B178" s="79" t="s">
        <v>3493</v>
      </c>
      <c r="C178" s="79" t="s">
        <v>3488</v>
      </c>
      <c r="D178" s="79" t="s">
        <v>1662</v>
      </c>
      <c r="E178" s="79" t="s">
        <v>1663</v>
      </c>
      <c r="F178" s="79" t="s">
        <v>167</v>
      </c>
      <c r="G178" s="79">
        <v>19</v>
      </c>
      <c r="H178" s="53">
        <f t="shared" si="32"/>
        <v>74</v>
      </c>
      <c r="I178" s="53">
        <f t="shared" si="33"/>
        <v>71</v>
      </c>
      <c r="J178" s="53">
        <f t="shared" si="34"/>
        <v>587.25</v>
      </c>
      <c r="K178" s="53">
        <f t="shared" si="37"/>
        <v>13</v>
      </c>
      <c r="L178" s="53" t="b">
        <f t="shared" si="35"/>
        <v>1</v>
      </c>
      <c r="M178" s="53" t="b">
        <f t="shared" si="36"/>
        <v>1</v>
      </c>
      <c r="N178" s="53" t="str">
        <f t="shared" si="38"/>
        <v>Bangladesh-DENIMACH LTD</v>
      </c>
      <c r="O178" s="68" t="str">
        <f t="shared" si="42"/>
        <v>Bangladesh
oz</v>
      </c>
      <c r="P178" s="53" t="b">
        <f t="shared" si="39"/>
        <v>0</v>
      </c>
      <c r="Q178" s="53"/>
      <c r="R178" s="53" t="str">
        <f t="shared" si="40"/>
        <v>OZ</v>
      </c>
      <c r="S178" s="53" t="str">
        <f t="shared" si="41"/>
        <v>oz</v>
      </c>
      <c r="T178" s="53">
        <f t="shared" si="43"/>
        <v>2</v>
      </c>
      <c r="U178" s="53" t="str">
        <f t="shared" si="44"/>
        <v>Bangladosh</v>
      </c>
      <c r="V178" s="53" t="str">
        <f t="shared" si="45"/>
        <v>Hersh</v>
      </c>
      <c r="W178" s="53" t="str">
        <f t="shared" si="46"/>
        <v>LTD</v>
      </c>
      <c r="X178" s="53" t="e">
        <f t="shared" si="47"/>
        <v>#VALUE!</v>
      </c>
      <c r="Y178" s="53"/>
      <c r="Z178" s="53"/>
      <c r="AA178" s="53"/>
    </row>
    <row r="179" spans="1:27" ht="30" x14ac:dyDescent="0.25">
      <c r="A179" s="79" t="s">
        <v>1646</v>
      </c>
      <c r="B179" s="79" t="s">
        <v>3494</v>
      </c>
      <c r="C179" s="79" t="s">
        <v>3488</v>
      </c>
      <c r="D179" s="79" t="s">
        <v>1690</v>
      </c>
      <c r="E179" s="79" t="s">
        <v>1691</v>
      </c>
      <c r="F179" s="79" t="s">
        <v>13</v>
      </c>
      <c r="G179" s="79">
        <v>19</v>
      </c>
      <c r="H179" s="53">
        <f t="shared" si="32"/>
        <v>74</v>
      </c>
      <c r="I179" s="53">
        <f t="shared" si="33"/>
        <v>71</v>
      </c>
      <c r="J179" s="53">
        <f t="shared" si="34"/>
        <v>415</v>
      </c>
      <c r="K179" s="53">
        <f t="shared" si="37"/>
        <v>7</v>
      </c>
      <c r="L179" s="53" t="b">
        <f t="shared" si="35"/>
        <v>1</v>
      </c>
      <c r="M179" s="53" t="b">
        <f t="shared" si="36"/>
        <v>1</v>
      </c>
      <c r="N179" s="53" t="str">
        <f t="shared" si="38"/>
        <v>Cambodia-NINGBO SEDUNO IMP &amp; EXP CO.LTD</v>
      </c>
      <c r="O179" s="68" t="str">
        <f t="shared" si="42"/>
        <v>Cambodia
ct</v>
      </c>
      <c r="P179" s="53" t="b">
        <f t="shared" si="39"/>
        <v>0</v>
      </c>
      <c r="Q179" s="53"/>
      <c r="R179" s="53" t="str">
        <f t="shared" si="40"/>
        <v>CT</v>
      </c>
      <c r="S179" s="53" t="str">
        <f t="shared" si="41"/>
        <v>ct</v>
      </c>
      <c r="T179" s="53">
        <f t="shared" si="43"/>
        <v>2</v>
      </c>
      <c r="U179" s="53" t="str">
        <f t="shared" si="44"/>
        <v>Cambodia</v>
      </c>
      <c r="V179" s="53" t="str">
        <f t="shared" si="45"/>
        <v>M&amp;M P</v>
      </c>
      <c r="W179" s="53" t="str">
        <f t="shared" si="46"/>
        <v>LTD</v>
      </c>
      <c r="X179" s="53" t="e">
        <f t="shared" si="47"/>
        <v>#VALUE!</v>
      </c>
      <c r="Y179" s="53"/>
      <c r="Z179" s="53"/>
      <c r="AA179" s="53"/>
    </row>
    <row r="180" spans="1:27" ht="30" x14ac:dyDescent="0.25">
      <c r="A180" s="79" t="s">
        <v>11</v>
      </c>
      <c r="B180" s="79" t="s">
        <v>3495</v>
      </c>
      <c r="C180" s="79" t="s">
        <v>3488</v>
      </c>
      <c r="D180" s="79" t="s">
        <v>1656</v>
      </c>
      <c r="E180" s="79" t="s">
        <v>1657</v>
      </c>
      <c r="F180" s="79" t="s">
        <v>13</v>
      </c>
      <c r="G180" s="79">
        <v>35</v>
      </c>
      <c r="H180" s="53">
        <f t="shared" si="32"/>
        <v>17.5</v>
      </c>
      <c r="I180" s="53">
        <f t="shared" si="33"/>
        <v>17</v>
      </c>
      <c r="J180" s="53">
        <f t="shared" si="34"/>
        <v>460</v>
      </c>
      <c r="K180" s="53">
        <f t="shared" si="37"/>
        <v>13</v>
      </c>
      <c r="L180" s="53" t="b">
        <f t="shared" si="35"/>
        <v>0</v>
      </c>
      <c r="M180" s="53" t="b">
        <f t="shared" si="36"/>
        <v>1</v>
      </c>
      <c r="N180" s="53" t="str">
        <f t="shared" si="38"/>
        <v>Netherlands-Bolsius Boxmeer</v>
      </c>
      <c r="O180" s="68" t="str">
        <f t="shared" si="42"/>
        <v>Netherlands
ct</v>
      </c>
      <c r="P180" s="53" t="b">
        <f t="shared" si="39"/>
        <v>0</v>
      </c>
      <c r="Q180" s="53"/>
      <c r="R180" s="53" t="str">
        <f t="shared" si="40"/>
        <v>CT</v>
      </c>
      <c r="S180" s="53" t="str">
        <f t="shared" si="41"/>
        <v>ct</v>
      </c>
      <c r="T180" s="53">
        <f t="shared" si="43"/>
        <v>2</v>
      </c>
      <c r="U180" s="53" t="str">
        <f t="shared" si="44"/>
        <v>Nothorlands</v>
      </c>
      <c r="V180" s="53" t="str">
        <f t="shared" si="45"/>
        <v>M&amp;M P</v>
      </c>
      <c r="W180" s="53" t="str">
        <f t="shared" si="46"/>
        <v>eer</v>
      </c>
      <c r="X180" s="53" t="e">
        <f t="shared" si="47"/>
        <v>#VALUE!</v>
      </c>
      <c r="Y180" s="53"/>
      <c r="Z180" s="53"/>
      <c r="AA180" s="53"/>
    </row>
    <row r="181" spans="1:27" ht="30" x14ac:dyDescent="0.25">
      <c r="A181" s="79" t="s">
        <v>1484</v>
      </c>
      <c r="B181" s="79" t="s">
        <v>3496</v>
      </c>
      <c r="C181" s="79" t="s">
        <v>3488</v>
      </c>
      <c r="D181" s="79" t="s">
        <v>1690</v>
      </c>
      <c r="E181" s="79" t="s">
        <v>1691</v>
      </c>
      <c r="F181" s="79" t="s">
        <v>13</v>
      </c>
      <c r="G181" s="79">
        <v>26</v>
      </c>
      <c r="H181" s="53">
        <f t="shared" si="32"/>
        <v>26.5</v>
      </c>
      <c r="I181" s="53">
        <f t="shared" si="33"/>
        <v>24</v>
      </c>
      <c r="J181" s="53">
        <f t="shared" si="34"/>
        <v>415</v>
      </c>
      <c r="K181" s="53">
        <f t="shared" si="37"/>
        <v>6</v>
      </c>
      <c r="L181" s="53" t="b">
        <f t="shared" si="35"/>
        <v>0</v>
      </c>
      <c r="M181" s="53" t="b">
        <f t="shared" si="36"/>
        <v>1</v>
      </c>
      <c r="N181" s="53" t="str">
        <f t="shared" si="38"/>
        <v>Cambodia-NINGBO SEDUNO IMP &amp; EXP CO.LTD</v>
      </c>
      <c r="O181" s="68" t="str">
        <f t="shared" si="42"/>
        <v>Cambodia
ct</v>
      </c>
      <c r="P181" s="53" t="b">
        <f t="shared" si="39"/>
        <v>0</v>
      </c>
      <c r="Q181" s="53"/>
      <c r="R181" s="53" t="str">
        <f t="shared" si="40"/>
        <v>CT</v>
      </c>
      <c r="S181" s="53" t="str">
        <f t="shared" si="41"/>
        <v>ct</v>
      </c>
      <c r="T181" s="53">
        <f t="shared" si="43"/>
        <v>2</v>
      </c>
      <c r="U181" s="53" t="str">
        <f t="shared" si="44"/>
        <v>Cambodia</v>
      </c>
      <c r="V181" s="53" t="str">
        <f t="shared" si="45"/>
        <v>M&amp;M V</v>
      </c>
      <c r="W181" s="53" t="str">
        <f t="shared" si="46"/>
        <v>LTD</v>
      </c>
      <c r="X181" s="53" t="e">
        <f t="shared" si="47"/>
        <v>#VALUE!</v>
      </c>
      <c r="Y181" s="53"/>
      <c r="Z181" s="53"/>
      <c r="AA181" s="53"/>
    </row>
    <row r="182" spans="1:27" ht="30" x14ac:dyDescent="0.25">
      <c r="A182" s="79" t="s">
        <v>314</v>
      </c>
      <c r="B182" s="79" t="s">
        <v>3497</v>
      </c>
      <c r="C182" s="79" t="s">
        <v>3488</v>
      </c>
      <c r="D182" s="79" t="s">
        <v>1669</v>
      </c>
      <c r="E182" s="79" t="s">
        <v>1670</v>
      </c>
      <c r="F182" s="79" t="s">
        <v>13</v>
      </c>
      <c r="G182" s="79">
        <v>19</v>
      </c>
      <c r="H182" s="53">
        <f t="shared" si="32"/>
        <v>74</v>
      </c>
      <c r="I182" s="53">
        <f t="shared" si="33"/>
        <v>71</v>
      </c>
      <c r="J182" s="53">
        <f t="shared" si="34"/>
        <v>514.5</v>
      </c>
      <c r="K182" s="53">
        <f t="shared" si="37"/>
        <v>10</v>
      </c>
      <c r="L182" s="53" t="b">
        <f t="shared" si="35"/>
        <v>1</v>
      </c>
      <c r="M182" s="53" t="b">
        <f t="shared" si="36"/>
        <v>1</v>
      </c>
      <c r="N182" s="53" t="str">
        <f t="shared" si="38"/>
        <v>Lithuania-BIGSO AB</v>
      </c>
      <c r="O182" s="68" t="str">
        <f t="shared" si="42"/>
        <v>Lithuania
ct</v>
      </c>
      <c r="P182" s="53" t="b">
        <f t="shared" si="39"/>
        <v>0</v>
      </c>
      <c r="Q182" s="53"/>
      <c r="R182" s="53" t="str">
        <f t="shared" si="40"/>
        <v>CT</v>
      </c>
      <c r="S182" s="53" t="str">
        <f t="shared" si="41"/>
        <v>ct</v>
      </c>
      <c r="T182" s="53">
        <f t="shared" si="43"/>
        <v>2</v>
      </c>
      <c r="U182" s="53" t="str">
        <f t="shared" si="44"/>
        <v>Lithuania</v>
      </c>
      <c r="V182" s="53" t="str">
        <f t="shared" si="45"/>
        <v xml:space="preserve">Mars </v>
      </c>
      <c r="W182" s="53" t="str">
        <f t="shared" si="46"/>
        <v xml:space="preserve"> AB</v>
      </c>
      <c r="X182" s="53" t="e">
        <f t="shared" si="47"/>
        <v>#VALUE!</v>
      </c>
      <c r="Y182" s="53"/>
      <c r="Z182" s="53"/>
      <c r="AA182" s="53"/>
    </row>
    <row r="183" spans="1:27" ht="30" x14ac:dyDescent="0.25">
      <c r="A183" s="79" t="s">
        <v>592</v>
      </c>
      <c r="B183" s="79" t="s">
        <v>3498</v>
      </c>
      <c r="C183" s="79" t="s">
        <v>3488</v>
      </c>
      <c r="D183" s="79" t="s">
        <v>1666</v>
      </c>
      <c r="E183" s="79" t="s">
        <v>1667</v>
      </c>
      <c r="F183" s="79" t="s">
        <v>13</v>
      </c>
      <c r="G183" s="79">
        <v>19</v>
      </c>
      <c r="H183" s="53">
        <f t="shared" si="32"/>
        <v>74</v>
      </c>
      <c r="I183" s="53">
        <f t="shared" si="33"/>
        <v>71</v>
      </c>
      <c r="J183" s="53">
        <f t="shared" si="34"/>
        <v>415.25</v>
      </c>
      <c r="K183" s="53">
        <f t="shared" si="37"/>
        <v>7</v>
      </c>
      <c r="L183" s="53" t="b">
        <f t="shared" si="35"/>
        <v>1</v>
      </c>
      <c r="M183" s="53" t="b">
        <f t="shared" si="36"/>
        <v>1</v>
      </c>
      <c r="N183" s="53" t="str">
        <f t="shared" si="38"/>
        <v>Finland-HARDFORD AB</v>
      </c>
      <c r="O183" s="68" t="str">
        <f t="shared" si="42"/>
        <v>Finland
ct</v>
      </c>
      <c r="P183" s="53" t="b">
        <f t="shared" si="39"/>
        <v>0</v>
      </c>
      <c r="Q183" s="53"/>
      <c r="R183" s="53" t="str">
        <f t="shared" si="40"/>
        <v>CT</v>
      </c>
      <c r="S183" s="53" t="str">
        <f t="shared" si="41"/>
        <v>ct</v>
      </c>
      <c r="T183" s="53">
        <f t="shared" si="43"/>
        <v>2</v>
      </c>
      <c r="U183" s="53" t="str">
        <f t="shared" si="44"/>
        <v>Finland</v>
      </c>
      <c r="V183" s="53" t="str">
        <f t="shared" si="45"/>
        <v xml:space="preserve">Mars </v>
      </c>
      <c r="W183" s="53" t="str">
        <f t="shared" si="46"/>
        <v xml:space="preserve"> AB</v>
      </c>
      <c r="X183" s="53" t="e">
        <f t="shared" si="47"/>
        <v>#VALUE!</v>
      </c>
      <c r="Y183" s="53"/>
      <c r="Z183" s="53"/>
      <c r="AA183" s="53"/>
    </row>
    <row r="184" spans="1:27" ht="30" x14ac:dyDescent="0.25">
      <c r="A184" s="79" t="s">
        <v>782</v>
      </c>
      <c r="B184" s="79" t="s">
        <v>3499</v>
      </c>
      <c r="C184" s="79" t="s">
        <v>3488</v>
      </c>
      <c r="D184" s="79" t="s">
        <v>1659</v>
      </c>
      <c r="E184" s="79" t="s">
        <v>1660</v>
      </c>
      <c r="F184" s="79" t="s">
        <v>13</v>
      </c>
      <c r="G184" s="79">
        <v>26</v>
      </c>
      <c r="H184" s="53">
        <f t="shared" si="32"/>
        <v>26.5</v>
      </c>
      <c r="I184" s="53">
        <f t="shared" si="33"/>
        <v>24</v>
      </c>
      <c r="J184" s="53">
        <f t="shared" si="34"/>
        <v>484.25</v>
      </c>
      <c r="K184" s="53">
        <f t="shared" si="37"/>
        <v>9</v>
      </c>
      <c r="L184" s="53" t="b">
        <f t="shared" si="35"/>
        <v>0</v>
      </c>
      <c r="M184" s="53" t="b">
        <f t="shared" si="36"/>
        <v>1</v>
      </c>
      <c r="N184" s="53" t="str">
        <f t="shared" si="38"/>
        <v>poland-CHROMADURLIN S.A.S</v>
      </c>
      <c r="O184" s="68" t="str">
        <f t="shared" si="42"/>
        <v>poland
ct</v>
      </c>
      <c r="P184" s="53" t="b">
        <f t="shared" si="39"/>
        <v>0</v>
      </c>
      <c r="Q184" s="53"/>
      <c r="R184" s="53" t="str">
        <f t="shared" si="40"/>
        <v>CT</v>
      </c>
      <c r="S184" s="53" t="str">
        <f t="shared" si="41"/>
        <v>ct</v>
      </c>
      <c r="T184" s="53">
        <f t="shared" si="43"/>
        <v>2</v>
      </c>
      <c r="U184" s="53" t="str">
        <f t="shared" si="44"/>
        <v>poland</v>
      </c>
      <c r="V184" s="53" t="str">
        <f t="shared" si="45"/>
        <v>Reese</v>
      </c>
      <c r="W184" s="53" t="str">
        <f t="shared" si="46"/>
        <v>A.S</v>
      </c>
      <c r="X184" s="53" t="e">
        <f t="shared" si="47"/>
        <v>#VALUE!</v>
      </c>
      <c r="Y184" s="53"/>
      <c r="Z184" s="53"/>
      <c r="AA184" s="53"/>
    </row>
    <row r="185" spans="1:27" ht="30" x14ac:dyDescent="0.25">
      <c r="A185" s="79" t="s">
        <v>1884</v>
      </c>
      <c r="B185" s="79" t="s">
        <v>3500</v>
      </c>
      <c r="C185" s="79" t="s">
        <v>3488</v>
      </c>
      <c r="D185" s="79" t="s">
        <v>1656</v>
      </c>
      <c r="E185" s="79" t="s">
        <v>1657</v>
      </c>
      <c r="F185" s="79" t="s">
        <v>167</v>
      </c>
      <c r="G185" s="79">
        <v>15</v>
      </c>
      <c r="H185" s="53">
        <f t="shared" si="32"/>
        <v>160.5</v>
      </c>
      <c r="I185" s="53">
        <f t="shared" si="33"/>
        <v>147</v>
      </c>
      <c r="J185" s="53">
        <f t="shared" si="34"/>
        <v>460</v>
      </c>
      <c r="K185" s="53">
        <f t="shared" si="37"/>
        <v>12</v>
      </c>
      <c r="L185" s="53" t="b">
        <f t="shared" si="35"/>
        <v>1</v>
      </c>
      <c r="M185" s="53" t="b">
        <f t="shared" si="36"/>
        <v>1</v>
      </c>
      <c r="N185" s="53" t="str">
        <f t="shared" si="38"/>
        <v>Netherlands-Bolsius Boxmeer</v>
      </c>
      <c r="O185" s="68" t="str">
        <f t="shared" si="42"/>
        <v>Netherlands
oz</v>
      </c>
      <c r="P185" s="53" t="b">
        <f t="shared" si="39"/>
        <v>0</v>
      </c>
      <c r="Q185" s="53"/>
      <c r="R185" s="53" t="str">
        <f t="shared" si="40"/>
        <v>OZ</v>
      </c>
      <c r="S185" s="53" t="str">
        <f t="shared" si="41"/>
        <v>oz</v>
      </c>
      <c r="T185" s="53">
        <f t="shared" si="43"/>
        <v>2</v>
      </c>
      <c r="U185" s="53" t="str">
        <f t="shared" si="44"/>
        <v>Nothorlands</v>
      </c>
      <c r="V185" s="53" t="str">
        <f t="shared" si="45"/>
        <v>Reese</v>
      </c>
      <c r="W185" s="53" t="str">
        <f t="shared" si="46"/>
        <v>eer</v>
      </c>
      <c r="X185" s="53" t="e">
        <f t="shared" si="47"/>
        <v>#VALUE!</v>
      </c>
      <c r="Y185" s="53"/>
      <c r="Z185" s="53"/>
      <c r="AA185" s="53"/>
    </row>
    <row r="186" spans="1:27" ht="30" x14ac:dyDescent="0.25">
      <c r="A186" s="79" t="s">
        <v>281</v>
      </c>
      <c r="B186" s="79" t="s">
        <v>3501</v>
      </c>
      <c r="C186" s="79" t="s">
        <v>3488</v>
      </c>
      <c r="D186" s="79" t="s">
        <v>1659</v>
      </c>
      <c r="E186" s="79" t="s">
        <v>1660</v>
      </c>
      <c r="F186" s="79" t="s">
        <v>13</v>
      </c>
      <c r="G186" s="79">
        <v>35</v>
      </c>
      <c r="H186" s="53">
        <f t="shared" si="32"/>
        <v>17.5</v>
      </c>
      <c r="I186" s="53">
        <f t="shared" si="33"/>
        <v>17</v>
      </c>
      <c r="J186" s="53">
        <f t="shared" si="34"/>
        <v>484.25</v>
      </c>
      <c r="K186" s="53">
        <f t="shared" si="37"/>
        <v>8</v>
      </c>
      <c r="L186" s="53" t="b">
        <f t="shared" si="35"/>
        <v>0</v>
      </c>
      <c r="M186" s="53" t="b">
        <f t="shared" si="36"/>
        <v>1</v>
      </c>
      <c r="N186" s="53" t="str">
        <f t="shared" si="38"/>
        <v>poland-CHROMADURLIN S.A.S</v>
      </c>
      <c r="O186" s="68" t="str">
        <f t="shared" si="42"/>
        <v>poland
ct</v>
      </c>
      <c r="P186" s="53" t="b">
        <f t="shared" si="39"/>
        <v>0</v>
      </c>
      <c r="Q186" s="53"/>
      <c r="R186" s="53" t="str">
        <f t="shared" si="40"/>
        <v>CT</v>
      </c>
      <c r="S186" s="53" t="str">
        <f t="shared" si="41"/>
        <v>ct</v>
      </c>
      <c r="T186" s="53">
        <f t="shared" si="43"/>
        <v>2</v>
      </c>
      <c r="U186" s="53" t="str">
        <f t="shared" si="44"/>
        <v>poland</v>
      </c>
      <c r="V186" s="53" t="str">
        <f t="shared" si="45"/>
        <v>Snick</v>
      </c>
      <c r="W186" s="53" t="str">
        <f t="shared" si="46"/>
        <v>A.S</v>
      </c>
      <c r="X186" s="53" t="e">
        <f t="shared" si="47"/>
        <v>#VALUE!</v>
      </c>
      <c r="Y186" s="53"/>
      <c r="Z186" s="53"/>
      <c r="AA186" s="53"/>
    </row>
    <row r="187" spans="1:27" ht="30" x14ac:dyDescent="0.25">
      <c r="A187" s="79" t="s">
        <v>956</v>
      </c>
      <c r="B187" s="79" t="s">
        <v>3502</v>
      </c>
      <c r="C187" s="79" t="s">
        <v>3488</v>
      </c>
      <c r="D187" s="79" t="s">
        <v>1662</v>
      </c>
      <c r="E187" s="79" t="s">
        <v>1663</v>
      </c>
      <c r="F187" s="79" t="s">
        <v>13</v>
      </c>
      <c r="G187" s="79">
        <v>12</v>
      </c>
      <c r="H187" s="53">
        <f t="shared" si="32"/>
        <v>214.5</v>
      </c>
      <c r="I187" s="53">
        <f t="shared" si="33"/>
        <v>209</v>
      </c>
      <c r="J187" s="53">
        <f t="shared" si="34"/>
        <v>587.25</v>
      </c>
      <c r="K187" s="53">
        <f t="shared" si="37"/>
        <v>12</v>
      </c>
      <c r="L187" s="53" t="b">
        <f t="shared" si="35"/>
        <v>1</v>
      </c>
      <c r="M187" s="53" t="b">
        <f t="shared" si="36"/>
        <v>1</v>
      </c>
      <c r="N187" s="53" t="str">
        <f t="shared" si="38"/>
        <v>Bangladesh-DENIMACH LTD</v>
      </c>
      <c r="O187" s="68" t="str">
        <f t="shared" si="42"/>
        <v>Bangladesh
ct</v>
      </c>
      <c r="P187" s="53" t="b">
        <f t="shared" si="39"/>
        <v>0</v>
      </c>
      <c r="Q187" s="53"/>
      <c r="R187" s="53" t="str">
        <f t="shared" si="40"/>
        <v>CT</v>
      </c>
      <c r="S187" s="53" t="str">
        <f t="shared" si="41"/>
        <v>ct</v>
      </c>
      <c r="T187" s="53">
        <f t="shared" si="43"/>
        <v>2</v>
      </c>
      <c r="U187" s="53" t="str">
        <f t="shared" si="44"/>
        <v>Bangladosh</v>
      </c>
      <c r="V187" s="53" t="str">
        <f t="shared" si="45"/>
        <v>Toots</v>
      </c>
      <c r="W187" s="53" t="str">
        <f t="shared" si="46"/>
        <v>LTD</v>
      </c>
      <c r="X187" s="53" t="e">
        <f t="shared" si="47"/>
        <v>#VALUE!</v>
      </c>
      <c r="Y187" s="53"/>
      <c r="Z187" s="53"/>
      <c r="AA187" s="53"/>
    </row>
    <row r="188" spans="1:27" ht="30" x14ac:dyDescent="0.25">
      <c r="A188" s="79" t="s">
        <v>1023</v>
      </c>
      <c r="B188" s="79" t="s">
        <v>3503</v>
      </c>
      <c r="C188" s="79" t="s">
        <v>3504</v>
      </c>
      <c r="D188" s="79" t="s">
        <v>1671</v>
      </c>
      <c r="E188" s="79" t="s">
        <v>1672</v>
      </c>
      <c r="F188" s="79" t="s">
        <v>13</v>
      </c>
      <c r="G188" s="79">
        <v>14</v>
      </c>
      <c r="H188" s="53">
        <f t="shared" si="32"/>
        <v>185</v>
      </c>
      <c r="I188" s="53">
        <f t="shared" si="33"/>
        <v>175</v>
      </c>
      <c r="J188" s="53">
        <f t="shared" si="34"/>
        <v>561.5</v>
      </c>
      <c r="K188" s="53">
        <f t="shared" si="37"/>
        <v>16</v>
      </c>
      <c r="L188" s="53" t="b">
        <f t="shared" si="35"/>
        <v>1</v>
      </c>
      <c r="M188" s="53" t="b">
        <f t="shared" si="36"/>
        <v>1</v>
      </c>
      <c r="N188" s="53" t="str">
        <f t="shared" si="38"/>
        <v>India-Indo Count Industries Ltd</v>
      </c>
      <c r="O188" s="68" t="str">
        <f t="shared" si="42"/>
        <v>India
ct</v>
      </c>
      <c r="P188" s="53" t="b">
        <f t="shared" si="39"/>
        <v>0</v>
      </c>
      <c r="Q188" s="53"/>
      <c r="R188" s="53" t="str">
        <f t="shared" si="40"/>
        <v>CT</v>
      </c>
      <c r="S188" s="53" t="str">
        <f t="shared" si="41"/>
        <v>ct</v>
      </c>
      <c r="T188" s="53">
        <f t="shared" si="43"/>
        <v>2</v>
      </c>
      <c r="U188" s="53" t="str">
        <f t="shared" si="44"/>
        <v>India</v>
      </c>
      <c r="V188" s="53" t="str">
        <f t="shared" si="45"/>
        <v>Apple</v>
      </c>
      <c r="W188" s="53" t="str">
        <f t="shared" si="46"/>
        <v>Ltd</v>
      </c>
      <c r="X188" s="53" t="e">
        <f t="shared" si="47"/>
        <v>#VALUE!</v>
      </c>
      <c r="Y188" s="53"/>
      <c r="Z188" s="53"/>
      <c r="AA188" s="53"/>
    </row>
    <row r="189" spans="1:27" ht="30" x14ac:dyDescent="0.25">
      <c r="A189" s="79" t="s">
        <v>526</v>
      </c>
      <c r="B189" s="79" t="s">
        <v>3505</v>
      </c>
      <c r="C189" s="79" t="s">
        <v>3504</v>
      </c>
      <c r="D189" s="79" t="s">
        <v>1671</v>
      </c>
      <c r="E189" s="79" t="s">
        <v>1672</v>
      </c>
      <c r="F189" s="79" t="s">
        <v>13</v>
      </c>
      <c r="G189" s="79">
        <v>13</v>
      </c>
      <c r="H189" s="53">
        <f t="shared" si="32"/>
        <v>201</v>
      </c>
      <c r="I189" s="53">
        <f t="shared" si="33"/>
        <v>197</v>
      </c>
      <c r="J189" s="53">
        <f t="shared" si="34"/>
        <v>561.5</v>
      </c>
      <c r="K189" s="53">
        <f t="shared" si="37"/>
        <v>15</v>
      </c>
      <c r="L189" s="53" t="b">
        <f t="shared" si="35"/>
        <v>1</v>
      </c>
      <c r="M189" s="53" t="b">
        <f t="shared" si="36"/>
        <v>1</v>
      </c>
      <c r="N189" s="53" t="str">
        <f t="shared" si="38"/>
        <v>India-Indo Count Industries Ltd</v>
      </c>
      <c r="O189" s="68" t="str">
        <f t="shared" si="42"/>
        <v>India
ct</v>
      </c>
      <c r="P189" s="53" t="b">
        <f t="shared" si="39"/>
        <v>0</v>
      </c>
      <c r="Q189" s="53"/>
      <c r="R189" s="53" t="str">
        <f t="shared" si="40"/>
        <v>CT</v>
      </c>
      <c r="S189" s="53" t="str">
        <f t="shared" si="41"/>
        <v>ct</v>
      </c>
      <c r="T189" s="53">
        <f t="shared" si="43"/>
        <v>2</v>
      </c>
      <c r="U189" s="53" t="str">
        <f t="shared" si="44"/>
        <v>India</v>
      </c>
      <c r="V189" s="53" t="str">
        <f t="shared" si="45"/>
        <v>Belvi</v>
      </c>
      <c r="W189" s="53" t="str">
        <f t="shared" si="46"/>
        <v>Ltd</v>
      </c>
      <c r="X189" s="53" t="e">
        <f t="shared" si="47"/>
        <v>#VALUE!</v>
      </c>
      <c r="Y189" s="53"/>
      <c r="Z189" s="53"/>
      <c r="AA189" s="53"/>
    </row>
    <row r="190" spans="1:27" ht="30" x14ac:dyDescent="0.25">
      <c r="A190" s="79" t="s">
        <v>267</v>
      </c>
      <c r="B190" s="79" t="s">
        <v>3506</v>
      </c>
      <c r="C190" s="79" t="s">
        <v>3504</v>
      </c>
      <c r="D190" s="79" t="s">
        <v>1656</v>
      </c>
      <c r="E190" s="79" t="s">
        <v>1657</v>
      </c>
      <c r="F190" s="79" t="s">
        <v>269</v>
      </c>
      <c r="G190" s="79">
        <v>13</v>
      </c>
      <c r="H190" s="53">
        <f t="shared" si="32"/>
        <v>201</v>
      </c>
      <c r="I190" s="53">
        <f t="shared" si="33"/>
        <v>197</v>
      </c>
      <c r="J190" s="53">
        <f t="shared" si="34"/>
        <v>460</v>
      </c>
      <c r="K190" s="53">
        <f t="shared" si="37"/>
        <v>11</v>
      </c>
      <c r="L190" s="53" t="b">
        <f t="shared" si="35"/>
        <v>1</v>
      </c>
      <c r="M190" s="53" t="b">
        <f t="shared" si="36"/>
        <v>1</v>
      </c>
      <c r="N190" s="53" t="str">
        <f t="shared" si="38"/>
        <v>Netherlands-Bolsius Boxmeer</v>
      </c>
      <c r="O190" s="68" t="str">
        <f t="shared" si="42"/>
        <v>Netherlands
ct.</v>
      </c>
      <c r="P190" s="53" t="b">
        <f t="shared" si="39"/>
        <v>0</v>
      </c>
      <c r="Q190" s="53"/>
      <c r="R190" s="53" t="str">
        <f t="shared" si="40"/>
        <v>CT.</v>
      </c>
      <c r="S190" s="53" t="str">
        <f t="shared" si="41"/>
        <v>ct.</v>
      </c>
      <c r="T190" s="53">
        <f t="shared" si="43"/>
        <v>2</v>
      </c>
      <c r="U190" s="53" t="str">
        <f t="shared" si="44"/>
        <v>Nothorlands</v>
      </c>
      <c r="V190" s="53" t="str">
        <f t="shared" si="45"/>
        <v>Belvi</v>
      </c>
      <c r="W190" s="53" t="str">
        <f t="shared" si="46"/>
        <v>eer</v>
      </c>
      <c r="X190" s="53" t="e">
        <f t="shared" si="47"/>
        <v>#VALUE!</v>
      </c>
      <c r="Y190" s="53"/>
      <c r="Z190" s="53"/>
      <c r="AA190" s="53"/>
    </row>
    <row r="191" spans="1:27" ht="30" x14ac:dyDescent="0.25">
      <c r="A191" s="79" t="s">
        <v>69</v>
      </c>
      <c r="B191" s="79" t="s">
        <v>3507</v>
      </c>
      <c r="C191" s="79" t="s">
        <v>3504</v>
      </c>
      <c r="D191" s="79" t="s">
        <v>1659</v>
      </c>
      <c r="E191" s="79" t="s">
        <v>1660</v>
      </c>
      <c r="F191" s="79" t="s">
        <v>13</v>
      </c>
      <c r="G191" s="79">
        <v>14</v>
      </c>
      <c r="H191" s="53">
        <f t="shared" si="32"/>
        <v>185</v>
      </c>
      <c r="I191" s="53">
        <f t="shared" si="33"/>
        <v>175</v>
      </c>
      <c r="J191" s="53">
        <f t="shared" si="34"/>
        <v>484.25</v>
      </c>
      <c r="K191" s="53">
        <f t="shared" si="37"/>
        <v>7</v>
      </c>
      <c r="L191" s="53" t="b">
        <f t="shared" si="35"/>
        <v>1</v>
      </c>
      <c r="M191" s="53" t="b">
        <f t="shared" si="36"/>
        <v>1</v>
      </c>
      <c r="N191" s="53" t="str">
        <f t="shared" si="38"/>
        <v>poland-CHROMADURLIN S.A.S</v>
      </c>
      <c r="O191" s="68" t="str">
        <f t="shared" si="42"/>
        <v>poland
ct</v>
      </c>
      <c r="P191" s="53" t="b">
        <f t="shared" si="39"/>
        <v>0</v>
      </c>
      <c r="Q191" s="53"/>
      <c r="R191" s="53" t="str">
        <f t="shared" si="40"/>
        <v>CT</v>
      </c>
      <c r="S191" s="53" t="str">
        <f t="shared" si="41"/>
        <v>ct</v>
      </c>
      <c r="T191" s="53">
        <f t="shared" si="43"/>
        <v>2</v>
      </c>
      <c r="U191" s="53" t="str">
        <f t="shared" si="44"/>
        <v>poland</v>
      </c>
      <c r="V191" s="53" t="str">
        <f t="shared" si="45"/>
        <v>Belvi</v>
      </c>
      <c r="W191" s="53" t="str">
        <f t="shared" si="46"/>
        <v>A.S</v>
      </c>
      <c r="X191" s="53" t="e">
        <f t="shared" si="47"/>
        <v>#VALUE!</v>
      </c>
      <c r="Y191" s="53"/>
      <c r="Z191" s="53"/>
      <c r="AA191" s="53"/>
    </row>
    <row r="192" spans="1:27" ht="30" x14ac:dyDescent="0.25">
      <c r="A192" s="79" t="s">
        <v>449</v>
      </c>
      <c r="B192" s="79" t="s">
        <v>3508</v>
      </c>
      <c r="C192" s="79" t="s">
        <v>3504</v>
      </c>
      <c r="D192" s="79" t="s">
        <v>1659</v>
      </c>
      <c r="E192" s="79" t="s">
        <v>1660</v>
      </c>
      <c r="F192" s="79" t="s">
        <v>269</v>
      </c>
      <c r="G192" s="79">
        <v>13</v>
      </c>
      <c r="H192" s="53">
        <f t="shared" si="32"/>
        <v>201</v>
      </c>
      <c r="I192" s="53">
        <f t="shared" si="33"/>
        <v>197</v>
      </c>
      <c r="J192" s="53">
        <f t="shared" si="34"/>
        <v>484.25</v>
      </c>
      <c r="K192" s="53">
        <f t="shared" si="37"/>
        <v>6</v>
      </c>
      <c r="L192" s="53" t="b">
        <f t="shared" si="35"/>
        <v>1</v>
      </c>
      <c r="M192" s="53" t="b">
        <f t="shared" si="36"/>
        <v>1</v>
      </c>
      <c r="N192" s="53" t="str">
        <f t="shared" si="38"/>
        <v>poland-CHROMADURLIN S.A.S</v>
      </c>
      <c r="O192" s="68" t="str">
        <f t="shared" si="42"/>
        <v>poland
ct.</v>
      </c>
      <c r="P192" s="53" t="b">
        <f t="shared" si="39"/>
        <v>0</v>
      </c>
      <c r="Q192" s="53"/>
      <c r="R192" s="53" t="str">
        <f t="shared" si="40"/>
        <v>CT.</v>
      </c>
      <c r="S192" s="53" t="str">
        <f t="shared" si="41"/>
        <v>ct.</v>
      </c>
      <c r="T192" s="53">
        <f t="shared" si="43"/>
        <v>2</v>
      </c>
      <c r="U192" s="53" t="str">
        <f t="shared" si="44"/>
        <v>poland</v>
      </c>
      <c r="V192" s="53" t="str">
        <f t="shared" si="45"/>
        <v>Chewy</v>
      </c>
      <c r="W192" s="53" t="str">
        <f t="shared" si="46"/>
        <v>A.S</v>
      </c>
      <c r="X192" s="53" t="e">
        <f t="shared" si="47"/>
        <v>#VALUE!</v>
      </c>
      <c r="Y192" s="53"/>
      <c r="Z192" s="53"/>
      <c r="AA192" s="53"/>
    </row>
    <row r="193" spans="1:27" ht="30" x14ac:dyDescent="0.25">
      <c r="A193" s="79" t="s">
        <v>1522</v>
      </c>
      <c r="B193" s="79" t="s">
        <v>3509</v>
      </c>
      <c r="C193" s="79" t="s">
        <v>3504</v>
      </c>
      <c r="D193" s="79" t="s">
        <v>1676</v>
      </c>
      <c r="E193" s="79" t="s">
        <v>1677</v>
      </c>
      <c r="F193" s="79" t="s">
        <v>13</v>
      </c>
      <c r="G193" s="79">
        <v>16</v>
      </c>
      <c r="H193" s="53">
        <f t="shared" si="32"/>
        <v>132.5</v>
      </c>
      <c r="I193" s="53">
        <f t="shared" si="33"/>
        <v>120</v>
      </c>
      <c r="J193" s="53">
        <f t="shared" si="34"/>
        <v>485.5</v>
      </c>
      <c r="K193" s="53">
        <f t="shared" si="37"/>
        <v>11</v>
      </c>
      <c r="L193" s="53" t="b">
        <f t="shared" si="35"/>
        <v>1</v>
      </c>
      <c r="M193" s="53" t="b">
        <f t="shared" si="36"/>
        <v>1</v>
      </c>
      <c r="N193" s="53" t="str">
        <f t="shared" si="38"/>
        <v>Germany-Friedola 1888 GmbH</v>
      </c>
      <c r="O193" s="68" t="str">
        <f t="shared" si="42"/>
        <v>Germany
ct</v>
      </c>
      <c r="P193" s="53" t="b">
        <f t="shared" si="39"/>
        <v>0</v>
      </c>
      <c r="Q193" s="53"/>
      <c r="R193" s="53" t="str">
        <f t="shared" si="40"/>
        <v>CT</v>
      </c>
      <c r="S193" s="53" t="str">
        <f t="shared" si="41"/>
        <v>ct</v>
      </c>
      <c r="T193" s="53">
        <f t="shared" si="43"/>
        <v>2</v>
      </c>
      <c r="U193" s="53" t="str">
        <f t="shared" si="44"/>
        <v>Gormany</v>
      </c>
      <c r="V193" s="53" t="str">
        <f t="shared" si="45"/>
        <v>Choba</v>
      </c>
      <c r="W193" s="53" t="str">
        <f t="shared" si="46"/>
        <v>mbH</v>
      </c>
      <c r="X193" s="53" t="e">
        <f t="shared" si="47"/>
        <v>#VALUE!</v>
      </c>
      <c r="Y193" s="53"/>
      <c r="Z193" s="53"/>
      <c r="AA193" s="53"/>
    </row>
    <row r="194" spans="1:27" ht="30" x14ac:dyDescent="0.25">
      <c r="A194" s="79" t="s">
        <v>2840</v>
      </c>
      <c r="B194" s="79" t="s">
        <v>3510</v>
      </c>
      <c r="C194" s="79" t="s">
        <v>3504</v>
      </c>
      <c r="D194" s="79" t="s">
        <v>1671</v>
      </c>
      <c r="E194" s="79" t="s">
        <v>1672</v>
      </c>
      <c r="F194" s="79" t="s">
        <v>904</v>
      </c>
      <c r="G194" s="79">
        <v>24</v>
      </c>
      <c r="H194" s="53">
        <f t="shared" si="32"/>
        <v>34</v>
      </c>
      <c r="I194" s="53">
        <f t="shared" si="33"/>
        <v>31</v>
      </c>
      <c r="J194" s="53">
        <f t="shared" si="34"/>
        <v>561.5</v>
      </c>
      <c r="K194" s="53">
        <f t="shared" si="37"/>
        <v>14</v>
      </c>
      <c r="L194" s="53" t="b">
        <f t="shared" si="35"/>
        <v>0</v>
      </c>
      <c r="M194" s="53" t="b">
        <f t="shared" si="36"/>
        <v>1</v>
      </c>
      <c r="N194" s="53" t="str">
        <f t="shared" si="38"/>
        <v>India-Indo Count Industries Ltd</v>
      </c>
      <c r="O194" s="68" t="str">
        <f t="shared" si="42"/>
        <v>India
bars</v>
      </c>
      <c r="P194" s="53" t="b">
        <f t="shared" si="39"/>
        <v>0</v>
      </c>
      <c r="Q194" s="53"/>
      <c r="R194" s="53" t="str">
        <f t="shared" si="40"/>
        <v>BARS</v>
      </c>
      <c r="S194" s="53" t="str">
        <f t="shared" si="41"/>
        <v>bars</v>
      </c>
      <c r="T194" s="53">
        <f t="shared" si="43"/>
        <v>2</v>
      </c>
      <c r="U194" s="53" t="str">
        <f t="shared" si="44"/>
        <v>India</v>
      </c>
      <c r="V194" s="53" t="str">
        <f t="shared" si="45"/>
        <v>Cliff</v>
      </c>
      <c r="W194" s="53" t="str">
        <f t="shared" si="46"/>
        <v>Ltd</v>
      </c>
      <c r="X194" s="53">
        <f t="shared" si="47"/>
        <v>2</v>
      </c>
      <c r="Y194" s="53"/>
      <c r="Z194" s="53"/>
      <c r="AA194" s="53"/>
    </row>
    <row r="195" spans="1:27" ht="30" x14ac:dyDescent="0.25">
      <c r="A195" s="79" t="s">
        <v>248</v>
      </c>
      <c r="B195" s="79" t="s">
        <v>3511</v>
      </c>
      <c r="C195" s="79" t="s">
        <v>3504</v>
      </c>
      <c r="D195" s="79" t="s">
        <v>1662</v>
      </c>
      <c r="E195" s="79" t="s">
        <v>1663</v>
      </c>
      <c r="F195" s="79" t="s">
        <v>13</v>
      </c>
      <c r="G195" s="79">
        <v>24</v>
      </c>
      <c r="H195" s="53">
        <f t="shared" si="32"/>
        <v>34</v>
      </c>
      <c r="I195" s="53">
        <f t="shared" si="33"/>
        <v>31</v>
      </c>
      <c r="J195" s="53">
        <f t="shared" si="34"/>
        <v>587.25</v>
      </c>
      <c r="K195" s="53">
        <f t="shared" si="37"/>
        <v>11</v>
      </c>
      <c r="L195" s="53" t="b">
        <f t="shared" si="35"/>
        <v>0</v>
      </c>
      <c r="M195" s="53" t="b">
        <f t="shared" si="36"/>
        <v>1</v>
      </c>
      <c r="N195" s="53" t="str">
        <f t="shared" si="38"/>
        <v>Bangladesh-DENIMACH LTD</v>
      </c>
      <c r="O195" s="68" t="str">
        <f t="shared" si="42"/>
        <v>Bangladesh
ct</v>
      </c>
      <c r="P195" s="53" t="b">
        <f t="shared" si="39"/>
        <v>0</v>
      </c>
      <c r="Q195" s="53"/>
      <c r="R195" s="53" t="str">
        <f t="shared" si="40"/>
        <v>CT</v>
      </c>
      <c r="S195" s="53" t="str">
        <f t="shared" si="41"/>
        <v>ct</v>
      </c>
      <c r="T195" s="53">
        <f t="shared" si="43"/>
        <v>2</v>
      </c>
      <c r="U195" s="53" t="str">
        <f t="shared" si="44"/>
        <v>Bangladosh</v>
      </c>
      <c r="V195" s="53" t="str">
        <f t="shared" si="45"/>
        <v>Cliff</v>
      </c>
      <c r="W195" s="53" t="str">
        <f t="shared" si="46"/>
        <v>LTD</v>
      </c>
      <c r="X195" s="53" t="e">
        <f t="shared" si="47"/>
        <v>#VALUE!</v>
      </c>
      <c r="Y195" s="53"/>
      <c r="Z195" s="53"/>
      <c r="AA195" s="53"/>
    </row>
    <row r="196" spans="1:27" ht="30" x14ac:dyDescent="0.25">
      <c r="A196" s="79" t="s">
        <v>616</v>
      </c>
      <c r="B196" s="79" t="s">
        <v>3512</v>
      </c>
      <c r="C196" s="79" t="s">
        <v>3504</v>
      </c>
      <c r="D196" s="79" t="s">
        <v>1671</v>
      </c>
      <c r="E196" s="79" t="s">
        <v>1672</v>
      </c>
      <c r="F196" s="79" t="s">
        <v>13</v>
      </c>
      <c r="G196" s="79">
        <v>18</v>
      </c>
      <c r="H196" s="53">
        <f t="shared" ref="H196:H259" si="48">_xlfn.RANK.AVG(G196,$G$4:$G$266)</f>
        <v>82.5</v>
      </c>
      <c r="I196" s="53">
        <f t="shared" ref="I196:I259" si="49">_xlfn.RANK.EQ(G196,$G$4:$G$266)</f>
        <v>78</v>
      </c>
      <c r="J196" s="53">
        <f t="shared" ref="J196:J259" si="50">SUMIF($D$4:$D$266,D196,$G$4:$G$266)</f>
        <v>561.5</v>
      </c>
      <c r="K196" s="53">
        <f t="shared" si="37"/>
        <v>13</v>
      </c>
      <c r="L196" s="53" t="b">
        <f t="shared" ref="L196:L259" si="51">AND(G196&lt;20,D196&gt;10)</f>
        <v>1</v>
      </c>
      <c r="M196" s="53" t="b">
        <f t="shared" ref="M196:M259" si="52">OR(G196&lt;20,D196&gt;10)</f>
        <v>1</v>
      </c>
      <c r="N196" s="53" t="str">
        <f t="shared" si="38"/>
        <v>India-Indo Count Industries Ltd</v>
      </c>
      <c r="O196" s="68" t="str">
        <f t="shared" si="42"/>
        <v>India
ct</v>
      </c>
      <c r="P196" s="53" t="b">
        <f t="shared" si="39"/>
        <v>0</v>
      </c>
      <c r="Q196" s="53"/>
      <c r="R196" s="53" t="str">
        <f t="shared" si="40"/>
        <v>CT</v>
      </c>
      <c r="S196" s="53" t="str">
        <f t="shared" si="41"/>
        <v>ct</v>
      </c>
      <c r="T196" s="53">
        <f t="shared" si="43"/>
        <v>2</v>
      </c>
      <c r="U196" s="53" t="str">
        <f t="shared" si="44"/>
        <v>India</v>
      </c>
      <c r="V196" s="53" t="str">
        <f t="shared" si="45"/>
        <v>Crunc</v>
      </c>
      <c r="W196" s="53" t="str">
        <f t="shared" si="46"/>
        <v>Ltd</v>
      </c>
      <c r="X196" s="53" t="e">
        <f t="shared" si="47"/>
        <v>#VALUE!</v>
      </c>
      <c r="Y196" s="53"/>
      <c r="Z196" s="53"/>
      <c r="AA196" s="53"/>
    </row>
    <row r="197" spans="1:27" ht="30" x14ac:dyDescent="0.25">
      <c r="A197" s="79" t="s">
        <v>902</v>
      </c>
      <c r="B197" s="79" t="s">
        <v>3513</v>
      </c>
      <c r="C197" s="79" t="s">
        <v>3504</v>
      </c>
      <c r="D197" s="79" t="s">
        <v>1656</v>
      </c>
      <c r="E197" s="79" t="s">
        <v>1657</v>
      </c>
      <c r="F197" s="79" t="s">
        <v>904</v>
      </c>
      <c r="G197" s="79">
        <v>23</v>
      </c>
      <c r="H197" s="53">
        <f t="shared" si="48"/>
        <v>40</v>
      </c>
      <c r="I197" s="53">
        <f t="shared" si="49"/>
        <v>38</v>
      </c>
      <c r="J197" s="53">
        <f t="shared" si="50"/>
        <v>460</v>
      </c>
      <c r="K197" s="53">
        <f t="shared" ref="K197:K260" si="53">COUNTIF(D197:D460,D197)</f>
        <v>10</v>
      </c>
      <c r="L197" s="53" t="b">
        <f t="shared" si="51"/>
        <v>0</v>
      </c>
      <c r="M197" s="53" t="b">
        <f t="shared" si="52"/>
        <v>1</v>
      </c>
      <c r="N197" s="53" t="str">
        <f t="shared" ref="N197:N260" si="54">_xlfn.CONCAT(D197,"-",E197)</f>
        <v>Netherlands-Bolsius Boxmeer</v>
      </c>
      <c r="O197" s="68" t="str">
        <f t="shared" si="42"/>
        <v>Netherlands
bars</v>
      </c>
      <c r="P197" s="53" t="b">
        <f t="shared" ref="P197:P260" si="55">EXACT(E197,D197)</f>
        <v>0</v>
      </c>
      <c r="Q197" s="53"/>
      <c r="R197" s="53" t="str">
        <f t="shared" ref="R197:R260" si="56">UPPER(F197)</f>
        <v>BARS</v>
      </c>
      <c r="S197" s="53" t="str">
        <f t="shared" ref="S197:S260" si="57">LOWER(F197)</f>
        <v>bars</v>
      </c>
      <c r="T197" s="53">
        <f t="shared" si="43"/>
        <v>2</v>
      </c>
      <c r="U197" s="53" t="str">
        <f t="shared" si="44"/>
        <v>Nothorlands</v>
      </c>
      <c r="V197" s="53" t="str">
        <f t="shared" si="45"/>
        <v>Detou</v>
      </c>
      <c r="W197" s="53" t="str">
        <f t="shared" si="46"/>
        <v>eer</v>
      </c>
      <c r="X197" s="53">
        <f t="shared" si="47"/>
        <v>2</v>
      </c>
      <c r="Y197" s="53"/>
      <c r="Z197" s="53"/>
      <c r="AA197" s="53"/>
    </row>
    <row r="198" spans="1:27" ht="30" x14ac:dyDescent="0.25">
      <c r="A198" s="79" t="s">
        <v>23</v>
      </c>
      <c r="B198" s="79" t="s">
        <v>3514</v>
      </c>
      <c r="C198" s="79" t="s">
        <v>3504</v>
      </c>
      <c r="D198" s="79" t="s">
        <v>1659</v>
      </c>
      <c r="E198" s="79" t="s">
        <v>1660</v>
      </c>
      <c r="F198" s="79" t="s">
        <v>13</v>
      </c>
      <c r="G198" s="79">
        <v>12.5</v>
      </c>
      <c r="H198" s="53">
        <f t="shared" si="48"/>
        <v>207</v>
      </c>
      <c r="I198" s="53">
        <f t="shared" si="49"/>
        <v>206</v>
      </c>
      <c r="J198" s="53">
        <f t="shared" si="50"/>
        <v>484.25</v>
      </c>
      <c r="K198" s="53">
        <f t="shared" si="53"/>
        <v>5</v>
      </c>
      <c r="L198" s="53" t="b">
        <f t="shared" si="51"/>
        <v>1</v>
      </c>
      <c r="M198" s="53" t="b">
        <f t="shared" si="52"/>
        <v>1</v>
      </c>
      <c r="N198" s="53" t="str">
        <f t="shared" si="54"/>
        <v>poland-CHROMADURLIN S.A.S</v>
      </c>
      <c r="O198" s="68" t="str">
        <f t="shared" ref="O198:O261" si="58">_xlfn.CONCAT(D198,CHAR(10),F198)</f>
        <v>poland
ct</v>
      </c>
      <c r="P198" s="53" t="b">
        <f t="shared" si="55"/>
        <v>0</v>
      </c>
      <c r="Q198" s="53"/>
      <c r="R198" s="53" t="str">
        <f t="shared" si="56"/>
        <v>CT</v>
      </c>
      <c r="S198" s="53" t="str">
        <f t="shared" si="57"/>
        <v>ct</v>
      </c>
      <c r="T198" s="53">
        <f t="shared" si="43"/>
        <v>2</v>
      </c>
      <c r="U198" s="53" t="str">
        <f t="shared" si="44"/>
        <v>poland</v>
      </c>
      <c r="V198" s="53" t="str">
        <f t="shared" si="45"/>
        <v xml:space="preserve">Dole </v>
      </c>
      <c r="W198" s="53" t="str">
        <f t="shared" si="46"/>
        <v>A.S</v>
      </c>
      <c r="X198" s="53" t="e">
        <f t="shared" si="47"/>
        <v>#VALUE!</v>
      </c>
      <c r="Y198" s="53"/>
      <c r="Z198" s="53"/>
      <c r="AA198" s="53"/>
    </row>
    <row r="199" spans="1:27" ht="30" x14ac:dyDescent="0.25">
      <c r="A199" s="79" t="s">
        <v>1005</v>
      </c>
      <c r="B199" s="79" t="s">
        <v>3515</v>
      </c>
      <c r="C199" s="79" t="s">
        <v>3504</v>
      </c>
      <c r="D199" s="79" t="s">
        <v>1659</v>
      </c>
      <c r="E199" s="79" t="s">
        <v>1660</v>
      </c>
      <c r="F199" s="79" t="s">
        <v>13</v>
      </c>
      <c r="G199" s="79">
        <v>16</v>
      </c>
      <c r="H199" s="53">
        <f t="shared" si="48"/>
        <v>132.5</v>
      </c>
      <c r="I199" s="53">
        <f t="shared" si="49"/>
        <v>120</v>
      </c>
      <c r="J199" s="53">
        <f t="shared" si="50"/>
        <v>484.25</v>
      </c>
      <c r="K199" s="53">
        <f t="shared" si="53"/>
        <v>4</v>
      </c>
      <c r="L199" s="53" t="b">
        <f t="shared" si="51"/>
        <v>1</v>
      </c>
      <c r="M199" s="53" t="b">
        <f t="shared" si="52"/>
        <v>1</v>
      </c>
      <c r="N199" s="53" t="str">
        <f t="shared" si="54"/>
        <v>poland-CHROMADURLIN S.A.S</v>
      </c>
      <c r="O199" s="68" t="str">
        <f t="shared" si="58"/>
        <v>poland
ct</v>
      </c>
      <c r="P199" s="53" t="b">
        <f t="shared" si="55"/>
        <v>0</v>
      </c>
      <c r="Q199" s="53"/>
      <c r="R199" s="53" t="str">
        <f t="shared" si="56"/>
        <v>CT</v>
      </c>
      <c r="S199" s="53" t="str">
        <f t="shared" si="57"/>
        <v>ct</v>
      </c>
      <c r="T199" s="53">
        <f t="shared" si="43"/>
        <v>2</v>
      </c>
      <c r="U199" s="53" t="str">
        <f t="shared" si="44"/>
        <v>poland</v>
      </c>
      <c r="V199" s="53" t="str">
        <f t="shared" si="45"/>
        <v>Fiber</v>
      </c>
      <c r="W199" s="53" t="str">
        <f t="shared" si="46"/>
        <v>A.S</v>
      </c>
      <c r="X199" s="53" t="e">
        <f t="shared" si="47"/>
        <v>#VALUE!</v>
      </c>
      <c r="Y199" s="53"/>
      <c r="Z199" s="53"/>
      <c r="AA199" s="53"/>
    </row>
    <row r="200" spans="1:27" ht="30" x14ac:dyDescent="0.25">
      <c r="A200" s="79" t="s">
        <v>920</v>
      </c>
      <c r="B200" s="79" t="s">
        <v>3516</v>
      </c>
      <c r="C200" s="79" t="s">
        <v>3504</v>
      </c>
      <c r="D200" s="79" t="s">
        <v>1671</v>
      </c>
      <c r="E200" s="79" t="s">
        <v>1672</v>
      </c>
      <c r="F200" s="79" t="s">
        <v>904</v>
      </c>
      <c r="G200" s="79">
        <v>15</v>
      </c>
      <c r="H200" s="53">
        <f t="shared" si="48"/>
        <v>160.5</v>
      </c>
      <c r="I200" s="53">
        <f t="shared" si="49"/>
        <v>147</v>
      </c>
      <c r="J200" s="53">
        <f t="shared" si="50"/>
        <v>561.5</v>
      </c>
      <c r="K200" s="53">
        <f t="shared" si="53"/>
        <v>12</v>
      </c>
      <c r="L200" s="53" t="b">
        <f t="shared" si="51"/>
        <v>1</v>
      </c>
      <c r="M200" s="53" t="b">
        <f t="shared" si="52"/>
        <v>1</v>
      </c>
      <c r="N200" s="53" t="str">
        <f t="shared" si="54"/>
        <v>India-Indo Count Industries Ltd</v>
      </c>
      <c r="O200" s="68" t="str">
        <f t="shared" si="58"/>
        <v>India
bars</v>
      </c>
      <c r="P200" s="53" t="b">
        <f t="shared" si="55"/>
        <v>0</v>
      </c>
      <c r="Q200" s="53"/>
      <c r="R200" s="53" t="str">
        <f t="shared" si="56"/>
        <v>BARS</v>
      </c>
      <c r="S200" s="53" t="str">
        <f t="shared" si="57"/>
        <v>bars</v>
      </c>
      <c r="T200" s="53">
        <f t="shared" si="43"/>
        <v>2</v>
      </c>
      <c r="U200" s="53" t="str">
        <f t="shared" si="44"/>
        <v>India</v>
      </c>
      <c r="V200" s="53" t="str">
        <f t="shared" si="45"/>
        <v>Fiber</v>
      </c>
      <c r="W200" s="53" t="str">
        <f t="shared" si="46"/>
        <v>Ltd</v>
      </c>
      <c r="X200" s="53">
        <f t="shared" si="47"/>
        <v>2</v>
      </c>
      <c r="Y200" s="53"/>
      <c r="Z200" s="53"/>
      <c r="AA200" s="53"/>
    </row>
    <row r="201" spans="1:27" ht="30" x14ac:dyDescent="0.25">
      <c r="A201" s="79" t="s">
        <v>620</v>
      </c>
      <c r="B201" s="79" t="s">
        <v>3517</v>
      </c>
      <c r="C201" s="79" t="s">
        <v>3504</v>
      </c>
      <c r="D201" s="79" t="s">
        <v>1676</v>
      </c>
      <c r="E201" s="79" t="s">
        <v>1677</v>
      </c>
      <c r="F201" s="79" t="s">
        <v>13</v>
      </c>
      <c r="G201" s="79">
        <v>12</v>
      </c>
      <c r="H201" s="53">
        <f t="shared" si="48"/>
        <v>214.5</v>
      </c>
      <c r="I201" s="53">
        <f t="shared" si="49"/>
        <v>209</v>
      </c>
      <c r="J201" s="53">
        <f t="shared" si="50"/>
        <v>485.5</v>
      </c>
      <c r="K201" s="53">
        <f t="shared" si="53"/>
        <v>10</v>
      </c>
      <c r="L201" s="53" t="b">
        <f t="shared" si="51"/>
        <v>1</v>
      </c>
      <c r="M201" s="53" t="b">
        <f t="shared" si="52"/>
        <v>1</v>
      </c>
      <c r="N201" s="53" t="str">
        <f t="shared" si="54"/>
        <v>Germany-Friedola 1888 GmbH</v>
      </c>
      <c r="O201" s="68" t="str">
        <f t="shared" si="58"/>
        <v>Germany
ct</v>
      </c>
      <c r="P201" s="53" t="b">
        <f t="shared" si="55"/>
        <v>0</v>
      </c>
      <c r="Q201" s="53"/>
      <c r="R201" s="53" t="str">
        <f t="shared" si="56"/>
        <v>CT</v>
      </c>
      <c r="S201" s="53" t="str">
        <f t="shared" si="57"/>
        <v>ct</v>
      </c>
      <c r="T201" s="53">
        <f t="shared" si="43"/>
        <v>2</v>
      </c>
      <c r="U201" s="53" t="str">
        <f t="shared" si="44"/>
        <v>Gormany</v>
      </c>
      <c r="V201" s="53" t="str">
        <f t="shared" si="45"/>
        <v>Go-Gu</v>
      </c>
      <c r="W201" s="53" t="str">
        <f t="shared" si="46"/>
        <v>mbH</v>
      </c>
      <c r="X201" s="53" t="e">
        <f t="shared" si="47"/>
        <v>#VALUE!</v>
      </c>
      <c r="Y201" s="53"/>
      <c r="Z201" s="53"/>
      <c r="AA201" s="53"/>
    </row>
    <row r="202" spans="1:27" ht="30" x14ac:dyDescent="0.25">
      <c r="A202" s="79" t="s">
        <v>1295</v>
      </c>
      <c r="B202" s="79" t="s">
        <v>3518</v>
      </c>
      <c r="C202" s="79" t="s">
        <v>3504</v>
      </c>
      <c r="D202" s="79" t="s">
        <v>1669</v>
      </c>
      <c r="E202" s="79" t="s">
        <v>1670</v>
      </c>
      <c r="F202" s="79" t="s">
        <v>13</v>
      </c>
      <c r="G202" s="79">
        <v>15</v>
      </c>
      <c r="H202" s="53">
        <f t="shared" si="48"/>
        <v>160.5</v>
      </c>
      <c r="I202" s="53">
        <f t="shared" si="49"/>
        <v>147</v>
      </c>
      <c r="J202" s="53">
        <f t="shared" si="50"/>
        <v>514.5</v>
      </c>
      <c r="K202" s="53">
        <f t="shared" si="53"/>
        <v>9</v>
      </c>
      <c r="L202" s="53" t="b">
        <f t="shared" si="51"/>
        <v>1</v>
      </c>
      <c r="M202" s="53" t="b">
        <f t="shared" si="52"/>
        <v>1</v>
      </c>
      <c r="N202" s="53" t="str">
        <f t="shared" si="54"/>
        <v>Lithuania-BIGSO AB</v>
      </c>
      <c r="O202" s="68" t="str">
        <f t="shared" si="58"/>
        <v>Lithuania
ct</v>
      </c>
      <c r="P202" s="53" t="b">
        <f t="shared" si="55"/>
        <v>0</v>
      </c>
      <c r="Q202" s="53"/>
      <c r="R202" s="53" t="str">
        <f t="shared" si="56"/>
        <v>CT</v>
      </c>
      <c r="S202" s="53" t="str">
        <f t="shared" si="57"/>
        <v>ct</v>
      </c>
      <c r="T202" s="53">
        <f t="shared" ref="T202:T265" si="59">SEARCH("0",A202)</f>
        <v>2</v>
      </c>
      <c r="U202" s="53" t="str">
        <f t="shared" ref="U202:U265" si="60">SUBSTITUTE(D202,"e","o")</f>
        <v>Lithuania</v>
      </c>
      <c r="V202" s="53" t="str">
        <f t="shared" ref="V202:V265" si="61">LEFT(B202,"5")</f>
        <v>Kello</v>
      </c>
      <c r="W202" s="53" t="str">
        <f t="shared" ref="W202:W265" si="62">RIGHT(E202,"3")</f>
        <v xml:space="preserve"> AB</v>
      </c>
      <c r="X202" s="53" t="e">
        <f t="shared" ref="X202:X265" si="63">FIND("a",F202)</f>
        <v>#VALUE!</v>
      </c>
      <c r="Y202" s="53"/>
      <c r="Z202" s="53"/>
      <c r="AA202" s="53"/>
    </row>
    <row r="203" spans="1:27" ht="30" x14ac:dyDescent="0.25">
      <c r="A203" s="79" t="s">
        <v>1954</v>
      </c>
      <c r="B203" s="79" t="s">
        <v>3519</v>
      </c>
      <c r="C203" s="79" t="s">
        <v>3504</v>
      </c>
      <c r="D203" s="79" t="s">
        <v>1671</v>
      </c>
      <c r="E203" s="79" t="s">
        <v>1672</v>
      </c>
      <c r="F203" s="79" t="s">
        <v>904</v>
      </c>
      <c r="G203" s="79">
        <v>20</v>
      </c>
      <c r="H203" s="53">
        <f t="shared" si="48"/>
        <v>61</v>
      </c>
      <c r="I203" s="53">
        <f t="shared" si="49"/>
        <v>55</v>
      </c>
      <c r="J203" s="53">
        <f t="shared" si="50"/>
        <v>561.5</v>
      </c>
      <c r="K203" s="53">
        <f t="shared" si="53"/>
        <v>11</v>
      </c>
      <c r="L203" s="53" t="b">
        <f t="shared" si="51"/>
        <v>0</v>
      </c>
      <c r="M203" s="53" t="b">
        <f t="shared" si="52"/>
        <v>1</v>
      </c>
      <c r="N203" s="53" t="str">
        <f t="shared" si="54"/>
        <v>India-Indo Count Industries Ltd</v>
      </c>
      <c r="O203" s="68" t="str">
        <f t="shared" si="58"/>
        <v>India
bars</v>
      </c>
      <c r="P203" s="53" t="b">
        <f t="shared" si="55"/>
        <v>0</v>
      </c>
      <c r="Q203" s="53"/>
      <c r="R203" s="53" t="str">
        <f t="shared" si="56"/>
        <v>BARS</v>
      </c>
      <c r="S203" s="53" t="str">
        <f t="shared" si="57"/>
        <v>bars</v>
      </c>
      <c r="T203" s="53">
        <f t="shared" si="59"/>
        <v>2</v>
      </c>
      <c r="U203" s="53" t="str">
        <f t="shared" si="60"/>
        <v>India</v>
      </c>
      <c r="V203" s="53" t="str">
        <f t="shared" si="61"/>
        <v xml:space="preserve">Kind </v>
      </c>
      <c r="W203" s="53" t="str">
        <f t="shared" si="62"/>
        <v>Ltd</v>
      </c>
      <c r="X203" s="53">
        <f t="shared" si="63"/>
        <v>2</v>
      </c>
      <c r="Y203" s="53"/>
      <c r="Z203" s="53"/>
      <c r="AA203" s="53"/>
    </row>
    <row r="204" spans="1:27" ht="30" x14ac:dyDescent="0.25">
      <c r="A204" s="79" t="s">
        <v>963</v>
      </c>
      <c r="B204" s="79" t="s">
        <v>3520</v>
      </c>
      <c r="C204" s="79" t="s">
        <v>3504</v>
      </c>
      <c r="D204" s="79" t="s">
        <v>1669</v>
      </c>
      <c r="E204" s="79" t="s">
        <v>1670</v>
      </c>
      <c r="F204" s="79" t="s">
        <v>904</v>
      </c>
      <c r="G204" s="79">
        <v>23</v>
      </c>
      <c r="H204" s="53">
        <f t="shared" si="48"/>
        <v>40</v>
      </c>
      <c r="I204" s="53">
        <f t="shared" si="49"/>
        <v>38</v>
      </c>
      <c r="J204" s="53">
        <f t="shared" si="50"/>
        <v>514.5</v>
      </c>
      <c r="K204" s="53">
        <f t="shared" si="53"/>
        <v>8</v>
      </c>
      <c r="L204" s="53" t="b">
        <f t="shared" si="51"/>
        <v>0</v>
      </c>
      <c r="M204" s="53" t="b">
        <f t="shared" si="52"/>
        <v>1</v>
      </c>
      <c r="N204" s="53" t="str">
        <f t="shared" si="54"/>
        <v>Lithuania-BIGSO AB</v>
      </c>
      <c r="O204" s="68" t="str">
        <f t="shared" si="58"/>
        <v>Lithuania
bars</v>
      </c>
      <c r="P204" s="53" t="b">
        <f t="shared" si="55"/>
        <v>0</v>
      </c>
      <c r="Q204" s="53"/>
      <c r="R204" s="53" t="str">
        <f t="shared" si="56"/>
        <v>BARS</v>
      </c>
      <c r="S204" s="53" t="str">
        <f t="shared" si="57"/>
        <v>bars</v>
      </c>
      <c r="T204" s="53">
        <f t="shared" si="59"/>
        <v>2</v>
      </c>
      <c r="U204" s="53" t="str">
        <f t="shared" si="60"/>
        <v>Lithuania</v>
      </c>
      <c r="V204" s="53" t="str">
        <f t="shared" si="61"/>
        <v xml:space="preserve">Kind </v>
      </c>
      <c r="W204" s="53" t="str">
        <f t="shared" si="62"/>
        <v xml:space="preserve"> AB</v>
      </c>
      <c r="X204" s="53">
        <f t="shared" si="63"/>
        <v>2</v>
      </c>
      <c r="Y204" s="53"/>
      <c r="Z204" s="53"/>
      <c r="AA204" s="53"/>
    </row>
    <row r="205" spans="1:27" ht="30" x14ac:dyDescent="0.25">
      <c r="A205" s="79" t="s">
        <v>1236</v>
      </c>
      <c r="B205" s="79" t="s">
        <v>3521</v>
      </c>
      <c r="C205" s="79" t="s">
        <v>3504</v>
      </c>
      <c r="D205" s="79" t="s">
        <v>1666</v>
      </c>
      <c r="E205" s="79" t="s">
        <v>1667</v>
      </c>
      <c r="F205" s="79" t="s">
        <v>269</v>
      </c>
      <c r="G205" s="79">
        <v>12</v>
      </c>
      <c r="H205" s="53">
        <f t="shared" si="48"/>
        <v>214.5</v>
      </c>
      <c r="I205" s="53">
        <f t="shared" si="49"/>
        <v>209</v>
      </c>
      <c r="J205" s="53">
        <f t="shared" si="50"/>
        <v>415.25</v>
      </c>
      <c r="K205" s="53">
        <f t="shared" si="53"/>
        <v>6</v>
      </c>
      <c r="L205" s="53" t="b">
        <f t="shared" si="51"/>
        <v>1</v>
      </c>
      <c r="M205" s="53" t="b">
        <f t="shared" si="52"/>
        <v>1</v>
      </c>
      <c r="N205" s="53" t="str">
        <f t="shared" si="54"/>
        <v>Finland-HARDFORD AB</v>
      </c>
      <c r="O205" s="68" t="str">
        <f t="shared" si="58"/>
        <v>Finland
ct.</v>
      </c>
      <c r="P205" s="53" t="b">
        <f t="shared" si="55"/>
        <v>0</v>
      </c>
      <c r="Q205" s="53"/>
      <c r="R205" s="53" t="str">
        <f t="shared" si="56"/>
        <v>CT.</v>
      </c>
      <c r="S205" s="53" t="str">
        <f t="shared" si="57"/>
        <v>ct.</v>
      </c>
      <c r="T205" s="53">
        <f t="shared" si="59"/>
        <v>2</v>
      </c>
      <c r="U205" s="53" t="str">
        <f t="shared" si="60"/>
        <v>Finland</v>
      </c>
      <c r="V205" s="53" t="str">
        <f t="shared" si="61"/>
        <v>Lunch</v>
      </c>
      <c r="W205" s="53" t="str">
        <f t="shared" si="62"/>
        <v xml:space="preserve"> AB</v>
      </c>
      <c r="X205" s="53" t="e">
        <f t="shared" si="63"/>
        <v>#VALUE!</v>
      </c>
      <c r="Y205" s="53"/>
      <c r="Z205" s="53"/>
      <c r="AA205" s="53"/>
    </row>
    <row r="206" spans="1:27" ht="30" x14ac:dyDescent="0.25">
      <c r="A206" s="79" t="s">
        <v>1340</v>
      </c>
      <c r="B206" s="79" t="s">
        <v>3522</v>
      </c>
      <c r="C206" s="79" t="s">
        <v>3504</v>
      </c>
      <c r="D206" s="79" t="s">
        <v>1669</v>
      </c>
      <c r="E206" s="79" t="s">
        <v>1670</v>
      </c>
      <c r="F206" s="79" t="s">
        <v>13</v>
      </c>
      <c r="G206" s="79">
        <v>18</v>
      </c>
      <c r="H206" s="53">
        <f t="shared" si="48"/>
        <v>82.5</v>
      </c>
      <c r="I206" s="53">
        <f t="shared" si="49"/>
        <v>78</v>
      </c>
      <c r="J206" s="53">
        <f t="shared" si="50"/>
        <v>514.5</v>
      </c>
      <c r="K206" s="53">
        <f t="shared" si="53"/>
        <v>7</v>
      </c>
      <c r="L206" s="53" t="b">
        <f t="shared" si="51"/>
        <v>1</v>
      </c>
      <c r="M206" s="53" t="b">
        <f t="shared" si="52"/>
        <v>1</v>
      </c>
      <c r="N206" s="53" t="str">
        <f t="shared" si="54"/>
        <v>Lithuania-BIGSO AB</v>
      </c>
      <c r="O206" s="68" t="str">
        <f t="shared" si="58"/>
        <v>Lithuania
ct</v>
      </c>
      <c r="P206" s="53" t="b">
        <f t="shared" si="55"/>
        <v>0</v>
      </c>
      <c r="Q206" s="53"/>
      <c r="R206" s="53" t="str">
        <f t="shared" si="56"/>
        <v>CT</v>
      </c>
      <c r="S206" s="53" t="str">
        <f t="shared" si="57"/>
        <v>ct</v>
      </c>
      <c r="T206" s="53">
        <f t="shared" si="59"/>
        <v>2</v>
      </c>
      <c r="U206" s="53" t="str">
        <f t="shared" si="60"/>
        <v>Lithuania</v>
      </c>
      <c r="V206" s="53" t="str">
        <f t="shared" si="61"/>
        <v>Nat.V</v>
      </c>
      <c r="W206" s="53" t="str">
        <f t="shared" si="62"/>
        <v xml:space="preserve"> AB</v>
      </c>
      <c r="X206" s="53" t="e">
        <f t="shared" si="63"/>
        <v>#VALUE!</v>
      </c>
      <c r="Y206" s="53"/>
      <c r="Z206" s="53"/>
      <c r="AA206" s="53"/>
    </row>
    <row r="207" spans="1:27" ht="30" x14ac:dyDescent="0.25">
      <c r="A207" s="79" t="s">
        <v>216</v>
      </c>
      <c r="B207" s="79" t="s">
        <v>3523</v>
      </c>
      <c r="C207" s="79" t="s">
        <v>3504</v>
      </c>
      <c r="D207" s="79" t="s">
        <v>1666</v>
      </c>
      <c r="E207" s="79" t="s">
        <v>1667</v>
      </c>
      <c r="F207" s="79" t="s">
        <v>13</v>
      </c>
      <c r="G207" s="79">
        <v>17</v>
      </c>
      <c r="H207" s="53">
        <f t="shared" si="48"/>
        <v>100</v>
      </c>
      <c r="I207" s="53">
        <f t="shared" si="49"/>
        <v>91</v>
      </c>
      <c r="J207" s="53">
        <f t="shared" si="50"/>
        <v>415.25</v>
      </c>
      <c r="K207" s="53">
        <f t="shared" si="53"/>
        <v>5</v>
      </c>
      <c r="L207" s="53" t="b">
        <f t="shared" si="51"/>
        <v>1</v>
      </c>
      <c r="M207" s="53" t="b">
        <f t="shared" si="52"/>
        <v>1</v>
      </c>
      <c r="N207" s="53" t="str">
        <f t="shared" si="54"/>
        <v>Finland-HARDFORD AB</v>
      </c>
      <c r="O207" s="68" t="str">
        <f t="shared" si="58"/>
        <v>Finland
ct</v>
      </c>
      <c r="P207" s="53" t="b">
        <f t="shared" si="55"/>
        <v>0</v>
      </c>
      <c r="Q207" s="53"/>
      <c r="R207" s="53" t="str">
        <f t="shared" si="56"/>
        <v>CT</v>
      </c>
      <c r="S207" s="53" t="str">
        <f t="shared" si="57"/>
        <v>ct</v>
      </c>
      <c r="T207" s="53">
        <f t="shared" si="59"/>
        <v>2</v>
      </c>
      <c r="U207" s="53" t="str">
        <f t="shared" si="60"/>
        <v>Finland</v>
      </c>
      <c r="V207" s="53" t="str">
        <f t="shared" si="61"/>
        <v>Natur</v>
      </c>
      <c r="W207" s="53" t="str">
        <f t="shared" si="62"/>
        <v xml:space="preserve"> AB</v>
      </c>
      <c r="X207" s="53" t="e">
        <f t="shared" si="63"/>
        <v>#VALUE!</v>
      </c>
      <c r="Y207" s="53"/>
      <c r="Z207" s="53"/>
      <c r="AA207" s="53"/>
    </row>
    <row r="208" spans="1:27" ht="30" x14ac:dyDescent="0.25">
      <c r="A208" s="79" t="s">
        <v>2310</v>
      </c>
      <c r="B208" s="79" t="s">
        <v>3524</v>
      </c>
      <c r="C208" s="79" t="s">
        <v>3504</v>
      </c>
      <c r="D208" s="79" t="s">
        <v>1676</v>
      </c>
      <c r="E208" s="79" t="s">
        <v>1677</v>
      </c>
      <c r="F208" s="79" t="s">
        <v>13</v>
      </c>
      <c r="G208" s="79">
        <v>16</v>
      </c>
      <c r="H208" s="53">
        <f t="shared" si="48"/>
        <v>132.5</v>
      </c>
      <c r="I208" s="53">
        <f t="shared" si="49"/>
        <v>120</v>
      </c>
      <c r="J208" s="53">
        <f t="shared" si="50"/>
        <v>485.5</v>
      </c>
      <c r="K208" s="53">
        <f t="shared" si="53"/>
        <v>9</v>
      </c>
      <c r="L208" s="53" t="b">
        <f t="shared" si="51"/>
        <v>1</v>
      </c>
      <c r="M208" s="53" t="b">
        <f t="shared" si="52"/>
        <v>1</v>
      </c>
      <c r="N208" s="53" t="str">
        <f t="shared" si="54"/>
        <v>Germany-Friedola 1888 GmbH</v>
      </c>
      <c r="O208" s="68" t="str">
        <f t="shared" si="58"/>
        <v>Germany
ct</v>
      </c>
      <c r="P208" s="53" t="b">
        <f t="shared" si="55"/>
        <v>0</v>
      </c>
      <c r="Q208" s="53"/>
      <c r="R208" s="53" t="str">
        <f t="shared" si="56"/>
        <v>CT</v>
      </c>
      <c r="S208" s="53" t="str">
        <f t="shared" si="57"/>
        <v>ct</v>
      </c>
      <c r="T208" s="53">
        <f t="shared" si="59"/>
        <v>2</v>
      </c>
      <c r="U208" s="53" t="str">
        <f t="shared" si="60"/>
        <v>Gormany</v>
      </c>
      <c r="V208" s="53" t="str">
        <f t="shared" si="61"/>
        <v>Natur</v>
      </c>
      <c r="W208" s="53" t="str">
        <f t="shared" si="62"/>
        <v>mbH</v>
      </c>
      <c r="X208" s="53" t="e">
        <f t="shared" si="63"/>
        <v>#VALUE!</v>
      </c>
      <c r="Y208" s="53"/>
      <c r="Z208" s="53"/>
      <c r="AA208" s="53"/>
    </row>
    <row r="209" spans="1:27" ht="30" x14ac:dyDescent="0.25">
      <c r="A209" s="79" t="s">
        <v>1332</v>
      </c>
      <c r="B209" s="79" t="s">
        <v>3525</v>
      </c>
      <c r="C209" s="79" t="s">
        <v>3504</v>
      </c>
      <c r="D209" s="79" t="s">
        <v>1676</v>
      </c>
      <c r="E209" s="79" t="s">
        <v>1677</v>
      </c>
      <c r="F209" s="79" t="s">
        <v>13</v>
      </c>
      <c r="G209" s="79">
        <v>15</v>
      </c>
      <c r="H209" s="53">
        <f t="shared" si="48"/>
        <v>160.5</v>
      </c>
      <c r="I209" s="53">
        <f t="shared" si="49"/>
        <v>147</v>
      </c>
      <c r="J209" s="53">
        <f t="shared" si="50"/>
        <v>485.5</v>
      </c>
      <c r="K209" s="53">
        <f t="shared" si="53"/>
        <v>8</v>
      </c>
      <c r="L209" s="53" t="b">
        <f t="shared" si="51"/>
        <v>1</v>
      </c>
      <c r="M209" s="53" t="b">
        <f t="shared" si="52"/>
        <v>1</v>
      </c>
      <c r="N209" s="53" t="str">
        <f t="shared" si="54"/>
        <v>Germany-Friedola 1888 GmbH</v>
      </c>
      <c r="O209" s="68" t="str">
        <f t="shared" si="58"/>
        <v>Germany
ct</v>
      </c>
      <c r="P209" s="53" t="b">
        <f t="shared" si="55"/>
        <v>0</v>
      </c>
      <c r="Q209" s="53"/>
      <c r="R209" s="53" t="str">
        <f t="shared" si="56"/>
        <v>CT</v>
      </c>
      <c r="S209" s="53" t="str">
        <f t="shared" si="57"/>
        <v>ct</v>
      </c>
      <c r="T209" s="53">
        <f t="shared" si="59"/>
        <v>2</v>
      </c>
      <c r="U209" s="53" t="str">
        <f t="shared" si="60"/>
        <v>Gormany</v>
      </c>
      <c r="V209" s="53" t="str">
        <f t="shared" si="61"/>
        <v>Natur</v>
      </c>
      <c r="W209" s="53" t="str">
        <f t="shared" si="62"/>
        <v>mbH</v>
      </c>
      <c r="X209" s="53" t="e">
        <f t="shared" si="63"/>
        <v>#VALUE!</v>
      </c>
      <c r="Y209" s="53"/>
      <c r="Z209" s="53"/>
      <c r="AA209" s="53"/>
    </row>
    <row r="210" spans="1:27" ht="30" x14ac:dyDescent="0.25">
      <c r="A210" s="79" t="s">
        <v>1407</v>
      </c>
      <c r="B210" s="79" t="s">
        <v>3526</v>
      </c>
      <c r="C210" s="79" t="s">
        <v>3504</v>
      </c>
      <c r="D210" s="79" t="s">
        <v>1662</v>
      </c>
      <c r="E210" s="79" t="s">
        <v>1663</v>
      </c>
      <c r="F210" s="79" t="s">
        <v>13</v>
      </c>
      <c r="G210" s="79">
        <v>14</v>
      </c>
      <c r="H210" s="53">
        <f t="shared" si="48"/>
        <v>185</v>
      </c>
      <c r="I210" s="53">
        <f t="shared" si="49"/>
        <v>175</v>
      </c>
      <c r="J210" s="53">
        <f t="shared" si="50"/>
        <v>587.25</v>
      </c>
      <c r="K210" s="53">
        <f t="shared" si="53"/>
        <v>10</v>
      </c>
      <c r="L210" s="53" t="b">
        <f t="shared" si="51"/>
        <v>1</v>
      </c>
      <c r="M210" s="53" t="b">
        <f t="shared" si="52"/>
        <v>1</v>
      </c>
      <c r="N210" s="53" t="str">
        <f t="shared" si="54"/>
        <v>Bangladesh-DENIMACH LTD</v>
      </c>
      <c r="O210" s="68" t="str">
        <f t="shared" si="58"/>
        <v>Bangladesh
ct</v>
      </c>
      <c r="P210" s="53" t="b">
        <f t="shared" si="55"/>
        <v>0</v>
      </c>
      <c r="Q210" s="53"/>
      <c r="R210" s="53" t="str">
        <f t="shared" si="56"/>
        <v>CT</v>
      </c>
      <c r="S210" s="53" t="str">
        <f t="shared" si="57"/>
        <v>ct</v>
      </c>
      <c r="T210" s="53">
        <f t="shared" si="59"/>
        <v>2</v>
      </c>
      <c r="U210" s="53" t="str">
        <f t="shared" si="60"/>
        <v>Bangladosh</v>
      </c>
      <c r="V210" s="53" t="str">
        <f t="shared" si="61"/>
        <v>Natur</v>
      </c>
      <c r="W210" s="53" t="str">
        <f t="shared" si="62"/>
        <v>LTD</v>
      </c>
      <c r="X210" s="53" t="e">
        <f t="shared" si="63"/>
        <v>#VALUE!</v>
      </c>
      <c r="Y210" s="53"/>
      <c r="Z210" s="53"/>
      <c r="AA210" s="53"/>
    </row>
    <row r="211" spans="1:27" ht="30" x14ac:dyDescent="0.25">
      <c r="A211" s="79" t="s">
        <v>1413</v>
      </c>
      <c r="B211" s="79" t="s">
        <v>3527</v>
      </c>
      <c r="C211" s="79" t="s">
        <v>3504</v>
      </c>
      <c r="D211" s="79" t="s">
        <v>1656</v>
      </c>
      <c r="E211" s="79" t="s">
        <v>1657</v>
      </c>
      <c r="F211" s="79" t="s">
        <v>13</v>
      </c>
      <c r="G211" s="79">
        <v>14</v>
      </c>
      <c r="H211" s="53">
        <f t="shared" si="48"/>
        <v>185</v>
      </c>
      <c r="I211" s="53">
        <f t="shared" si="49"/>
        <v>175</v>
      </c>
      <c r="J211" s="53">
        <f t="shared" si="50"/>
        <v>460</v>
      </c>
      <c r="K211" s="53">
        <f t="shared" si="53"/>
        <v>9</v>
      </c>
      <c r="L211" s="53" t="b">
        <f t="shared" si="51"/>
        <v>1</v>
      </c>
      <c r="M211" s="53" t="b">
        <f t="shared" si="52"/>
        <v>1</v>
      </c>
      <c r="N211" s="53" t="str">
        <f t="shared" si="54"/>
        <v>Netherlands-Bolsius Boxmeer</v>
      </c>
      <c r="O211" s="68" t="str">
        <f t="shared" si="58"/>
        <v>Netherlands
ct</v>
      </c>
      <c r="P211" s="53" t="b">
        <f t="shared" si="55"/>
        <v>0</v>
      </c>
      <c r="Q211" s="53"/>
      <c r="R211" s="53" t="str">
        <f t="shared" si="56"/>
        <v>CT</v>
      </c>
      <c r="S211" s="53" t="str">
        <f t="shared" si="57"/>
        <v>ct</v>
      </c>
      <c r="T211" s="53">
        <f t="shared" si="59"/>
        <v>2</v>
      </c>
      <c r="U211" s="53" t="str">
        <f t="shared" si="60"/>
        <v>Nothorlands</v>
      </c>
      <c r="V211" s="53" t="str">
        <f t="shared" si="61"/>
        <v>Natur</v>
      </c>
      <c r="W211" s="53" t="str">
        <f t="shared" si="62"/>
        <v>eer</v>
      </c>
      <c r="X211" s="53" t="e">
        <f t="shared" si="63"/>
        <v>#VALUE!</v>
      </c>
      <c r="Y211" s="53"/>
      <c r="Z211" s="53"/>
      <c r="AA211" s="53"/>
    </row>
    <row r="212" spans="1:27" ht="30" x14ac:dyDescent="0.25">
      <c r="A212" s="79" t="s">
        <v>1433</v>
      </c>
      <c r="B212" s="79" t="s">
        <v>3528</v>
      </c>
      <c r="C212" s="79" t="s">
        <v>3504</v>
      </c>
      <c r="D212" s="79" t="s">
        <v>1671</v>
      </c>
      <c r="E212" s="79" t="s">
        <v>1672</v>
      </c>
      <c r="F212" s="79" t="s">
        <v>13</v>
      </c>
      <c r="G212" s="79">
        <v>13</v>
      </c>
      <c r="H212" s="53">
        <f t="shared" si="48"/>
        <v>201</v>
      </c>
      <c r="I212" s="53">
        <f t="shared" si="49"/>
        <v>197</v>
      </c>
      <c r="J212" s="53">
        <f t="shared" si="50"/>
        <v>561.5</v>
      </c>
      <c r="K212" s="53">
        <f t="shared" si="53"/>
        <v>10</v>
      </c>
      <c r="L212" s="53" t="b">
        <f t="shared" si="51"/>
        <v>1</v>
      </c>
      <c r="M212" s="53" t="b">
        <f t="shared" si="52"/>
        <v>1</v>
      </c>
      <c r="N212" s="53" t="str">
        <f t="shared" si="54"/>
        <v>India-Indo Count Industries Ltd</v>
      </c>
      <c r="O212" s="68" t="str">
        <f t="shared" si="58"/>
        <v>India
ct</v>
      </c>
      <c r="P212" s="53" t="b">
        <f t="shared" si="55"/>
        <v>0</v>
      </c>
      <c r="Q212" s="53"/>
      <c r="R212" s="53" t="str">
        <f t="shared" si="56"/>
        <v>CT</v>
      </c>
      <c r="S212" s="53" t="str">
        <f t="shared" si="57"/>
        <v>ct</v>
      </c>
      <c r="T212" s="53">
        <f t="shared" si="59"/>
        <v>2</v>
      </c>
      <c r="U212" s="53" t="str">
        <f t="shared" si="60"/>
        <v>India</v>
      </c>
      <c r="V212" s="53" t="str">
        <f t="shared" si="61"/>
        <v>Quake</v>
      </c>
      <c r="W212" s="53" t="str">
        <f t="shared" si="62"/>
        <v>Ltd</v>
      </c>
      <c r="X212" s="53" t="e">
        <f t="shared" si="63"/>
        <v>#VALUE!</v>
      </c>
      <c r="Y212" s="53"/>
      <c r="Z212" s="53"/>
      <c r="AA212" s="53"/>
    </row>
    <row r="213" spans="1:27" ht="30" x14ac:dyDescent="0.25">
      <c r="A213" s="79" t="s">
        <v>2248</v>
      </c>
      <c r="B213" s="79" t="s">
        <v>3529</v>
      </c>
      <c r="C213" s="79" t="s">
        <v>3504</v>
      </c>
      <c r="D213" s="79" t="s">
        <v>1669</v>
      </c>
      <c r="E213" s="79" t="s">
        <v>1670</v>
      </c>
      <c r="F213" s="79" t="s">
        <v>13</v>
      </c>
      <c r="G213" s="79">
        <v>15</v>
      </c>
      <c r="H213" s="53">
        <f t="shared" si="48"/>
        <v>160.5</v>
      </c>
      <c r="I213" s="53">
        <f t="shared" si="49"/>
        <v>147</v>
      </c>
      <c r="J213" s="53">
        <f t="shared" si="50"/>
        <v>514.5</v>
      </c>
      <c r="K213" s="53">
        <f t="shared" si="53"/>
        <v>6</v>
      </c>
      <c r="L213" s="53" t="b">
        <f t="shared" si="51"/>
        <v>1</v>
      </c>
      <c r="M213" s="53" t="b">
        <f t="shared" si="52"/>
        <v>1</v>
      </c>
      <c r="N213" s="53" t="str">
        <f t="shared" si="54"/>
        <v>Lithuania-BIGSO AB</v>
      </c>
      <c r="O213" s="68" t="str">
        <f t="shared" si="58"/>
        <v>Lithuania
ct</v>
      </c>
      <c r="P213" s="53" t="b">
        <f t="shared" si="55"/>
        <v>0</v>
      </c>
      <c r="Q213" s="53"/>
      <c r="R213" s="53" t="str">
        <f t="shared" si="56"/>
        <v>CT</v>
      </c>
      <c r="S213" s="53" t="str">
        <f t="shared" si="57"/>
        <v>ct</v>
      </c>
      <c r="T213" s="53">
        <f t="shared" si="59"/>
        <v>2</v>
      </c>
      <c r="U213" s="53" t="str">
        <f t="shared" si="60"/>
        <v>Lithuania</v>
      </c>
      <c r="V213" s="53" t="str">
        <f t="shared" si="61"/>
        <v>Quake</v>
      </c>
      <c r="W213" s="53" t="str">
        <f t="shared" si="62"/>
        <v xml:space="preserve"> AB</v>
      </c>
      <c r="X213" s="53" t="e">
        <f t="shared" si="63"/>
        <v>#VALUE!</v>
      </c>
      <c r="Y213" s="53"/>
      <c r="Z213" s="53"/>
      <c r="AA213" s="53"/>
    </row>
    <row r="214" spans="1:27" ht="30" x14ac:dyDescent="0.25">
      <c r="A214" s="79" t="s">
        <v>1313</v>
      </c>
      <c r="B214" s="79" t="s">
        <v>3530</v>
      </c>
      <c r="C214" s="79" t="s">
        <v>3504</v>
      </c>
      <c r="D214" s="79" t="s">
        <v>1680</v>
      </c>
      <c r="E214" s="79" t="s">
        <v>1681</v>
      </c>
      <c r="F214" s="79" t="s">
        <v>269</v>
      </c>
      <c r="G214" s="79">
        <v>15</v>
      </c>
      <c r="H214" s="53">
        <f t="shared" si="48"/>
        <v>160.5</v>
      </c>
      <c r="I214" s="53">
        <f t="shared" si="49"/>
        <v>147</v>
      </c>
      <c r="J214" s="53">
        <f t="shared" si="50"/>
        <v>264</v>
      </c>
      <c r="K214" s="53">
        <f t="shared" si="53"/>
        <v>5</v>
      </c>
      <c r="L214" s="53" t="b">
        <f t="shared" si="51"/>
        <v>1</v>
      </c>
      <c r="M214" s="53" t="b">
        <f t="shared" si="52"/>
        <v>1</v>
      </c>
      <c r="N214" s="53" t="str">
        <f t="shared" si="54"/>
        <v>China-CHERRY GROUP CO.,LTD</v>
      </c>
      <c r="O214" s="68" t="str">
        <f t="shared" si="58"/>
        <v>China
ct.</v>
      </c>
      <c r="P214" s="53" t="b">
        <f t="shared" si="55"/>
        <v>0</v>
      </c>
      <c r="Q214" s="53"/>
      <c r="R214" s="53" t="str">
        <f t="shared" si="56"/>
        <v>CT.</v>
      </c>
      <c r="S214" s="53" t="str">
        <f t="shared" si="57"/>
        <v>ct.</v>
      </c>
      <c r="T214" s="53">
        <f t="shared" si="59"/>
        <v>2</v>
      </c>
      <c r="U214" s="53" t="str">
        <f t="shared" si="60"/>
        <v>China</v>
      </c>
      <c r="V214" s="53" t="str">
        <f t="shared" si="61"/>
        <v>Sarge</v>
      </c>
      <c r="W214" s="53" t="str">
        <f t="shared" si="62"/>
        <v>LTD</v>
      </c>
      <c r="X214" s="53" t="e">
        <f t="shared" si="63"/>
        <v>#VALUE!</v>
      </c>
      <c r="Y214" s="53"/>
      <c r="Z214" s="53"/>
      <c r="AA214" s="53"/>
    </row>
    <row r="215" spans="1:27" ht="30" x14ac:dyDescent="0.25">
      <c r="A215" s="79" t="s">
        <v>227</v>
      </c>
      <c r="B215" s="79" t="s">
        <v>3531</v>
      </c>
      <c r="C215" s="79" t="s">
        <v>3504</v>
      </c>
      <c r="D215" s="79" t="s">
        <v>1676</v>
      </c>
      <c r="E215" s="79" t="s">
        <v>1677</v>
      </c>
      <c r="F215" s="79" t="s">
        <v>13</v>
      </c>
      <c r="G215" s="79">
        <v>12</v>
      </c>
      <c r="H215" s="53">
        <f t="shared" si="48"/>
        <v>214.5</v>
      </c>
      <c r="I215" s="53">
        <f t="shared" si="49"/>
        <v>209</v>
      </c>
      <c r="J215" s="53">
        <f t="shared" si="50"/>
        <v>485.5</v>
      </c>
      <c r="K215" s="53">
        <f t="shared" si="53"/>
        <v>7</v>
      </c>
      <c r="L215" s="53" t="b">
        <f t="shared" si="51"/>
        <v>1</v>
      </c>
      <c r="M215" s="53" t="b">
        <f t="shared" si="52"/>
        <v>1</v>
      </c>
      <c r="N215" s="53" t="str">
        <f t="shared" si="54"/>
        <v>Germany-Friedola 1888 GmbH</v>
      </c>
      <c r="O215" s="68" t="str">
        <f t="shared" si="58"/>
        <v>Germany
ct</v>
      </c>
      <c r="P215" s="53" t="b">
        <f t="shared" si="55"/>
        <v>0</v>
      </c>
      <c r="Q215" s="53"/>
      <c r="R215" s="53" t="str">
        <f t="shared" si="56"/>
        <v>CT</v>
      </c>
      <c r="S215" s="53" t="str">
        <f t="shared" si="57"/>
        <v>ct</v>
      </c>
      <c r="T215" s="53">
        <f t="shared" si="59"/>
        <v>2</v>
      </c>
      <c r="U215" s="53" t="str">
        <f t="shared" si="60"/>
        <v>Gormany</v>
      </c>
      <c r="V215" s="53" t="str">
        <f t="shared" si="61"/>
        <v>Sarge</v>
      </c>
      <c r="W215" s="53" t="str">
        <f t="shared" si="62"/>
        <v>mbH</v>
      </c>
      <c r="X215" s="53" t="e">
        <f t="shared" si="63"/>
        <v>#VALUE!</v>
      </c>
      <c r="Y215" s="53"/>
      <c r="Z215" s="53"/>
      <c r="AA215" s="53"/>
    </row>
    <row r="216" spans="1:27" ht="30" x14ac:dyDescent="0.25">
      <c r="A216" s="79" t="s">
        <v>294</v>
      </c>
      <c r="B216" s="79" t="s">
        <v>3532</v>
      </c>
      <c r="C216" s="79" t="s">
        <v>3504</v>
      </c>
      <c r="D216" s="79" t="s">
        <v>1666</v>
      </c>
      <c r="E216" s="79" t="s">
        <v>1667</v>
      </c>
      <c r="F216" s="79" t="s">
        <v>13</v>
      </c>
      <c r="G216" s="79">
        <v>12</v>
      </c>
      <c r="H216" s="53">
        <f t="shared" si="48"/>
        <v>214.5</v>
      </c>
      <c r="I216" s="53">
        <f t="shared" si="49"/>
        <v>209</v>
      </c>
      <c r="J216" s="53">
        <f t="shared" si="50"/>
        <v>415.25</v>
      </c>
      <c r="K216" s="53">
        <f t="shared" si="53"/>
        <v>4</v>
      </c>
      <c r="L216" s="53" t="b">
        <f t="shared" si="51"/>
        <v>1</v>
      </c>
      <c r="M216" s="53" t="b">
        <f t="shared" si="52"/>
        <v>1</v>
      </c>
      <c r="N216" s="53" t="str">
        <f t="shared" si="54"/>
        <v>Finland-HARDFORD AB</v>
      </c>
      <c r="O216" s="68" t="str">
        <f t="shared" si="58"/>
        <v>Finland
ct</v>
      </c>
      <c r="P216" s="53" t="b">
        <f t="shared" si="55"/>
        <v>0</v>
      </c>
      <c r="Q216" s="53"/>
      <c r="R216" s="53" t="str">
        <f t="shared" si="56"/>
        <v>CT</v>
      </c>
      <c r="S216" s="53" t="str">
        <f t="shared" si="57"/>
        <v>ct</v>
      </c>
      <c r="T216" s="53">
        <f t="shared" si="59"/>
        <v>2</v>
      </c>
      <c r="U216" s="53" t="str">
        <f t="shared" si="60"/>
        <v>Finland</v>
      </c>
      <c r="V216" s="53" t="str">
        <f t="shared" si="61"/>
        <v>Yopla</v>
      </c>
      <c r="W216" s="53" t="str">
        <f t="shared" si="62"/>
        <v xml:space="preserve"> AB</v>
      </c>
      <c r="X216" s="53" t="e">
        <f t="shared" si="63"/>
        <v>#VALUE!</v>
      </c>
      <c r="Y216" s="53"/>
      <c r="Z216" s="53"/>
      <c r="AA216" s="53"/>
    </row>
    <row r="217" spans="1:27" ht="30" x14ac:dyDescent="0.25">
      <c r="A217" s="79" t="s">
        <v>1506</v>
      </c>
      <c r="B217" s="79" t="s">
        <v>3533</v>
      </c>
      <c r="C217" s="79" t="s">
        <v>3534</v>
      </c>
      <c r="D217" s="79" t="s">
        <v>1671</v>
      </c>
      <c r="E217" s="79" t="s">
        <v>1672</v>
      </c>
      <c r="F217" s="79" t="s">
        <v>167</v>
      </c>
      <c r="G217" s="79">
        <v>19.5</v>
      </c>
      <c r="H217" s="53">
        <f t="shared" si="48"/>
        <v>69</v>
      </c>
      <c r="I217" s="53">
        <f t="shared" si="49"/>
        <v>68</v>
      </c>
      <c r="J217" s="53">
        <f t="shared" si="50"/>
        <v>561.5</v>
      </c>
      <c r="K217" s="53">
        <f t="shared" si="53"/>
        <v>9</v>
      </c>
      <c r="L217" s="53" t="b">
        <f t="shared" si="51"/>
        <v>1</v>
      </c>
      <c r="M217" s="53" t="b">
        <f t="shared" si="52"/>
        <v>1</v>
      </c>
      <c r="N217" s="53" t="str">
        <f t="shared" si="54"/>
        <v>India-Indo Count Industries Ltd</v>
      </c>
      <c r="O217" s="68" t="str">
        <f t="shared" si="58"/>
        <v>India
oz</v>
      </c>
      <c r="P217" s="53" t="b">
        <f t="shared" si="55"/>
        <v>0</v>
      </c>
      <c r="Q217" s="53"/>
      <c r="R217" s="53" t="str">
        <f t="shared" si="56"/>
        <v>OZ</v>
      </c>
      <c r="S217" s="53" t="str">
        <f t="shared" si="57"/>
        <v>oz</v>
      </c>
      <c r="T217" s="53">
        <f t="shared" si="59"/>
        <v>2</v>
      </c>
      <c r="U217" s="53" t="str">
        <f t="shared" si="60"/>
        <v>India</v>
      </c>
      <c r="V217" s="53" t="str">
        <f t="shared" si="61"/>
        <v>Delux</v>
      </c>
      <c r="W217" s="53" t="str">
        <f t="shared" si="62"/>
        <v>Ltd</v>
      </c>
      <c r="X217" s="53" t="e">
        <f t="shared" si="63"/>
        <v>#VALUE!</v>
      </c>
      <c r="Y217" s="53"/>
      <c r="Z217" s="53"/>
      <c r="AA217" s="53"/>
    </row>
    <row r="218" spans="1:27" ht="30" x14ac:dyDescent="0.25">
      <c r="A218" s="79" t="s">
        <v>385</v>
      </c>
      <c r="B218" s="79" t="s">
        <v>3535</v>
      </c>
      <c r="C218" s="79" t="s">
        <v>3534</v>
      </c>
      <c r="D218" s="79" t="s">
        <v>1659</v>
      </c>
      <c r="E218" s="79" t="s">
        <v>1660</v>
      </c>
      <c r="F218" s="79" t="s">
        <v>269</v>
      </c>
      <c r="G218" s="79">
        <v>14</v>
      </c>
      <c r="H218" s="53">
        <f t="shared" si="48"/>
        <v>185</v>
      </c>
      <c r="I218" s="53">
        <f t="shared" si="49"/>
        <v>175</v>
      </c>
      <c r="J218" s="53">
        <f t="shared" si="50"/>
        <v>484.25</v>
      </c>
      <c r="K218" s="53">
        <f t="shared" si="53"/>
        <v>3</v>
      </c>
      <c r="L218" s="53" t="b">
        <f t="shared" si="51"/>
        <v>1</v>
      </c>
      <c r="M218" s="53" t="b">
        <f t="shared" si="52"/>
        <v>1</v>
      </c>
      <c r="N218" s="53" t="str">
        <f t="shared" si="54"/>
        <v>poland-CHROMADURLIN S.A.S</v>
      </c>
      <c r="O218" s="68" t="str">
        <f t="shared" si="58"/>
        <v>poland
ct.</v>
      </c>
      <c r="P218" s="53" t="b">
        <f t="shared" si="55"/>
        <v>0</v>
      </c>
      <c r="Q218" s="53"/>
      <c r="R218" s="53" t="str">
        <f t="shared" si="56"/>
        <v>CT.</v>
      </c>
      <c r="S218" s="53" t="str">
        <f t="shared" si="57"/>
        <v>ct.</v>
      </c>
      <c r="T218" s="53">
        <f t="shared" si="59"/>
        <v>2</v>
      </c>
      <c r="U218" s="53" t="str">
        <f t="shared" si="60"/>
        <v>poland</v>
      </c>
      <c r="V218" s="53" t="str">
        <f t="shared" si="61"/>
        <v>Plant</v>
      </c>
      <c r="W218" s="53" t="str">
        <f t="shared" si="62"/>
        <v>A.S</v>
      </c>
      <c r="X218" s="53" t="e">
        <f t="shared" si="63"/>
        <v>#VALUE!</v>
      </c>
      <c r="Y218" s="53"/>
      <c r="Z218" s="53"/>
      <c r="AA218" s="53"/>
    </row>
    <row r="219" spans="1:27" ht="30" x14ac:dyDescent="0.25">
      <c r="A219" s="79" t="s">
        <v>503</v>
      </c>
      <c r="B219" s="79" t="s">
        <v>3536</v>
      </c>
      <c r="C219" s="79" t="s">
        <v>3534</v>
      </c>
      <c r="D219" s="79" t="s">
        <v>1662</v>
      </c>
      <c r="E219" s="79" t="s">
        <v>1663</v>
      </c>
      <c r="F219" s="79" t="s">
        <v>13</v>
      </c>
      <c r="G219" s="79">
        <v>16.5</v>
      </c>
      <c r="H219" s="53">
        <f t="shared" si="48"/>
        <v>110.5</v>
      </c>
      <c r="I219" s="53">
        <f t="shared" si="49"/>
        <v>110</v>
      </c>
      <c r="J219" s="53">
        <f t="shared" si="50"/>
        <v>587.25</v>
      </c>
      <c r="K219" s="53">
        <f t="shared" si="53"/>
        <v>9</v>
      </c>
      <c r="L219" s="53" t="b">
        <f t="shared" si="51"/>
        <v>1</v>
      </c>
      <c r="M219" s="53" t="b">
        <f t="shared" si="52"/>
        <v>1</v>
      </c>
      <c r="N219" s="53" t="str">
        <f t="shared" si="54"/>
        <v>Bangladesh-DENIMACH LTD</v>
      </c>
      <c r="O219" s="68" t="str">
        <f t="shared" si="58"/>
        <v>Bangladesh
ct</v>
      </c>
      <c r="P219" s="53" t="b">
        <f t="shared" si="55"/>
        <v>0</v>
      </c>
      <c r="Q219" s="53"/>
      <c r="R219" s="53" t="str">
        <f t="shared" si="56"/>
        <v>CT</v>
      </c>
      <c r="S219" s="53" t="str">
        <f t="shared" si="57"/>
        <v>ct</v>
      </c>
      <c r="T219" s="53">
        <f t="shared" si="59"/>
        <v>2</v>
      </c>
      <c r="U219" s="53" t="str">
        <f t="shared" si="60"/>
        <v>Bangladosh</v>
      </c>
      <c r="V219" s="53" t="str">
        <f t="shared" si="61"/>
        <v>Plant</v>
      </c>
      <c r="W219" s="53" t="str">
        <f t="shared" si="62"/>
        <v>LTD</v>
      </c>
      <c r="X219" s="53" t="e">
        <f t="shared" si="63"/>
        <v>#VALUE!</v>
      </c>
      <c r="Y219" s="53"/>
      <c r="Z219" s="53"/>
      <c r="AA219" s="53"/>
    </row>
    <row r="220" spans="1:27" ht="30" x14ac:dyDescent="0.25">
      <c r="A220" s="79" t="s">
        <v>1474</v>
      </c>
      <c r="B220" s="79" t="s">
        <v>3537</v>
      </c>
      <c r="C220" s="79" t="s">
        <v>3534</v>
      </c>
      <c r="D220" s="79" t="s">
        <v>1676</v>
      </c>
      <c r="E220" s="79" t="s">
        <v>1677</v>
      </c>
      <c r="F220" s="79" t="s">
        <v>167</v>
      </c>
      <c r="G220" s="79">
        <v>20.5</v>
      </c>
      <c r="H220" s="53">
        <f t="shared" si="48"/>
        <v>54</v>
      </c>
      <c r="I220" s="53">
        <f t="shared" si="49"/>
        <v>54</v>
      </c>
      <c r="J220" s="53">
        <f t="shared" si="50"/>
        <v>485.5</v>
      </c>
      <c r="K220" s="53">
        <f t="shared" si="53"/>
        <v>6</v>
      </c>
      <c r="L220" s="53" t="b">
        <f t="shared" si="51"/>
        <v>0</v>
      </c>
      <c r="M220" s="53" t="b">
        <f t="shared" si="52"/>
        <v>1</v>
      </c>
      <c r="N220" s="53" t="str">
        <f t="shared" si="54"/>
        <v>Germany-Friedola 1888 GmbH</v>
      </c>
      <c r="O220" s="68" t="str">
        <f t="shared" si="58"/>
        <v>Germany
oz</v>
      </c>
      <c r="P220" s="53" t="b">
        <f t="shared" si="55"/>
        <v>0</v>
      </c>
      <c r="Q220" s="53"/>
      <c r="R220" s="53" t="str">
        <f t="shared" si="56"/>
        <v>OZ</v>
      </c>
      <c r="S220" s="53" t="str">
        <f t="shared" si="57"/>
        <v>oz</v>
      </c>
      <c r="T220" s="53">
        <f t="shared" si="59"/>
        <v>2</v>
      </c>
      <c r="U220" s="53" t="str">
        <f t="shared" si="60"/>
        <v>Gormany</v>
      </c>
      <c r="V220" s="53" t="str">
        <f t="shared" si="61"/>
        <v>Unsal</v>
      </c>
      <c r="W220" s="53" t="str">
        <f t="shared" si="62"/>
        <v>mbH</v>
      </c>
      <c r="X220" s="53" t="e">
        <f t="shared" si="63"/>
        <v>#VALUE!</v>
      </c>
      <c r="Y220" s="53"/>
      <c r="Z220" s="53"/>
      <c r="AA220" s="53"/>
    </row>
    <row r="221" spans="1:27" ht="30" x14ac:dyDescent="0.25">
      <c r="A221" s="79" t="s">
        <v>181</v>
      </c>
      <c r="B221" s="79" t="s">
        <v>3538</v>
      </c>
      <c r="C221" s="79" t="s">
        <v>3534</v>
      </c>
      <c r="D221" s="79" t="s">
        <v>1656</v>
      </c>
      <c r="E221" s="79" t="s">
        <v>1657</v>
      </c>
      <c r="F221" s="79" t="s">
        <v>13</v>
      </c>
      <c r="G221" s="79">
        <v>6</v>
      </c>
      <c r="H221" s="53">
        <f t="shared" si="48"/>
        <v>262.5</v>
      </c>
      <c r="I221" s="53">
        <f t="shared" si="49"/>
        <v>262</v>
      </c>
      <c r="J221" s="53">
        <f t="shared" si="50"/>
        <v>460</v>
      </c>
      <c r="K221" s="53">
        <f t="shared" si="53"/>
        <v>8</v>
      </c>
      <c r="L221" s="53" t="b">
        <f t="shared" si="51"/>
        <v>1</v>
      </c>
      <c r="M221" s="53" t="b">
        <f t="shared" si="52"/>
        <v>1</v>
      </c>
      <c r="N221" s="53" t="str">
        <f t="shared" si="54"/>
        <v>Netherlands-Bolsius Boxmeer</v>
      </c>
      <c r="O221" s="68" t="str">
        <f t="shared" si="58"/>
        <v>Netherlands
ct</v>
      </c>
      <c r="P221" s="53" t="b">
        <f t="shared" si="55"/>
        <v>0</v>
      </c>
      <c r="Q221" s="53"/>
      <c r="R221" s="53" t="str">
        <f t="shared" si="56"/>
        <v>CT</v>
      </c>
      <c r="S221" s="53" t="str">
        <f t="shared" si="57"/>
        <v>ct</v>
      </c>
      <c r="T221" s="53">
        <f t="shared" si="59"/>
        <v>2</v>
      </c>
      <c r="U221" s="53" t="str">
        <f t="shared" si="60"/>
        <v>Nothorlands</v>
      </c>
      <c r="V221" s="53" t="str">
        <f t="shared" si="61"/>
        <v xml:space="preserve">Blue </v>
      </c>
      <c r="W221" s="53" t="str">
        <f t="shared" si="62"/>
        <v>eer</v>
      </c>
      <c r="X221" s="53" t="e">
        <f t="shared" si="63"/>
        <v>#VALUE!</v>
      </c>
      <c r="Y221" s="53"/>
      <c r="Z221" s="53"/>
      <c r="AA221" s="53"/>
    </row>
    <row r="222" spans="1:27" ht="30" x14ac:dyDescent="0.25">
      <c r="A222" s="79" t="s">
        <v>578</v>
      </c>
      <c r="B222" s="79" t="s">
        <v>3539</v>
      </c>
      <c r="C222" s="79" t="s">
        <v>3534</v>
      </c>
      <c r="D222" s="79" t="s">
        <v>1680</v>
      </c>
      <c r="E222" s="79" t="s">
        <v>1681</v>
      </c>
      <c r="F222" s="79" t="s">
        <v>13</v>
      </c>
      <c r="G222" s="79">
        <v>22</v>
      </c>
      <c r="H222" s="53">
        <f t="shared" si="48"/>
        <v>46.5</v>
      </c>
      <c r="I222" s="53">
        <f t="shared" si="49"/>
        <v>44</v>
      </c>
      <c r="J222" s="53">
        <f t="shared" si="50"/>
        <v>264</v>
      </c>
      <c r="K222" s="53">
        <f t="shared" si="53"/>
        <v>4</v>
      </c>
      <c r="L222" s="53" t="b">
        <f t="shared" si="51"/>
        <v>0</v>
      </c>
      <c r="M222" s="53" t="b">
        <f t="shared" si="52"/>
        <v>1</v>
      </c>
      <c r="N222" s="53" t="str">
        <f t="shared" si="54"/>
        <v>China-CHERRY GROUP CO.,LTD</v>
      </c>
      <c r="O222" s="68" t="str">
        <f t="shared" si="58"/>
        <v>China
ct</v>
      </c>
      <c r="P222" s="53" t="b">
        <f t="shared" si="55"/>
        <v>0</v>
      </c>
      <c r="Q222" s="53"/>
      <c r="R222" s="53" t="str">
        <f t="shared" si="56"/>
        <v>CT</v>
      </c>
      <c r="S222" s="53" t="str">
        <f t="shared" si="57"/>
        <v>ct</v>
      </c>
      <c r="T222" s="53">
        <f t="shared" si="59"/>
        <v>2</v>
      </c>
      <c r="U222" s="53" t="str">
        <f t="shared" si="60"/>
        <v>China</v>
      </c>
      <c r="V222" s="53" t="str">
        <f t="shared" si="61"/>
        <v>Wonde</v>
      </c>
      <c r="W222" s="53" t="str">
        <f t="shared" si="62"/>
        <v>LTD</v>
      </c>
      <c r="X222" s="53" t="e">
        <f t="shared" si="63"/>
        <v>#VALUE!</v>
      </c>
      <c r="Y222" s="53"/>
      <c r="Z222" s="53"/>
      <c r="AA222" s="53"/>
    </row>
    <row r="223" spans="1:27" ht="30" x14ac:dyDescent="0.25">
      <c r="A223" s="79" t="s">
        <v>1379</v>
      </c>
      <c r="B223" s="79" t="s">
        <v>3540</v>
      </c>
      <c r="C223" s="79" t="s">
        <v>3541</v>
      </c>
      <c r="D223" s="79" t="s">
        <v>1676</v>
      </c>
      <c r="E223" s="79" t="s">
        <v>1677</v>
      </c>
      <c r="F223" s="79" t="s">
        <v>13</v>
      </c>
      <c r="G223" s="79">
        <v>14</v>
      </c>
      <c r="H223" s="53">
        <f t="shared" si="48"/>
        <v>185</v>
      </c>
      <c r="I223" s="53">
        <f t="shared" si="49"/>
        <v>175</v>
      </c>
      <c r="J223" s="53">
        <f t="shared" si="50"/>
        <v>485.5</v>
      </c>
      <c r="K223" s="53">
        <f t="shared" si="53"/>
        <v>5</v>
      </c>
      <c r="L223" s="53" t="b">
        <f t="shared" si="51"/>
        <v>1</v>
      </c>
      <c r="M223" s="53" t="b">
        <f t="shared" si="52"/>
        <v>1</v>
      </c>
      <c r="N223" s="53" t="str">
        <f t="shared" si="54"/>
        <v>Germany-Friedola 1888 GmbH</v>
      </c>
      <c r="O223" s="68" t="str">
        <f t="shared" si="58"/>
        <v>Germany
ct</v>
      </c>
      <c r="P223" s="53" t="b">
        <f t="shared" si="55"/>
        <v>0</v>
      </c>
      <c r="Q223" s="53"/>
      <c r="R223" s="53" t="str">
        <f t="shared" si="56"/>
        <v>CT</v>
      </c>
      <c r="S223" s="53" t="str">
        <f t="shared" si="57"/>
        <v>ct</v>
      </c>
      <c r="T223" s="53">
        <f t="shared" si="59"/>
        <v>2</v>
      </c>
      <c r="U223" s="53" t="str">
        <f t="shared" si="60"/>
        <v>Gormany</v>
      </c>
      <c r="V223" s="53" t="str">
        <f t="shared" si="61"/>
        <v>Austi</v>
      </c>
      <c r="W223" s="53" t="str">
        <f t="shared" si="62"/>
        <v>mbH</v>
      </c>
      <c r="X223" s="53" t="e">
        <f t="shared" si="63"/>
        <v>#VALUE!</v>
      </c>
      <c r="Y223" s="53"/>
      <c r="Z223" s="53"/>
      <c r="AA223" s="53"/>
    </row>
    <row r="224" spans="1:27" ht="30" x14ac:dyDescent="0.25">
      <c r="A224" s="79" t="s">
        <v>585</v>
      </c>
      <c r="B224" s="79" t="s">
        <v>3542</v>
      </c>
      <c r="C224" s="79" t="s">
        <v>3541</v>
      </c>
      <c r="D224" s="79" t="s">
        <v>1680</v>
      </c>
      <c r="E224" s="79" t="s">
        <v>1681</v>
      </c>
      <c r="F224" s="79" t="s">
        <v>13</v>
      </c>
      <c r="G224" s="79">
        <v>14</v>
      </c>
      <c r="H224" s="53">
        <f t="shared" si="48"/>
        <v>185</v>
      </c>
      <c r="I224" s="53">
        <f t="shared" si="49"/>
        <v>175</v>
      </c>
      <c r="J224" s="53">
        <f t="shared" si="50"/>
        <v>264</v>
      </c>
      <c r="K224" s="53">
        <f t="shared" si="53"/>
        <v>3</v>
      </c>
      <c r="L224" s="53" t="b">
        <f t="shared" si="51"/>
        <v>1</v>
      </c>
      <c r="M224" s="53" t="b">
        <f t="shared" si="52"/>
        <v>1</v>
      </c>
      <c r="N224" s="53" t="str">
        <f t="shared" si="54"/>
        <v>China-CHERRY GROUP CO.,LTD</v>
      </c>
      <c r="O224" s="68" t="str">
        <f t="shared" si="58"/>
        <v>China
ct</v>
      </c>
      <c r="P224" s="53" t="b">
        <f t="shared" si="55"/>
        <v>0</v>
      </c>
      <c r="Q224" s="53"/>
      <c r="R224" s="53" t="str">
        <f t="shared" si="56"/>
        <v>CT</v>
      </c>
      <c r="S224" s="53" t="str">
        <f t="shared" si="57"/>
        <v>ct</v>
      </c>
      <c r="T224" s="53">
        <f t="shared" si="59"/>
        <v>2</v>
      </c>
      <c r="U224" s="53" t="str">
        <f t="shared" si="60"/>
        <v>China</v>
      </c>
      <c r="V224" s="53" t="str">
        <f t="shared" si="61"/>
        <v>Austi</v>
      </c>
      <c r="W224" s="53" t="str">
        <f t="shared" si="62"/>
        <v>LTD</v>
      </c>
      <c r="X224" s="53" t="e">
        <f t="shared" si="63"/>
        <v>#VALUE!</v>
      </c>
      <c r="Y224" s="53"/>
      <c r="Z224" s="53"/>
      <c r="AA224" s="53"/>
    </row>
    <row r="225" spans="1:27" ht="30" x14ac:dyDescent="0.25">
      <c r="A225" s="79" t="s">
        <v>1617</v>
      </c>
      <c r="B225" s="79" t="s">
        <v>3543</v>
      </c>
      <c r="C225" s="79" t="s">
        <v>3541</v>
      </c>
      <c r="D225" s="79" t="s">
        <v>1690</v>
      </c>
      <c r="E225" s="79" t="s">
        <v>1691</v>
      </c>
      <c r="F225" s="79" t="s">
        <v>13</v>
      </c>
      <c r="G225" s="79">
        <v>12</v>
      </c>
      <c r="H225" s="53">
        <f t="shared" si="48"/>
        <v>214.5</v>
      </c>
      <c r="I225" s="53">
        <f t="shared" si="49"/>
        <v>209</v>
      </c>
      <c r="J225" s="53">
        <f t="shared" si="50"/>
        <v>415</v>
      </c>
      <c r="K225" s="53">
        <f t="shared" si="53"/>
        <v>5</v>
      </c>
      <c r="L225" s="53" t="b">
        <f t="shared" si="51"/>
        <v>1</v>
      </c>
      <c r="M225" s="53" t="b">
        <f t="shared" si="52"/>
        <v>1</v>
      </c>
      <c r="N225" s="53" t="str">
        <f t="shared" si="54"/>
        <v>Cambodia-NINGBO SEDUNO IMP &amp; EXP CO.LTD</v>
      </c>
      <c r="O225" s="68" t="str">
        <f t="shared" si="58"/>
        <v>Cambodia
ct</v>
      </c>
      <c r="P225" s="53" t="b">
        <f t="shared" si="55"/>
        <v>0</v>
      </c>
      <c r="Q225" s="53"/>
      <c r="R225" s="53" t="str">
        <f t="shared" si="56"/>
        <v>CT</v>
      </c>
      <c r="S225" s="53" t="str">
        <f t="shared" si="57"/>
        <v>ct</v>
      </c>
      <c r="T225" s="53">
        <f t="shared" si="59"/>
        <v>2</v>
      </c>
      <c r="U225" s="53" t="str">
        <f t="shared" si="60"/>
        <v>Cambodia</v>
      </c>
      <c r="V225" s="53" t="str">
        <f t="shared" si="61"/>
        <v>Chees</v>
      </c>
      <c r="W225" s="53" t="str">
        <f t="shared" si="62"/>
        <v>LTD</v>
      </c>
      <c r="X225" s="53" t="e">
        <f t="shared" si="63"/>
        <v>#VALUE!</v>
      </c>
      <c r="Y225" s="53"/>
      <c r="Z225" s="53"/>
      <c r="AA225" s="53"/>
    </row>
    <row r="226" spans="1:27" ht="30" x14ac:dyDescent="0.25">
      <c r="A226" s="79" t="s">
        <v>541</v>
      </c>
      <c r="B226" s="79" t="s">
        <v>3544</v>
      </c>
      <c r="C226" s="79" t="s">
        <v>3541</v>
      </c>
      <c r="D226" s="79" t="s">
        <v>1662</v>
      </c>
      <c r="E226" s="79" t="s">
        <v>1663</v>
      </c>
      <c r="F226" s="79" t="s">
        <v>13</v>
      </c>
      <c r="G226" s="79">
        <v>13.5</v>
      </c>
      <c r="H226" s="53">
        <f t="shared" si="48"/>
        <v>196</v>
      </c>
      <c r="I226" s="53">
        <f t="shared" si="49"/>
        <v>196</v>
      </c>
      <c r="J226" s="53">
        <f t="shared" si="50"/>
        <v>587.25</v>
      </c>
      <c r="K226" s="53">
        <f t="shared" si="53"/>
        <v>8</v>
      </c>
      <c r="L226" s="53" t="b">
        <f t="shared" si="51"/>
        <v>1</v>
      </c>
      <c r="M226" s="53" t="b">
        <f t="shared" si="52"/>
        <v>1</v>
      </c>
      <c r="N226" s="53" t="str">
        <f t="shared" si="54"/>
        <v>Bangladesh-DENIMACH LTD</v>
      </c>
      <c r="O226" s="68" t="str">
        <f t="shared" si="58"/>
        <v>Bangladesh
ct</v>
      </c>
      <c r="P226" s="53" t="b">
        <f t="shared" si="55"/>
        <v>0</v>
      </c>
      <c r="Q226" s="53"/>
      <c r="R226" s="53" t="str">
        <f t="shared" si="56"/>
        <v>CT</v>
      </c>
      <c r="S226" s="53" t="str">
        <f t="shared" si="57"/>
        <v>ct</v>
      </c>
      <c r="T226" s="53">
        <f t="shared" si="59"/>
        <v>2</v>
      </c>
      <c r="U226" s="53" t="str">
        <f t="shared" si="60"/>
        <v>Bangladosh</v>
      </c>
      <c r="V226" s="53" t="str">
        <f t="shared" si="61"/>
        <v>Lance</v>
      </c>
      <c r="W226" s="53" t="str">
        <f t="shared" si="62"/>
        <v>LTD</v>
      </c>
      <c r="X226" s="53" t="e">
        <f t="shared" si="63"/>
        <v>#VALUE!</v>
      </c>
      <c r="Y226" s="53"/>
      <c r="Z226" s="53"/>
      <c r="AA226" s="53"/>
    </row>
    <row r="227" spans="1:27" ht="30" x14ac:dyDescent="0.25">
      <c r="A227" s="79" t="s">
        <v>1268</v>
      </c>
      <c r="B227" s="79" t="s">
        <v>3545</v>
      </c>
      <c r="C227" s="79" t="s">
        <v>3541</v>
      </c>
      <c r="D227" s="79" t="s">
        <v>1656</v>
      </c>
      <c r="E227" s="79" t="s">
        <v>1657</v>
      </c>
      <c r="F227" s="79" t="s">
        <v>167</v>
      </c>
      <c r="G227" s="79">
        <v>11</v>
      </c>
      <c r="H227" s="53">
        <f t="shared" si="48"/>
        <v>225</v>
      </c>
      <c r="I227" s="53">
        <f t="shared" si="49"/>
        <v>224</v>
      </c>
      <c r="J227" s="53">
        <f t="shared" si="50"/>
        <v>460</v>
      </c>
      <c r="K227" s="53">
        <f t="shared" si="53"/>
        <v>7</v>
      </c>
      <c r="L227" s="53" t="b">
        <f t="shared" si="51"/>
        <v>1</v>
      </c>
      <c r="M227" s="53" t="b">
        <f t="shared" si="52"/>
        <v>1</v>
      </c>
      <c r="N227" s="53" t="str">
        <f t="shared" si="54"/>
        <v>Netherlands-Bolsius Boxmeer</v>
      </c>
      <c r="O227" s="68" t="str">
        <f t="shared" si="58"/>
        <v>Netherlands
oz</v>
      </c>
      <c r="P227" s="53" t="b">
        <f t="shared" si="55"/>
        <v>0</v>
      </c>
      <c r="Q227" s="53"/>
      <c r="R227" s="53" t="str">
        <f t="shared" si="56"/>
        <v>OZ</v>
      </c>
      <c r="S227" s="53" t="str">
        <f t="shared" si="57"/>
        <v>oz</v>
      </c>
      <c r="T227" s="53">
        <f t="shared" si="59"/>
        <v>2</v>
      </c>
      <c r="U227" s="53" t="str">
        <f t="shared" si="60"/>
        <v>Nothorlands</v>
      </c>
      <c r="V227" s="53" t="str">
        <f t="shared" si="61"/>
        <v>Peanu</v>
      </c>
      <c r="W227" s="53" t="str">
        <f t="shared" si="62"/>
        <v>eer</v>
      </c>
      <c r="X227" s="53" t="e">
        <f t="shared" si="63"/>
        <v>#VALUE!</v>
      </c>
      <c r="Y227" s="53"/>
      <c r="Z227" s="53"/>
      <c r="AA227" s="53"/>
    </row>
    <row r="228" spans="1:27" ht="30" x14ac:dyDescent="0.25">
      <c r="A228" s="79" t="s">
        <v>975</v>
      </c>
      <c r="B228" s="79" t="s">
        <v>3546</v>
      </c>
      <c r="C228" s="79" t="s">
        <v>3547</v>
      </c>
      <c r="D228" s="79" t="s">
        <v>1676</v>
      </c>
      <c r="E228" s="79" t="s">
        <v>1677</v>
      </c>
      <c r="F228" s="79" t="s">
        <v>13</v>
      </c>
      <c r="G228" s="79">
        <v>17</v>
      </c>
      <c r="H228" s="53">
        <f t="shared" si="48"/>
        <v>100</v>
      </c>
      <c r="I228" s="53">
        <f t="shared" si="49"/>
        <v>91</v>
      </c>
      <c r="J228" s="53">
        <f t="shared" si="50"/>
        <v>485.5</v>
      </c>
      <c r="K228" s="53">
        <f t="shared" si="53"/>
        <v>4</v>
      </c>
      <c r="L228" s="53" t="b">
        <f t="shared" si="51"/>
        <v>1</v>
      </c>
      <c r="M228" s="53" t="b">
        <f t="shared" si="52"/>
        <v>1</v>
      </c>
      <c r="N228" s="53" t="str">
        <f t="shared" si="54"/>
        <v>Germany-Friedola 1888 GmbH</v>
      </c>
      <c r="O228" s="68" t="str">
        <f t="shared" si="58"/>
        <v>Germany
ct</v>
      </c>
      <c r="P228" s="53" t="b">
        <f t="shared" si="55"/>
        <v>0</v>
      </c>
      <c r="Q228" s="53"/>
      <c r="R228" s="53" t="str">
        <f t="shared" si="56"/>
        <v>CT</v>
      </c>
      <c r="S228" s="53" t="str">
        <f t="shared" si="57"/>
        <v>ct</v>
      </c>
      <c r="T228" s="53">
        <f t="shared" si="59"/>
        <v>2</v>
      </c>
      <c r="U228" s="53" t="str">
        <f t="shared" si="60"/>
        <v>Gormany</v>
      </c>
      <c r="V228" s="53" t="str">
        <f t="shared" si="61"/>
        <v>Famou</v>
      </c>
      <c r="W228" s="53" t="str">
        <f t="shared" si="62"/>
        <v>mbH</v>
      </c>
      <c r="X228" s="53" t="e">
        <f t="shared" si="63"/>
        <v>#VALUE!</v>
      </c>
      <c r="Y228" s="53"/>
      <c r="Z228" s="53"/>
      <c r="AA228" s="53"/>
    </row>
    <row r="229" spans="1:27" ht="30" x14ac:dyDescent="0.25">
      <c r="A229" s="79" t="s">
        <v>237</v>
      </c>
      <c r="B229" s="79" t="s">
        <v>3548</v>
      </c>
      <c r="C229" s="79" t="s">
        <v>3547</v>
      </c>
      <c r="D229" s="79" t="s">
        <v>1666</v>
      </c>
      <c r="E229" s="79" t="s">
        <v>1667</v>
      </c>
      <c r="F229" s="79" t="s">
        <v>239</v>
      </c>
      <c r="G229" s="79">
        <v>15</v>
      </c>
      <c r="H229" s="53">
        <f t="shared" si="48"/>
        <v>160.5</v>
      </c>
      <c r="I229" s="53">
        <f t="shared" si="49"/>
        <v>147</v>
      </c>
      <c r="J229" s="53">
        <f t="shared" si="50"/>
        <v>415.25</v>
      </c>
      <c r="K229" s="53">
        <f t="shared" si="53"/>
        <v>3</v>
      </c>
      <c r="L229" s="53" t="b">
        <f t="shared" si="51"/>
        <v>1</v>
      </c>
      <c r="M229" s="53" t="b">
        <f t="shared" si="52"/>
        <v>1</v>
      </c>
      <c r="N229" s="53" t="str">
        <f t="shared" si="54"/>
        <v>Finland-HARDFORD AB</v>
      </c>
      <c r="O229" s="68" t="str">
        <f t="shared" si="58"/>
        <v>Finland
lb</v>
      </c>
      <c r="P229" s="53" t="b">
        <f t="shared" si="55"/>
        <v>0</v>
      </c>
      <c r="Q229" s="53"/>
      <c r="R229" s="53" t="str">
        <f t="shared" si="56"/>
        <v>LB</v>
      </c>
      <c r="S229" s="53" t="str">
        <f t="shared" si="57"/>
        <v>lb</v>
      </c>
      <c r="T229" s="53">
        <f t="shared" si="59"/>
        <v>2</v>
      </c>
      <c r="U229" s="53" t="str">
        <f t="shared" si="60"/>
        <v>Finland</v>
      </c>
      <c r="V229" s="53" t="str">
        <f t="shared" si="61"/>
        <v>Jolly</v>
      </c>
      <c r="W229" s="53" t="str">
        <f t="shared" si="62"/>
        <v xml:space="preserve"> AB</v>
      </c>
      <c r="X229" s="53" t="e">
        <f t="shared" si="63"/>
        <v>#VALUE!</v>
      </c>
      <c r="Y229" s="53"/>
      <c r="Z229" s="53"/>
      <c r="AA229" s="53"/>
    </row>
    <row r="230" spans="1:27" ht="30" x14ac:dyDescent="0.25">
      <c r="A230" s="79" t="s">
        <v>681</v>
      </c>
      <c r="B230" s="79" t="s">
        <v>3549</v>
      </c>
      <c r="C230" s="79" t="s">
        <v>3547</v>
      </c>
      <c r="D230" s="79" t="s">
        <v>1656</v>
      </c>
      <c r="E230" s="79" t="s">
        <v>1657</v>
      </c>
      <c r="F230" s="79" t="s">
        <v>407</v>
      </c>
      <c r="G230" s="79">
        <v>15</v>
      </c>
      <c r="H230" s="53">
        <f t="shared" si="48"/>
        <v>160.5</v>
      </c>
      <c r="I230" s="53">
        <f t="shared" si="49"/>
        <v>147</v>
      </c>
      <c r="J230" s="53">
        <f t="shared" si="50"/>
        <v>460</v>
      </c>
      <c r="K230" s="53">
        <f t="shared" si="53"/>
        <v>6</v>
      </c>
      <c r="L230" s="53" t="b">
        <f t="shared" si="51"/>
        <v>1</v>
      </c>
      <c r="M230" s="53" t="b">
        <f t="shared" si="52"/>
        <v>1</v>
      </c>
      <c r="N230" s="53" t="str">
        <f t="shared" si="54"/>
        <v>Netherlands-Bolsius Boxmeer</v>
      </c>
      <c r="O230" s="68" t="str">
        <f t="shared" si="58"/>
        <v>Netherlands
pk</v>
      </c>
      <c r="P230" s="53" t="b">
        <f t="shared" si="55"/>
        <v>0</v>
      </c>
      <c r="Q230" s="53"/>
      <c r="R230" s="53" t="str">
        <f t="shared" si="56"/>
        <v>PK</v>
      </c>
      <c r="S230" s="53" t="str">
        <f t="shared" si="57"/>
        <v>pk</v>
      </c>
      <c r="T230" s="53">
        <f t="shared" si="59"/>
        <v>2</v>
      </c>
      <c r="U230" s="53" t="str">
        <f t="shared" si="60"/>
        <v>Nothorlands</v>
      </c>
      <c r="V230" s="53" t="str">
        <f t="shared" si="61"/>
        <v>Keebl</v>
      </c>
      <c r="W230" s="53" t="str">
        <f t="shared" si="62"/>
        <v>eer</v>
      </c>
      <c r="X230" s="53" t="e">
        <f t="shared" si="63"/>
        <v>#VALUE!</v>
      </c>
      <c r="Y230" s="53"/>
      <c r="Z230" s="53"/>
      <c r="AA230" s="53"/>
    </row>
    <row r="231" spans="1:27" ht="30" x14ac:dyDescent="0.25">
      <c r="A231" s="79" t="s">
        <v>457</v>
      </c>
      <c r="B231" s="79" t="s">
        <v>3550</v>
      </c>
      <c r="C231" s="79" t="s">
        <v>3547</v>
      </c>
      <c r="D231" s="79" t="s">
        <v>1662</v>
      </c>
      <c r="E231" s="79" t="s">
        <v>1663</v>
      </c>
      <c r="F231" s="79" t="s">
        <v>407</v>
      </c>
      <c r="G231" s="79">
        <v>14</v>
      </c>
      <c r="H231" s="53">
        <f t="shared" si="48"/>
        <v>185</v>
      </c>
      <c r="I231" s="53">
        <f t="shared" si="49"/>
        <v>175</v>
      </c>
      <c r="J231" s="53">
        <f t="shared" si="50"/>
        <v>587.25</v>
      </c>
      <c r="K231" s="53">
        <f t="shared" si="53"/>
        <v>7</v>
      </c>
      <c r="L231" s="53" t="b">
        <f t="shared" si="51"/>
        <v>1</v>
      </c>
      <c r="M231" s="53" t="b">
        <f t="shared" si="52"/>
        <v>1</v>
      </c>
      <c r="N231" s="53" t="str">
        <f t="shared" si="54"/>
        <v>Bangladesh-DENIMACH LTD</v>
      </c>
      <c r="O231" s="68" t="str">
        <f t="shared" si="58"/>
        <v>Bangladesh
pk</v>
      </c>
      <c r="P231" s="53" t="b">
        <f t="shared" si="55"/>
        <v>0</v>
      </c>
      <c r="Q231" s="53"/>
      <c r="R231" s="53" t="str">
        <f t="shared" si="56"/>
        <v>PK</v>
      </c>
      <c r="S231" s="53" t="str">
        <f t="shared" si="57"/>
        <v>pk</v>
      </c>
      <c r="T231" s="53">
        <f t="shared" si="59"/>
        <v>2</v>
      </c>
      <c r="U231" s="53" t="str">
        <f t="shared" si="60"/>
        <v>Bangladosh</v>
      </c>
      <c r="V231" s="53" t="str">
        <f t="shared" si="61"/>
        <v>Kello</v>
      </c>
      <c r="W231" s="53" t="str">
        <f t="shared" si="62"/>
        <v>LTD</v>
      </c>
      <c r="X231" s="53" t="e">
        <f t="shared" si="63"/>
        <v>#VALUE!</v>
      </c>
      <c r="Y231" s="53"/>
      <c r="Z231" s="53"/>
      <c r="AA231" s="53"/>
    </row>
    <row r="232" spans="1:27" ht="30" x14ac:dyDescent="0.25">
      <c r="A232" s="79" t="s">
        <v>469</v>
      </c>
      <c r="B232" s="79" t="s">
        <v>3551</v>
      </c>
      <c r="C232" s="79" t="s">
        <v>3547</v>
      </c>
      <c r="D232" s="79" t="s">
        <v>1676</v>
      </c>
      <c r="E232" s="79" t="s">
        <v>1677</v>
      </c>
      <c r="F232" s="79" t="s">
        <v>13</v>
      </c>
      <c r="G232" s="79">
        <v>13</v>
      </c>
      <c r="H232" s="53">
        <f t="shared" si="48"/>
        <v>201</v>
      </c>
      <c r="I232" s="53">
        <f t="shared" si="49"/>
        <v>197</v>
      </c>
      <c r="J232" s="53">
        <f t="shared" si="50"/>
        <v>485.5</v>
      </c>
      <c r="K232" s="53">
        <f t="shared" si="53"/>
        <v>3</v>
      </c>
      <c r="L232" s="53" t="b">
        <f t="shared" si="51"/>
        <v>1</v>
      </c>
      <c r="M232" s="53" t="b">
        <f t="shared" si="52"/>
        <v>1</v>
      </c>
      <c r="N232" s="53" t="str">
        <f t="shared" si="54"/>
        <v>Germany-Friedola 1888 GmbH</v>
      </c>
      <c r="O232" s="68" t="str">
        <f t="shared" si="58"/>
        <v>Germany
ct</v>
      </c>
      <c r="P232" s="53" t="b">
        <f t="shared" si="55"/>
        <v>0</v>
      </c>
      <c r="Q232" s="53"/>
      <c r="R232" s="53" t="str">
        <f t="shared" si="56"/>
        <v>CT</v>
      </c>
      <c r="S232" s="53" t="str">
        <f t="shared" si="57"/>
        <v>ct</v>
      </c>
      <c r="T232" s="53">
        <f t="shared" si="59"/>
        <v>2</v>
      </c>
      <c r="U232" s="53" t="str">
        <f t="shared" si="60"/>
        <v>Gormany</v>
      </c>
      <c r="V232" s="53" t="str">
        <f t="shared" si="61"/>
        <v>Kello</v>
      </c>
      <c r="W232" s="53" t="str">
        <f t="shared" si="62"/>
        <v>mbH</v>
      </c>
      <c r="X232" s="53" t="e">
        <f t="shared" si="63"/>
        <v>#VALUE!</v>
      </c>
      <c r="Y232" s="53"/>
      <c r="Z232" s="53"/>
      <c r="AA232" s="53"/>
    </row>
    <row r="233" spans="1:27" ht="30" x14ac:dyDescent="0.25">
      <c r="A233" s="79" t="s">
        <v>414</v>
      </c>
      <c r="B233" s="79" t="s">
        <v>3552</v>
      </c>
      <c r="C233" s="79" t="s">
        <v>3547</v>
      </c>
      <c r="D233" s="79" t="s">
        <v>1690</v>
      </c>
      <c r="E233" s="79" t="s">
        <v>1691</v>
      </c>
      <c r="F233" s="79" t="s">
        <v>407</v>
      </c>
      <c r="G233" s="79">
        <v>15</v>
      </c>
      <c r="H233" s="53">
        <f t="shared" si="48"/>
        <v>160.5</v>
      </c>
      <c r="I233" s="53">
        <f t="shared" si="49"/>
        <v>147</v>
      </c>
      <c r="J233" s="53">
        <f t="shared" si="50"/>
        <v>415</v>
      </c>
      <c r="K233" s="53">
        <f t="shared" si="53"/>
        <v>4</v>
      </c>
      <c r="L233" s="53" t="b">
        <f t="shared" si="51"/>
        <v>1</v>
      </c>
      <c r="M233" s="53" t="b">
        <f t="shared" si="52"/>
        <v>1</v>
      </c>
      <c r="N233" s="53" t="str">
        <f t="shared" si="54"/>
        <v>Cambodia-NINGBO SEDUNO IMP &amp; EXP CO.LTD</v>
      </c>
      <c r="O233" s="68" t="str">
        <f t="shared" si="58"/>
        <v>Cambodia
pk</v>
      </c>
      <c r="P233" s="53" t="b">
        <f t="shared" si="55"/>
        <v>0</v>
      </c>
      <c r="Q233" s="53"/>
      <c r="R233" s="53" t="str">
        <f t="shared" si="56"/>
        <v>PK</v>
      </c>
      <c r="S233" s="53" t="str">
        <f t="shared" si="57"/>
        <v>pk</v>
      </c>
      <c r="T233" s="53">
        <f t="shared" si="59"/>
        <v>2</v>
      </c>
      <c r="U233" s="53" t="str">
        <f t="shared" si="60"/>
        <v>Cambodia</v>
      </c>
      <c r="V233" s="53" t="str">
        <f t="shared" si="61"/>
        <v>Nabis</v>
      </c>
      <c r="W233" s="53" t="str">
        <f t="shared" si="62"/>
        <v>LTD</v>
      </c>
      <c r="X233" s="53" t="e">
        <f t="shared" si="63"/>
        <v>#VALUE!</v>
      </c>
      <c r="Y233" s="53"/>
      <c r="Z233" s="53"/>
      <c r="AA233" s="53"/>
    </row>
    <row r="234" spans="1:27" ht="30" x14ac:dyDescent="0.25">
      <c r="A234" s="79" t="s">
        <v>933</v>
      </c>
      <c r="B234" s="79" t="s">
        <v>3553</v>
      </c>
      <c r="C234" s="79" t="s">
        <v>3547</v>
      </c>
      <c r="D234" s="79" t="s">
        <v>1676</v>
      </c>
      <c r="E234" s="79" t="s">
        <v>1677</v>
      </c>
      <c r="F234" s="79" t="s">
        <v>407</v>
      </c>
      <c r="G234" s="79">
        <v>16</v>
      </c>
      <c r="H234" s="53">
        <f t="shared" si="48"/>
        <v>132.5</v>
      </c>
      <c r="I234" s="53">
        <f t="shared" si="49"/>
        <v>120</v>
      </c>
      <c r="J234" s="53">
        <f t="shared" si="50"/>
        <v>485.5</v>
      </c>
      <c r="K234" s="53">
        <f t="shared" si="53"/>
        <v>2</v>
      </c>
      <c r="L234" s="53" t="b">
        <f t="shared" si="51"/>
        <v>1</v>
      </c>
      <c r="M234" s="53" t="b">
        <f t="shared" si="52"/>
        <v>1</v>
      </c>
      <c r="N234" s="53" t="str">
        <f t="shared" si="54"/>
        <v>Germany-Friedola 1888 GmbH</v>
      </c>
      <c r="O234" s="68" t="str">
        <f t="shared" si="58"/>
        <v>Germany
pk</v>
      </c>
      <c r="P234" s="53" t="b">
        <f t="shared" si="55"/>
        <v>0</v>
      </c>
      <c r="Q234" s="53"/>
      <c r="R234" s="53" t="str">
        <f t="shared" si="56"/>
        <v>PK</v>
      </c>
      <c r="S234" s="53" t="str">
        <f t="shared" si="57"/>
        <v>pk</v>
      </c>
      <c r="T234" s="53">
        <f t="shared" si="59"/>
        <v>2</v>
      </c>
      <c r="U234" s="53" t="str">
        <f t="shared" si="60"/>
        <v>Gormany</v>
      </c>
      <c r="V234" s="53" t="str">
        <f t="shared" si="61"/>
        <v>Nabis</v>
      </c>
      <c r="W234" s="53" t="str">
        <f t="shared" si="62"/>
        <v>mbH</v>
      </c>
      <c r="X234" s="53" t="e">
        <f t="shared" si="63"/>
        <v>#VALUE!</v>
      </c>
      <c r="Y234" s="53"/>
      <c r="Z234" s="53"/>
      <c r="AA234" s="53"/>
    </row>
    <row r="235" spans="1:27" ht="30" x14ac:dyDescent="0.25">
      <c r="A235" s="79" t="s">
        <v>694</v>
      </c>
      <c r="B235" s="79" t="s">
        <v>3554</v>
      </c>
      <c r="C235" s="79" t="s">
        <v>3547</v>
      </c>
      <c r="D235" s="79" t="s">
        <v>1659</v>
      </c>
      <c r="E235" s="79" t="s">
        <v>1660</v>
      </c>
      <c r="F235" s="79" t="s">
        <v>13</v>
      </c>
      <c r="G235" s="79">
        <v>12</v>
      </c>
      <c r="H235" s="53">
        <f t="shared" si="48"/>
        <v>214.5</v>
      </c>
      <c r="I235" s="53">
        <f t="shared" si="49"/>
        <v>209</v>
      </c>
      <c r="J235" s="53">
        <f t="shared" si="50"/>
        <v>484.25</v>
      </c>
      <c r="K235" s="53">
        <f t="shared" si="53"/>
        <v>2</v>
      </c>
      <c r="L235" s="53" t="b">
        <f t="shared" si="51"/>
        <v>1</v>
      </c>
      <c r="M235" s="53" t="b">
        <f t="shared" si="52"/>
        <v>1</v>
      </c>
      <c r="N235" s="53" t="str">
        <f t="shared" si="54"/>
        <v>poland-CHROMADURLIN S.A.S</v>
      </c>
      <c r="O235" s="68" t="str">
        <f t="shared" si="58"/>
        <v>poland
ct</v>
      </c>
      <c r="P235" s="53" t="b">
        <f t="shared" si="55"/>
        <v>0</v>
      </c>
      <c r="Q235" s="53"/>
      <c r="R235" s="53" t="str">
        <f t="shared" si="56"/>
        <v>CT</v>
      </c>
      <c r="S235" s="53" t="str">
        <f t="shared" si="57"/>
        <v>ct</v>
      </c>
      <c r="T235" s="53">
        <f t="shared" si="59"/>
        <v>2</v>
      </c>
      <c r="U235" s="53" t="str">
        <f t="shared" si="60"/>
        <v>poland</v>
      </c>
      <c r="V235" s="53" t="str">
        <f t="shared" si="61"/>
        <v>Pop-T</v>
      </c>
      <c r="W235" s="53" t="str">
        <f t="shared" si="62"/>
        <v>A.S</v>
      </c>
      <c r="X235" s="53" t="e">
        <f t="shared" si="63"/>
        <v>#VALUE!</v>
      </c>
      <c r="Y235" s="53"/>
      <c r="Z235" s="53"/>
      <c r="AA235" s="53"/>
    </row>
    <row r="236" spans="1:27" ht="30" x14ac:dyDescent="0.25">
      <c r="A236" s="79" t="s">
        <v>832</v>
      </c>
      <c r="B236" s="79" t="s">
        <v>3555</v>
      </c>
      <c r="C236" s="79" t="s">
        <v>3547</v>
      </c>
      <c r="D236" s="79" t="s">
        <v>1671</v>
      </c>
      <c r="E236" s="79" t="s">
        <v>1672</v>
      </c>
      <c r="F236" s="79" t="s">
        <v>13</v>
      </c>
      <c r="G236" s="79">
        <v>12</v>
      </c>
      <c r="H236" s="53">
        <f t="shared" si="48"/>
        <v>214.5</v>
      </c>
      <c r="I236" s="53">
        <f t="shared" si="49"/>
        <v>209</v>
      </c>
      <c r="J236" s="53">
        <f t="shared" si="50"/>
        <v>561.5</v>
      </c>
      <c r="K236" s="53">
        <f t="shared" si="53"/>
        <v>8</v>
      </c>
      <c r="L236" s="53" t="b">
        <f t="shared" si="51"/>
        <v>1</v>
      </c>
      <c r="M236" s="53" t="b">
        <f t="shared" si="52"/>
        <v>1</v>
      </c>
      <c r="N236" s="53" t="str">
        <f t="shared" si="54"/>
        <v>India-Indo Count Industries Ltd</v>
      </c>
      <c r="O236" s="68" t="str">
        <f t="shared" si="58"/>
        <v>India
ct</v>
      </c>
      <c r="P236" s="53" t="b">
        <f t="shared" si="55"/>
        <v>0</v>
      </c>
      <c r="Q236" s="53"/>
      <c r="R236" s="53" t="str">
        <f t="shared" si="56"/>
        <v>CT</v>
      </c>
      <c r="S236" s="53" t="str">
        <f t="shared" si="57"/>
        <v>ct</v>
      </c>
      <c r="T236" s="53">
        <f t="shared" si="59"/>
        <v>2</v>
      </c>
      <c r="U236" s="53" t="str">
        <f t="shared" si="60"/>
        <v>India</v>
      </c>
      <c r="V236" s="53" t="str">
        <f t="shared" si="61"/>
        <v>Pop-T</v>
      </c>
      <c r="W236" s="53" t="str">
        <f t="shared" si="62"/>
        <v>Ltd</v>
      </c>
      <c r="X236" s="53" t="e">
        <f t="shared" si="63"/>
        <v>#VALUE!</v>
      </c>
      <c r="Y236" s="53"/>
      <c r="Z236" s="53"/>
      <c r="AA236" s="53"/>
    </row>
    <row r="237" spans="1:27" ht="30" x14ac:dyDescent="0.25">
      <c r="A237" s="79" t="s">
        <v>1480</v>
      </c>
      <c r="B237" s="79" t="s">
        <v>3556</v>
      </c>
      <c r="C237" s="79" t="s">
        <v>3547</v>
      </c>
      <c r="D237" s="79" t="s">
        <v>1662</v>
      </c>
      <c r="E237" s="79" t="s">
        <v>1663</v>
      </c>
      <c r="F237" s="79" t="s">
        <v>13</v>
      </c>
      <c r="G237" s="79">
        <v>13</v>
      </c>
      <c r="H237" s="53">
        <f t="shared" si="48"/>
        <v>201</v>
      </c>
      <c r="I237" s="53">
        <f t="shared" si="49"/>
        <v>197</v>
      </c>
      <c r="J237" s="53">
        <f t="shared" si="50"/>
        <v>587.25</v>
      </c>
      <c r="K237" s="53">
        <f t="shared" si="53"/>
        <v>6</v>
      </c>
      <c r="L237" s="53" t="b">
        <f t="shared" si="51"/>
        <v>1</v>
      </c>
      <c r="M237" s="53" t="b">
        <f t="shared" si="52"/>
        <v>1</v>
      </c>
      <c r="N237" s="53" t="str">
        <f t="shared" si="54"/>
        <v>Bangladesh-DENIMACH LTD</v>
      </c>
      <c r="O237" s="68" t="str">
        <f t="shared" si="58"/>
        <v>Bangladesh
ct</v>
      </c>
      <c r="P237" s="53" t="b">
        <f t="shared" si="55"/>
        <v>0</v>
      </c>
      <c r="Q237" s="53"/>
      <c r="R237" s="53" t="str">
        <f t="shared" si="56"/>
        <v>CT</v>
      </c>
      <c r="S237" s="53" t="str">
        <f t="shared" si="57"/>
        <v>ct</v>
      </c>
      <c r="T237" s="53">
        <f t="shared" si="59"/>
        <v>2</v>
      </c>
      <c r="U237" s="53" t="str">
        <f t="shared" si="60"/>
        <v>Bangladosh</v>
      </c>
      <c r="V237" s="53" t="str">
        <f t="shared" si="61"/>
        <v>Spunk</v>
      </c>
      <c r="W237" s="53" t="str">
        <f t="shared" si="62"/>
        <v>LTD</v>
      </c>
      <c r="X237" s="53" t="e">
        <f t="shared" si="63"/>
        <v>#VALUE!</v>
      </c>
      <c r="Y237" s="53"/>
      <c r="Z237" s="53"/>
      <c r="AA237" s="53"/>
    </row>
    <row r="238" spans="1:27" ht="30" x14ac:dyDescent="0.25">
      <c r="A238" s="79" t="s">
        <v>840</v>
      </c>
      <c r="B238" s="79" t="s">
        <v>3557</v>
      </c>
      <c r="C238" s="79" t="s">
        <v>3547</v>
      </c>
      <c r="D238" s="79" t="s">
        <v>1671</v>
      </c>
      <c r="E238" s="79" t="s">
        <v>1672</v>
      </c>
      <c r="F238" s="79" t="s">
        <v>13</v>
      </c>
      <c r="G238" s="79">
        <v>14</v>
      </c>
      <c r="H238" s="53">
        <f t="shared" si="48"/>
        <v>185</v>
      </c>
      <c r="I238" s="53">
        <f t="shared" si="49"/>
        <v>175</v>
      </c>
      <c r="J238" s="53">
        <f t="shared" si="50"/>
        <v>561.5</v>
      </c>
      <c r="K238" s="53">
        <f t="shared" si="53"/>
        <v>7</v>
      </c>
      <c r="L238" s="53" t="b">
        <f t="shared" si="51"/>
        <v>1</v>
      </c>
      <c r="M238" s="53" t="b">
        <f t="shared" si="52"/>
        <v>1</v>
      </c>
      <c r="N238" s="53" t="str">
        <f t="shared" si="54"/>
        <v>India-Indo Count Industries Ltd</v>
      </c>
      <c r="O238" s="68" t="str">
        <f t="shared" si="58"/>
        <v>India
ct</v>
      </c>
      <c r="P238" s="53" t="b">
        <f t="shared" si="55"/>
        <v>0</v>
      </c>
      <c r="Q238" s="53"/>
      <c r="R238" s="53" t="str">
        <f t="shared" si="56"/>
        <v>CT</v>
      </c>
      <c r="S238" s="53" t="str">
        <f t="shared" si="57"/>
        <v>ct</v>
      </c>
      <c r="T238" s="53">
        <f t="shared" si="59"/>
        <v>2</v>
      </c>
      <c r="U238" s="53" t="str">
        <f t="shared" si="60"/>
        <v>India</v>
      </c>
      <c r="V238" s="53" t="str">
        <f t="shared" si="61"/>
        <v>Zoo A</v>
      </c>
      <c r="W238" s="53" t="str">
        <f t="shared" si="62"/>
        <v>Ltd</v>
      </c>
      <c r="X238" s="53" t="e">
        <f t="shared" si="63"/>
        <v>#VALUE!</v>
      </c>
      <c r="Y238" s="53"/>
      <c r="Z238" s="53"/>
      <c r="AA238" s="53"/>
    </row>
    <row r="239" spans="1:27" ht="30" x14ac:dyDescent="0.25">
      <c r="A239" s="79" t="s">
        <v>243</v>
      </c>
      <c r="B239" s="79" t="s">
        <v>3558</v>
      </c>
      <c r="C239" s="79" t="s">
        <v>3559</v>
      </c>
      <c r="D239" s="79" t="s">
        <v>1680</v>
      </c>
      <c r="E239" s="79" t="s">
        <v>1681</v>
      </c>
      <c r="F239" s="79" t="s">
        <v>245</v>
      </c>
      <c r="G239" s="79">
        <v>12</v>
      </c>
      <c r="H239" s="53">
        <f t="shared" si="48"/>
        <v>214.5</v>
      </c>
      <c r="I239" s="53">
        <f t="shared" si="49"/>
        <v>209</v>
      </c>
      <c r="J239" s="53">
        <f t="shared" si="50"/>
        <v>264</v>
      </c>
      <c r="K239" s="53">
        <f t="shared" si="53"/>
        <v>2</v>
      </c>
      <c r="L239" s="53" t="b">
        <f t="shared" si="51"/>
        <v>1</v>
      </c>
      <c r="M239" s="53" t="b">
        <f t="shared" si="52"/>
        <v>1</v>
      </c>
      <c r="N239" s="53" t="str">
        <f t="shared" si="54"/>
        <v>China-CHERRY GROUP CO.,LTD</v>
      </c>
      <c r="O239" s="68" t="str">
        <f t="shared" si="58"/>
        <v>China
tins</v>
      </c>
      <c r="P239" s="53" t="b">
        <f t="shared" si="55"/>
        <v>0</v>
      </c>
      <c r="Q239" s="53"/>
      <c r="R239" s="53" t="str">
        <f t="shared" si="56"/>
        <v>TINS</v>
      </c>
      <c r="S239" s="53" t="str">
        <f t="shared" si="57"/>
        <v>tins</v>
      </c>
      <c r="T239" s="53">
        <f t="shared" si="59"/>
        <v>2</v>
      </c>
      <c r="U239" s="53" t="str">
        <f t="shared" si="60"/>
        <v>China</v>
      </c>
      <c r="V239" s="53" t="str">
        <f t="shared" si="61"/>
        <v>Altoi</v>
      </c>
      <c r="W239" s="53" t="str">
        <f t="shared" si="62"/>
        <v>LTD</v>
      </c>
      <c r="X239" s="53" t="e">
        <f t="shared" si="63"/>
        <v>#VALUE!</v>
      </c>
      <c r="Y239" s="53"/>
      <c r="Z239" s="53"/>
      <c r="AA239" s="53"/>
    </row>
    <row r="240" spans="1:27" ht="30" x14ac:dyDescent="0.25">
      <c r="A240" s="79" t="s">
        <v>94</v>
      </c>
      <c r="B240" s="79" t="s">
        <v>3560</v>
      </c>
      <c r="C240" s="79" t="s">
        <v>3559</v>
      </c>
      <c r="D240" s="79" t="s">
        <v>1683</v>
      </c>
      <c r="E240" s="79" t="s">
        <v>1684</v>
      </c>
      <c r="F240" s="79" t="s">
        <v>13</v>
      </c>
      <c r="G240" s="79">
        <v>16</v>
      </c>
      <c r="H240" s="53">
        <f t="shared" si="48"/>
        <v>132.5</v>
      </c>
      <c r="I240" s="53">
        <f t="shared" si="49"/>
        <v>120</v>
      </c>
      <c r="J240" s="53">
        <f t="shared" si="50"/>
        <v>432.25</v>
      </c>
      <c r="K240" s="53">
        <f t="shared" si="53"/>
        <v>8</v>
      </c>
      <c r="L240" s="53" t="b">
        <f t="shared" si="51"/>
        <v>1</v>
      </c>
      <c r="M240" s="53" t="b">
        <f t="shared" si="52"/>
        <v>1</v>
      </c>
      <c r="N240" s="53" t="str">
        <f t="shared" si="54"/>
        <v>United States-MAESA SAS</v>
      </c>
      <c r="O240" s="68" t="str">
        <f t="shared" si="58"/>
        <v>United States
ct</v>
      </c>
      <c r="P240" s="53" t="b">
        <f t="shared" si="55"/>
        <v>0</v>
      </c>
      <c r="Q240" s="53"/>
      <c r="R240" s="53" t="str">
        <f t="shared" si="56"/>
        <v>CT</v>
      </c>
      <c r="S240" s="53" t="str">
        <f t="shared" si="57"/>
        <v>ct</v>
      </c>
      <c r="T240" s="53">
        <f t="shared" si="59"/>
        <v>2</v>
      </c>
      <c r="U240" s="53" t="str">
        <f t="shared" si="60"/>
        <v>Unitod Statos</v>
      </c>
      <c r="V240" s="53" t="str">
        <f t="shared" si="61"/>
        <v>Breat</v>
      </c>
      <c r="W240" s="53" t="str">
        <f t="shared" si="62"/>
        <v>SAS</v>
      </c>
      <c r="X240" s="53" t="e">
        <f t="shared" si="63"/>
        <v>#VALUE!</v>
      </c>
      <c r="Y240" s="53"/>
      <c r="Z240" s="53"/>
      <c r="AA240" s="53"/>
    </row>
    <row r="241" spans="1:27" ht="30" x14ac:dyDescent="0.25">
      <c r="A241" s="79" t="s">
        <v>582</v>
      </c>
      <c r="B241" s="79" t="s">
        <v>3561</v>
      </c>
      <c r="C241" s="79" t="s">
        <v>3559</v>
      </c>
      <c r="D241" s="79" t="s">
        <v>1671</v>
      </c>
      <c r="E241" s="79" t="s">
        <v>1672</v>
      </c>
      <c r="F241" s="79" t="s">
        <v>13</v>
      </c>
      <c r="G241" s="79">
        <v>12</v>
      </c>
      <c r="H241" s="53">
        <f t="shared" si="48"/>
        <v>214.5</v>
      </c>
      <c r="I241" s="53">
        <f t="shared" si="49"/>
        <v>209</v>
      </c>
      <c r="J241" s="53">
        <f t="shared" si="50"/>
        <v>561.5</v>
      </c>
      <c r="K241" s="53">
        <f t="shared" si="53"/>
        <v>6</v>
      </c>
      <c r="L241" s="53" t="b">
        <f t="shared" si="51"/>
        <v>1</v>
      </c>
      <c r="M241" s="53" t="b">
        <f t="shared" si="52"/>
        <v>1</v>
      </c>
      <c r="N241" s="53" t="str">
        <f t="shared" si="54"/>
        <v>India-Indo Count Industries Ltd</v>
      </c>
      <c r="O241" s="68" t="str">
        <f t="shared" si="58"/>
        <v>India
ct</v>
      </c>
      <c r="P241" s="53" t="b">
        <f t="shared" si="55"/>
        <v>0</v>
      </c>
      <c r="Q241" s="53"/>
      <c r="R241" s="53" t="str">
        <f t="shared" si="56"/>
        <v>CT</v>
      </c>
      <c r="S241" s="53" t="str">
        <f t="shared" si="57"/>
        <v>ct</v>
      </c>
      <c r="T241" s="53">
        <f t="shared" si="59"/>
        <v>2</v>
      </c>
      <c r="U241" s="53" t="str">
        <f t="shared" si="60"/>
        <v>India</v>
      </c>
      <c r="V241" s="53" t="str">
        <f t="shared" si="61"/>
        <v>Doubl</v>
      </c>
      <c r="W241" s="53" t="str">
        <f t="shared" si="62"/>
        <v>Ltd</v>
      </c>
      <c r="X241" s="53" t="e">
        <f t="shared" si="63"/>
        <v>#VALUE!</v>
      </c>
      <c r="Y241" s="53"/>
      <c r="Z241" s="53"/>
      <c r="AA241" s="53"/>
    </row>
    <row r="242" spans="1:27" ht="30" x14ac:dyDescent="0.25">
      <c r="A242" s="79" t="s">
        <v>1112</v>
      </c>
      <c r="B242" s="79" t="s">
        <v>3562</v>
      </c>
      <c r="C242" s="79" t="s">
        <v>3559</v>
      </c>
      <c r="D242" s="79" t="s">
        <v>1690</v>
      </c>
      <c r="E242" s="79" t="s">
        <v>1691</v>
      </c>
      <c r="F242" s="79" t="s">
        <v>407</v>
      </c>
      <c r="G242" s="79">
        <v>14</v>
      </c>
      <c r="H242" s="53">
        <f t="shared" si="48"/>
        <v>185</v>
      </c>
      <c r="I242" s="53">
        <f t="shared" si="49"/>
        <v>175</v>
      </c>
      <c r="J242" s="53">
        <f t="shared" si="50"/>
        <v>415</v>
      </c>
      <c r="K242" s="53">
        <f t="shared" si="53"/>
        <v>3</v>
      </c>
      <c r="L242" s="53" t="b">
        <f t="shared" si="51"/>
        <v>1</v>
      </c>
      <c r="M242" s="53" t="b">
        <f t="shared" si="52"/>
        <v>1</v>
      </c>
      <c r="N242" s="53" t="str">
        <f t="shared" si="54"/>
        <v>Cambodia-NINGBO SEDUNO IMP &amp; EXP CO.LTD</v>
      </c>
      <c r="O242" s="68" t="str">
        <f t="shared" si="58"/>
        <v>Cambodia
pk</v>
      </c>
      <c r="P242" s="53" t="b">
        <f t="shared" si="55"/>
        <v>0</v>
      </c>
      <c r="Q242" s="53"/>
      <c r="R242" s="53" t="str">
        <f t="shared" si="56"/>
        <v>PK</v>
      </c>
      <c r="S242" s="53" t="str">
        <f t="shared" si="57"/>
        <v>pk</v>
      </c>
      <c r="T242" s="53">
        <f t="shared" si="59"/>
        <v>2</v>
      </c>
      <c r="U242" s="53" t="str">
        <f t="shared" si="60"/>
        <v>Cambodia</v>
      </c>
      <c r="V242" s="53" t="str">
        <f t="shared" si="61"/>
        <v>Extra</v>
      </c>
      <c r="W242" s="53" t="str">
        <f t="shared" si="62"/>
        <v>LTD</v>
      </c>
      <c r="X242" s="53" t="e">
        <f t="shared" si="63"/>
        <v>#VALUE!</v>
      </c>
      <c r="Y242" s="53"/>
      <c r="Z242" s="53"/>
      <c r="AA242" s="53"/>
    </row>
    <row r="243" spans="1:27" ht="30" x14ac:dyDescent="0.25">
      <c r="A243" s="79" t="s">
        <v>263</v>
      </c>
      <c r="B243" s="79" t="s">
        <v>3563</v>
      </c>
      <c r="C243" s="79" t="s">
        <v>3559</v>
      </c>
      <c r="D243" s="79" t="s">
        <v>1683</v>
      </c>
      <c r="E243" s="79" t="s">
        <v>1684</v>
      </c>
      <c r="F243" s="79" t="s">
        <v>13</v>
      </c>
      <c r="G243" s="79">
        <v>14</v>
      </c>
      <c r="H243" s="53">
        <f t="shared" si="48"/>
        <v>185</v>
      </c>
      <c r="I243" s="53">
        <f t="shared" si="49"/>
        <v>175</v>
      </c>
      <c r="J243" s="53">
        <f t="shared" si="50"/>
        <v>432.25</v>
      </c>
      <c r="K243" s="53">
        <f t="shared" si="53"/>
        <v>7</v>
      </c>
      <c r="L243" s="53" t="b">
        <f t="shared" si="51"/>
        <v>1</v>
      </c>
      <c r="M243" s="53" t="b">
        <f t="shared" si="52"/>
        <v>1</v>
      </c>
      <c r="N243" s="53" t="str">
        <f t="shared" si="54"/>
        <v>United States-MAESA SAS</v>
      </c>
      <c r="O243" s="68" t="str">
        <f t="shared" si="58"/>
        <v>United States
ct</v>
      </c>
      <c r="P243" s="53" t="b">
        <f t="shared" si="55"/>
        <v>0</v>
      </c>
      <c r="Q243" s="53"/>
      <c r="R243" s="53" t="str">
        <f t="shared" si="56"/>
        <v>CT</v>
      </c>
      <c r="S243" s="53" t="str">
        <f t="shared" si="57"/>
        <v>ct</v>
      </c>
      <c r="T243" s="53">
        <f t="shared" si="59"/>
        <v>2</v>
      </c>
      <c r="U243" s="53" t="str">
        <f t="shared" si="60"/>
        <v>Unitod Statos</v>
      </c>
      <c r="V243" s="53" t="str">
        <f t="shared" si="61"/>
        <v>Ice B</v>
      </c>
      <c r="W243" s="53" t="str">
        <f t="shared" si="62"/>
        <v>SAS</v>
      </c>
      <c r="X243" s="53" t="e">
        <f t="shared" si="63"/>
        <v>#VALUE!</v>
      </c>
      <c r="Y243" s="53"/>
      <c r="Z243" s="53"/>
      <c r="AA243" s="53"/>
    </row>
    <row r="244" spans="1:27" ht="30" x14ac:dyDescent="0.25">
      <c r="A244" s="79" t="s">
        <v>688</v>
      </c>
      <c r="B244" s="79" t="s">
        <v>3564</v>
      </c>
      <c r="C244" s="79" t="s">
        <v>3559</v>
      </c>
      <c r="D244" s="79" t="s">
        <v>1669</v>
      </c>
      <c r="E244" s="79" t="s">
        <v>1670</v>
      </c>
      <c r="F244" s="79" t="s">
        <v>13</v>
      </c>
      <c r="G244" s="79">
        <v>12</v>
      </c>
      <c r="H244" s="53">
        <f t="shared" si="48"/>
        <v>214.5</v>
      </c>
      <c r="I244" s="53">
        <f t="shared" si="49"/>
        <v>209</v>
      </c>
      <c r="J244" s="53">
        <f t="shared" si="50"/>
        <v>514.5</v>
      </c>
      <c r="K244" s="53">
        <f t="shared" si="53"/>
        <v>5</v>
      </c>
      <c r="L244" s="53" t="b">
        <f t="shared" si="51"/>
        <v>1</v>
      </c>
      <c r="M244" s="53" t="b">
        <f t="shared" si="52"/>
        <v>1</v>
      </c>
      <c r="N244" s="53" t="str">
        <f t="shared" si="54"/>
        <v>Lithuania-BIGSO AB</v>
      </c>
      <c r="O244" s="68" t="str">
        <f t="shared" si="58"/>
        <v>Lithuania
ct</v>
      </c>
      <c r="P244" s="53" t="b">
        <f t="shared" si="55"/>
        <v>0</v>
      </c>
      <c r="Q244" s="53"/>
      <c r="R244" s="53" t="str">
        <f t="shared" si="56"/>
        <v>CT</v>
      </c>
      <c r="S244" s="53" t="str">
        <f t="shared" si="57"/>
        <v>ct</v>
      </c>
      <c r="T244" s="53">
        <f t="shared" si="59"/>
        <v>2</v>
      </c>
      <c r="U244" s="53" t="str">
        <f t="shared" si="60"/>
        <v>Lithuania</v>
      </c>
      <c r="V244" s="53" t="str">
        <f t="shared" si="61"/>
        <v>Peppe</v>
      </c>
      <c r="W244" s="53" t="str">
        <f t="shared" si="62"/>
        <v xml:space="preserve"> AB</v>
      </c>
      <c r="X244" s="53" t="e">
        <f t="shared" si="63"/>
        <v>#VALUE!</v>
      </c>
      <c r="Y244" s="53"/>
      <c r="Z244" s="53"/>
      <c r="AA244" s="53"/>
    </row>
    <row r="245" spans="1:27" ht="30" x14ac:dyDescent="0.25">
      <c r="A245" s="79" t="s">
        <v>661</v>
      </c>
      <c r="B245" s="79" t="s">
        <v>3565</v>
      </c>
      <c r="C245" s="79" t="s">
        <v>3559</v>
      </c>
      <c r="D245" s="79" t="s">
        <v>1666</v>
      </c>
      <c r="E245" s="79" t="s">
        <v>1667</v>
      </c>
      <c r="F245" s="79" t="s">
        <v>407</v>
      </c>
      <c r="G245" s="79">
        <v>12</v>
      </c>
      <c r="H245" s="53">
        <f t="shared" si="48"/>
        <v>214.5</v>
      </c>
      <c r="I245" s="53">
        <f t="shared" si="49"/>
        <v>209</v>
      </c>
      <c r="J245" s="53">
        <f t="shared" si="50"/>
        <v>415.25</v>
      </c>
      <c r="K245" s="53">
        <f t="shared" si="53"/>
        <v>2</v>
      </c>
      <c r="L245" s="53" t="b">
        <f t="shared" si="51"/>
        <v>1</v>
      </c>
      <c r="M245" s="53" t="b">
        <f t="shared" si="52"/>
        <v>1</v>
      </c>
      <c r="N245" s="53" t="str">
        <f t="shared" si="54"/>
        <v>Finland-HARDFORD AB</v>
      </c>
      <c r="O245" s="68" t="str">
        <f t="shared" si="58"/>
        <v>Finland
pk</v>
      </c>
      <c r="P245" s="53" t="b">
        <f t="shared" si="55"/>
        <v>0</v>
      </c>
      <c r="Q245" s="53"/>
      <c r="R245" s="53" t="str">
        <f t="shared" si="56"/>
        <v>PK</v>
      </c>
      <c r="S245" s="53" t="str">
        <f t="shared" si="57"/>
        <v>pk</v>
      </c>
      <c r="T245" s="53">
        <f t="shared" si="59"/>
        <v>2</v>
      </c>
      <c r="U245" s="53" t="str">
        <f t="shared" si="60"/>
        <v>Finland</v>
      </c>
      <c r="V245" s="53" t="str">
        <f t="shared" si="61"/>
        <v>Tride</v>
      </c>
      <c r="W245" s="53" t="str">
        <f t="shared" si="62"/>
        <v xml:space="preserve"> AB</v>
      </c>
      <c r="X245" s="53" t="e">
        <f t="shared" si="63"/>
        <v>#VALUE!</v>
      </c>
      <c r="Y245" s="53"/>
      <c r="Z245" s="53"/>
      <c r="AA245" s="53"/>
    </row>
    <row r="246" spans="1:27" ht="30" x14ac:dyDescent="0.25">
      <c r="A246" s="79" t="s">
        <v>495</v>
      </c>
      <c r="B246" s="79" t="s">
        <v>3566</v>
      </c>
      <c r="C246" s="79" t="s">
        <v>3559</v>
      </c>
      <c r="D246" s="79" t="s">
        <v>1683</v>
      </c>
      <c r="E246" s="79" t="s">
        <v>1684</v>
      </c>
      <c r="F246" s="79" t="s">
        <v>167</v>
      </c>
      <c r="G246" s="79">
        <v>16</v>
      </c>
      <c r="H246" s="53">
        <f t="shared" si="48"/>
        <v>132.5</v>
      </c>
      <c r="I246" s="53">
        <f t="shared" si="49"/>
        <v>120</v>
      </c>
      <c r="J246" s="53">
        <f t="shared" si="50"/>
        <v>432.25</v>
      </c>
      <c r="K246" s="53">
        <f t="shared" si="53"/>
        <v>6</v>
      </c>
      <c r="L246" s="53" t="b">
        <f t="shared" si="51"/>
        <v>1</v>
      </c>
      <c r="M246" s="53" t="b">
        <f t="shared" si="52"/>
        <v>1</v>
      </c>
      <c r="N246" s="53" t="str">
        <f t="shared" si="54"/>
        <v>United States-MAESA SAS</v>
      </c>
      <c r="O246" s="68" t="str">
        <f t="shared" si="58"/>
        <v>United States
oz</v>
      </c>
      <c r="P246" s="53" t="b">
        <f t="shared" si="55"/>
        <v>0</v>
      </c>
      <c r="Q246" s="53"/>
      <c r="R246" s="53" t="str">
        <f t="shared" si="56"/>
        <v>OZ</v>
      </c>
      <c r="S246" s="53" t="str">
        <f t="shared" si="57"/>
        <v>oz</v>
      </c>
      <c r="T246" s="53">
        <f t="shared" si="59"/>
        <v>2</v>
      </c>
      <c r="U246" s="53" t="str">
        <f t="shared" si="60"/>
        <v>Unitod Statos</v>
      </c>
      <c r="V246" s="53" t="str">
        <f t="shared" si="61"/>
        <v xml:space="preserve">Wint </v>
      </c>
      <c r="W246" s="53" t="str">
        <f t="shared" si="62"/>
        <v>SAS</v>
      </c>
      <c r="X246" s="53" t="e">
        <f t="shared" si="63"/>
        <v>#VALUE!</v>
      </c>
      <c r="Y246" s="53"/>
      <c r="Z246" s="53"/>
      <c r="AA246" s="53"/>
    </row>
    <row r="247" spans="1:27" ht="30" x14ac:dyDescent="0.25">
      <c r="A247" s="79" t="s">
        <v>959</v>
      </c>
      <c r="B247" s="79" t="s">
        <v>3567</v>
      </c>
      <c r="C247" s="79" t="s">
        <v>3568</v>
      </c>
      <c r="D247" s="79" t="s">
        <v>1659</v>
      </c>
      <c r="E247" s="79" t="s">
        <v>1660</v>
      </c>
      <c r="F247" s="79" t="s">
        <v>167</v>
      </c>
      <c r="G247" s="79">
        <v>18</v>
      </c>
      <c r="H247" s="53">
        <f t="shared" si="48"/>
        <v>82.5</v>
      </c>
      <c r="I247" s="53">
        <f t="shared" si="49"/>
        <v>78</v>
      </c>
      <c r="J247" s="53">
        <f t="shared" si="50"/>
        <v>484.25</v>
      </c>
      <c r="K247" s="53">
        <f t="shared" si="53"/>
        <v>1</v>
      </c>
      <c r="L247" s="53" t="b">
        <f t="shared" si="51"/>
        <v>1</v>
      </c>
      <c r="M247" s="53" t="b">
        <f t="shared" si="52"/>
        <v>1</v>
      </c>
      <c r="N247" s="53" t="str">
        <f t="shared" si="54"/>
        <v>poland-CHROMADURLIN S.A.S</v>
      </c>
      <c r="O247" s="68" t="str">
        <f t="shared" si="58"/>
        <v>poland
oz</v>
      </c>
      <c r="P247" s="53" t="b">
        <f t="shared" si="55"/>
        <v>0</v>
      </c>
      <c r="Q247" s="53"/>
      <c r="R247" s="53" t="str">
        <f t="shared" si="56"/>
        <v>OZ</v>
      </c>
      <c r="S247" s="53" t="str">
        <f t="shared" si="57"/>
        <v>oz</v>
      </c>
      <c r="T247" s="53">
        <f t="shared" si="59"/>
        <v>2</v>
      </c>
      <c r="U247" s="53" t="str">
        <f t="shared" si="60"/>
        <v>poland</v>
      </c>
      <c r="V247" s="53" t="str">
        <f t="shared" si="61"/>
        <v>All P</v>
      </c>
      <c r="W247" s="53" t="str">
        <f t="shared" si="62"/>
        <v>A.S</v>
      </c>
      <c r="X247" s="53" t="e">
        <f t="shared" si="63"/>
        <v>#VALUE!</v>
      </c>
      <c r="Y247" s="53"/>
      <c r="Z247" s="53"/>
      <c r="AA247" s="53"/>
    </row>
    <row r="248" spans="1:27" ht="30" x14ac:dyDescent="0.25">
      <c r="A248" s="79" t="s">
        <v>668</v>
      </c>
      <c r="B248" s="79" t="s">
        <v>3569</v>
      </c>
      <c r="C248" s="79" t="s">
        <v>3568</v>
      </c>
      <c r="D248" s="79" t="s">
        <v>1683</v>
      </c>
      <c r="E248" s="79" t="s">
        <v>1684</v>
      </c>
      <c r="F248" s="79" t="s">
        <v>19</v>
      </c>
      <c r="G248" s="79">
        <v>26</v>
      </c>
      <c r="H248" s="53">
        <f t="shared" si="48"/>
        <v>26.5</v>
      </c>
      <c r="I248" s="53">
        <f t="shared" si="49"/>
        <v>24</v>
      </c>
      <c r="J248" s="53">
        <f t="shared" si="50"/>
        <v>432.25</v>
      </c>
      <c r="K248" s="53">
        <f t="shared" si="53"/>
        <v>5</v>
      </c>
      <c r="L248" s="53" t="b">
        <f t="shared" si="51"/>
        <v>0</v>
      </c>
      <c r="M248" s="53" t="b">
        <f t="shared" si="52"/>
        <v>1</v>
      </c>
      <c r="N248" s="53" t="str">
        <f t="shared" si="54"/>
        <v>United States-MAESA SAS</v>
      </c>
      <c r="O248" s="68" t="str">
        <f t="shared" si="58"/>
        <v>United States
rolls</v>
      </c>
      <c r="P248" s="53" t="b">
        <f t="shared" si="55"/>
        <v>0</v>
      </c>
      <c r="Q248" s="53"/>
      <c r="R248" s="53" t="str">
        <f t="shared" si="56"/>
        <v>ROLLS</v>
      </c>
      <c r="S248" s="53" t="str">
        <f t="shared" si="57"/>
        <v>rolls</v>
      </c>
      <c r="T248" s="53">
        <f t="shared" si="59"/>
        <v>2</v>
      </c>
      <c r="U248" s="53" t="str">
        <f t="shared" si="60"/>
        <v>Unitod Statos</v>
      </c>
      <c r="V248" s="53" t="str">
        <f t="shared" si="61"/>
        <v>Bount</v>
      </c>
      <c r="W248" s="53" t="str">
        <f t="shared" si="62"/>
        <v>SAS</v>
      </c>
      <c r="X248" s="53" t="e">
        <f t="shared" si="63"/>
        <v>#VALUE!</v>
      </c>
      <c r="Y248" s="53"/>
      <c r="Z248" s="53"/>
      <c r="AA248" s="53"/>
    </row>
    <row r="249" spans="1:27" ht="30" x14ac:dyDescent="0.25">
      <c r="A249" s="79" t="s">
        <v>190</v>
      </c>
      <c r="B249" s="79" t="s">
        <v>3570</v>
      </c>
      <c r="C249" s="79" t="s">
        <v>3568</v>
      </c>
      <c r="D249" s="79" t="s">
        <v>1676</v>
      </c>
      <c r="E249" s="79" t="s">
        <v>1677</v>
      </c>
      <c r="F249" s="79" t="s">
        <v>13</v>
      </c>
      <c r="G249" s="79">
        <v>20</v>
      </c>
      <c r="H249" s="53">
        <f t="shared" si="48"/>
        <v>61</v>
      </c>
      <c r="I249" s="53">
        <f t="shared" si="49"/>
        <v>55</v>
      </c>
      <c r="J249" s="53">
        <f t="shared" si="50"/>
        <v>485.5</v>
      </c>
      <c r="K249" s="53">
        <f t="shared" si="53"/>
        <v>1</v>
      </c>
      <c r="L249" s="53" t="b">
        <f t="shared" si="51"/>
        <v>0</v>
      </c>
      <c r="M249" s="53" t="b">
        <f t="shared" si="52"/>
        <v>1</v>
      </c>
      <c r="N249" s="53" t="str">
        <f t="shared" si="54"/>
        <v>Germany-Friedola 1888 GmbH</v>
      </c>
      <c r="O249" s="68" t="str">
        <f t="shared" si="58"/>
        <v>Germany
ct</v>
      </c>
      <c r="P249" s="53" t="b">
        <f t="shared" si="55"/>
        <v>0</v>
      </c>
      <c r="Q249" s="53"/>
      <c r="R249" s="53" t="str">
        <f t="shared" si="56"/>
        <v>CT</v>
      </c>
      <c r="S249" s="53" t="str">
        <f t="shared" si="57"/>
        <v>ct</v>
      </c>
      <c r="T249" s="53">
        <f t="shared" si="59"/>
        <v>2</v>
      </c>
      <c r="U249" s="53" t="str">
        <f t="shared" si="60"/>
        <v>Gormany</v>
      </c>
      <c r="V249" s="53" t="str">
        <f t="shared" si="61"/>
        <v>Casca</v>
      </c>
      <c r="W249" s="53" t="str">
        <f t="shared" si="62"/>
        <v>mbH</v>
      </c>
      <c r="X249" s="53" t="e">
        <f t="shared" si="63"/>
        <v>#VALUE!</v>
      </c>
      <c r="Y249" s="53"/>
      <c r="Z249" s="53"/>
      <c r="AA249" s="53"/>
    </row>
    <row r="250" spans="1:27" ht="30" x14ac:dyDescent="0.25">
      <c r="A250" s="79" t="s">
        <v>393</v>
      </c>
      <c r="B250" s="79" t="s">
        <v>3571</v>
      </c>
      <c r="C250" s="79" t="s">
        <v>3568</v>
      </c>
      <c r="D250" s="79" t="s">
        <v>1683</v>
      </c>
      <c r="E250" s="79" t="s">
        <v>1684</v>
      </c>
      <c r="F250" s="79" t="s">
        <v>167</v>
      </c>
      <c r="G250" s="79">
        <v>15</v>
      </c>
      <c r="H250" s="53">
        <f t="shared" si="48"/>
        <v>160.5</v>
      </c>
      <c r="I250" s="53">
        <f t="shared" si="49"/>
        <v>147</v>
      </c>
      <c r="J250" s="53">
        <f t="shared" si="50"/>
        <v>432.25</v>
      </c>
      <c r="K250" s="53">
        <f t="shared" si="53"/>
        <v>4</v>
      </c>
      <c r="L250" s="53" t="b">
        <f t="shared" si="51"/>
        <v>1</v>
      </c>
      <c r="M250" s="53" t="b">
        <f t="shared" si="52"/>
        <v>1</v>
      </c>
      <c r="N250" s="53" t="str">
        <f t="shared" si="54"/>
        <v>United States-MAESA SAS</v>
      </c>
      <c r="O250" s="68" t="str">
        <f t="shared" si="58"/>
        <v>United States
oz</v>
      </c>
      <c r="P250" s="53" t="b">
        <f t="shared" si="55"/>
        <v>0</v>
      </c>
      <c r="Q250" s="53"/>
      <c r="R250" s="53" t="str">
        <f t="shared" si="56"/>
        <v>OZ</v>
      </c>
      <c r="S250" s="53" t="str">
        <f t="shared" si="57"/>
        <v>oz</v>
      </c>
      <c r="T250" s="53">
        <f t="shared" si="59"/>
        <v>2</v>
      </c>
      <c r="U250" s="53" t="str">
        <f t="shared" si="60"/>
        <v>Unitod Statos</v>
      </c>
      <c r="V250" s="53" t="str">
        <f t="shared" si="61"/>
        <v>Casca</v>
      </c>
      <c r="W250" s="53" t="str">
        <f t="shared" si="62"/>
        <v>SAS</v>
      </c>
      <c r="X250" s="53" t="e">
        <f t="shared" si="63"/>
        <v>#VALUE!</v>
      </c>
      <c r="Y250" s="53"/>
      <c r="Z250" s="53"/>
      <c r="AA250" s="53"/>
    </row>
    <row r="251" spans="1:27" ht="30" x14ac:dyDescent="0.25">
      <c r="A251" s="79" t="s">
        <v>17</v>
      </c>
      <c r="B251" s="79" t="s">
        <v>3572</v>
      </c>
      <c r="C251" s="79" t="s">
        <v>3568</v>
      </c>
      <c r="D251" s="79" t="s">
        <v>1662</v>
      </c>
      <c r="E251" s="79" t="s">
        <v>1663</v>
      </c>
      <c r="F251" s="79" t="s">
        <v>19</v>
      </c>
      <c r="G251" s="79">
        <v>26</v>
      </c>
      <c r="H251" s="53">
        <f t="shared" si="48"/>
        <v>26.5</v>
      </c>
      <c r="I251" s="53">
        <f t="shared" si="49"/>
        <v>24</v>
      </c>
      <c r="J251" s="53">
        <f t="shared" si="50"/>
        <v>587.25</v>
      </c>
      <c r="K251" s="53">
        <f t="shared" si="53"/>
        <v>5</v>
      </c>
      <c r="L251" s="53" t="b">
        <f t="shared" si="51"/>
        <v>0</v>
      </c>
      <c r="M251" s="53" t="b">
        <f t="shared" si="52"/>
        <v>1</v>
      </c>
      <c r="N251" s="53" t="str">
        <f t="shared" si="54"/>
        <v>Bangladesh-DENIMACH LTD</v>
      </c>
      <c r="O251" s="68" t="str">
        <f t="shared" si="58"/>
        <v>Bangladesh
rolls</v>
      </c>
      <c r="P251" s="53" t="b">
        <f t="shared" si="55"/>
        <v>0</v>
      </c>
      <c r="Q251" s="53"/>
      <c r="R251" s="53" t="str">
        <f t="shared" si="56"/>
        <v>ROLLS</v>
      </c>
      <c r="S251" s="53" t="str">
        <f t="shared" si="57"/>
        <v>rolls</v>
      </c>
      <c r="T251" s="53">
        <f t="shared" si="59"/>
        <v>2</v>
      </c>
      <c r="U251" s="53" t="str">
        <f t="shared" si="60"/>
        <v>Bangladosh</v>
      </c>
      <c r="V251" s="53" t="str">
        <f t="shared" si="61"/>
        <v>Charm</v>
      </c>
      <c r="W251" s="53" t="str">
        <f t="shared" si="62"/>
        <v>LTD</v>
      </c>
      <c r="X251" s="53" t="e">
        <f t="shared" si="63"/>
        <v>#VALUE!</v>
      </c>
      <c r="Y251" s="53"/>
      <c r="Z251" s="53"/>
      <c r="AA251" s="53"/>
    </row>
    <row r="252" spans="1:27" ht="30" x14ac:dyDescent="0.25">
      <c r="A252" s="79" t="s">
        <v>1385</v>
      </c>
      <c r="B252" s="79" t="s">
        <v>3573</v>
      </c>
      <c r="C252" s="79" t="s">
        <v>3568</v>
      </c>
      <c r="D252" s="79" t="s">
        <v>1680</v>
      </c>
      <c r="E252" s="79" t="s">
        <v>1681</v>
      </c>
      <c r="F252" s="79" t="s">
        <v>402</v>
      </c>
      <c r="G252" s="79">
        <v>16</v>
      </c>
      <c r="H252" s="53">
        <f t="shared" si="48"/>
        <v>132.5</v>
      </c>
      <c r="I252" s="53">
        <f t="shared" si="49"/>
        <v>120</v>
      </c>
      <c r="J252" s="53">
        <f t="shared" si="50"/>
        <v>264</v>
      </c>
      <c r="K252" s="53">
        <f t="shared" si="53"/>
        <v>1</v>
      </c>
      <c r="L252" s="53" t="b">
        <f t="shared" si="51"/>
        <v>1</v>
      </c>
      <c r="M252" s="53" t="b">
        <f t="shared" si="52"/>
        <v>1</v>
      </c>
      <c r="N252" s="53" t="str">
        <f t="shared" si="54"/>
        <v>China-CHERRY GROUP CO.,LTD</v>
      </c>
      <c r="O252" s="68" t="str">
        <f t="shared" si="58"/>
        <v>China
pack</v>
      </c>
      <c r="P252" s="53" t="b">
        <f t="shared" si="55"/>
        <v>0</v>
      </c>
      <c r="Q252" s="53"/>
      <c r="R252" s="53" t="str">
        <f t="shared" si="56"/>
        <v>PACK</v>
      </c>
      <c r="S252" s="53" t="str">
        <f t="shared" si="57"/>
        <v>pack</v>
      </c>
      <c r="T252" s="53">
        <f t="shared" si="59"/>
        <v>2</v>
      </c>
      <c r="U252" s="53" t="str">
        <f t="shared" si="60"/>
        <v>China</v>
      </c>
      <c r="V252" s="53" t="str">
        <f t="shared" si="61"/>
        <v>Cloro</v>
      </c>
      <c r="W252" s="53" t="str">
        <f t="shared" si="62"/>
        <v>LTD</v>
      </c>
      <c r="X252" s="53">
        <f t="shared" si="63"/>
        <v>2</v>
      </c>
      <c r="Y252" s="53"/>
      <c r="Z252" s="53"/>
      <c r="AA252" s="53"/>
    </row>
    <row r="253" spans="1:27" ht="30" x14ac:dyDescent="0.25">
      <c r="A253" s="79" t="s">
        <v>556</v>
      </c>
      <c r="B253" s="79" t="s">
        <v>3574</v>
      </c>
      <c r="C253" s="79" t="s">
        <v>3568</v>
      </c>
      <c r="D253" s="79" t="s">
        <v>1683</v>
      </c>
      <c r="E253" s="79" t="s">
        <v>1684</v>
      </c>
      <c r="F253" s="79" t="s">
        <v>402</v>
      </c>
      <c r="G253" s="79">
        <v>19.5</v>
      </c>
      <c r="H253" s="53">
        <f t="shared" si="48"/>
        <v>69</v>
      </c>
      <c r="I253" s="53">
        <f t="shared" si="49"/>
        <v>68</v>
      </c>
      <c r="J253" s="53">
        <f t="shared" si="50"/>
        <v>432.25</v>
      </c>
      <c r="K253" s="53">
        <f t="shared" si="53"/>
        <v>3</v>
      </c>
      <c r="L253" s="53" t="b">
        <f t="shared" si="51"/>
        <v>1</v>
      </c>
      <c r="M253" s="53" t="b">
        <f t="shared" si="52"/>
        <v>1</v>
      </c>
      <c r="N253" s="53" t="str">
        <f t="shared" si="54"/>
        <v>United States-MAESA SAS</v>
      </c>
      <c r="O253" s="68" t="str">
        <f t="shared" si="58"/>
        <v>United States
pack</v>
      </c>
      <c r="P253" s="53" t="b">
        <f t="shared" si="55"/>
        <v>0</v>
      </c>
      <c r="Q253" s="53"/>
      <c r="R253" s="53" t="str">
        <f t="shared" si="56"/>
        <v>PACK</v>
      </c>
      <c r="S253" s="53" t="str">
        <f t="shared" si="57"/>
        <v>pack</v>
      </c>
      <c r="T253" s="53">
        <f t="shared" si="59"/>
        <v>2</v>
      </c>
      <c r="U253" s="53" t="str">
        <f t="shared" si="60"/>
        <v>Unitod Statos</v>
      </c>
      <c r="V253" s="53" t="str">
        <f t="shared" si="61"/>
        <v>Cloro</v>
      </c>
      <c r="W253" s="53" t="str">
        <f t="shared" si="62"/>
        <v>SAS</v>
      </c>
      <c r="X253" s="53">
        <f t="shared" si="63"/>
        <v>2</v>
      </c>
      <c r="Y253" s="53"/>
      <c r="Z253" s="53"/>
      <c r="AA253" s="53"/>
    </row>
    <row r="254" spans="1:27" ht="30" x14ac:dyDescent="0.25">
      <c r="A254" s="79" t="s">
        <v>1019</v>
      </c>
      <c r="B254" s="79" t="s">
        <v>3575</v>
      </c>
      <c r="C254" s="79" t="s">
        <v>3568</v>
      </c>
      <c r="D254" s="79" t="s">
        <v>1669</v>
      </c>
      <c r="E254" s="79" t="s">
        <v>1670</v>
      </c>
      <c r="F254" s="79" t="s">
        <v>167</v>
      </c>
      <c r="G254" s="79">
        <v>13</v>
      </c>
      <c r="H254" s="53">
        <f t="shared" si="48"/>
        <v>201</v>
      </c>
      <c r="I254" s="53">
        <f t="shared" si="49"/>
        <v>197</v>
      </c>
      <c r="J254" s="53">
        <f t="shared" si="50"/>
        <v>514.5</v>
      </c>
      <c r="K254" s="53">
        <f t="shared" si="53"/>
        <v>4</v>
      </c>
      <c r="L254" s="53" t="b">
        <f t="shared" si="51"/>
        <v>1</v>
      </c>
      <c r="M254" s="53" t="b">
        <f t="shared" si="52"/>
        <v>1</v>
      </c>
      <c r="N254" s="53" t="str">
        <f t="shared" si="54"/>
        <v>Lithuania-BIGSO AB</v>
      </c>
      <c r="O254" s="68" t="str">
        <f t="shared" si="58"/>
        <v>Lithuania
oz</v>
      </c>
      <c r="P254" s="53" t="b">
        <f t="shared" si="55"/>
        <v>0</v>
      </c>
      <c r="Q254" s="53"/>
      <c r="R254" s="53" t="str">
        <f t="shared" si="56"/>
        <v>OZ</v>
      </c>
      <c r="S254" s="53" t="str">
        <f t="shared" si="57"/>
        <v>oz</v>
      </c>
      <c r="T254" s="53">
        <f t="shared" si="59"/>
        <v>2</v>
      </c>
      <c r="U254" s="53" t="str">
        <f t="shared" si="60"/>
        <v>Lithuania</v>
      </c>
      <c r="V254" s="53" t="str">
        <f t="shared" si="61"/>
        <v xml:space="preserve">Dawn </v>
      </c>
      <c r="W254" s="53" t="str">
        <f t="shared" si="62"/>
        <v xml:space="preserve"> AB</v>
      </c>
      <c r="X254" s="53" t="e">
        <f t="shared" si="63"/>
        <v>#VALUE!</v>
      </c>
      <c r="Y254" s="53"/>
      <c r="Z254" s="53"/>
      <c r="AA254" s="53"/>
    </row>
    <row r="255" spans="1:27" ht="30" x14ac:dyDescent="0.25">
      <c r="A255" s="79" t="s">
        <v>844</v>
      </c>
      <c r="B255" s="79" t="s">
        <v>3576</v>
      </c>
      <c r="C255" s="79" t="s">
        <v>3568</v>
      </c>
      <c r="D255" s="79" t="s">
        <v>1662</v>
      </c>
      <c r="E255" s="79" t="s">
        <v>1663</v>
      </c>
      <c r="F255" s="79" t="s">
        <v>13</v>
      </c>
      <c r="G255" s="79">
        <v>11</v>
      </c>
      <c r="H255" s="53">
        <f t="shared" si="48"/>
        <v>225</v>
      </c>
      <c r="I255" s="53">
        <f t="shared" si="49"/>
        <v>224</v>
      </c>
      <c r="J255" s="53">
        <f t="shared" si="50"/>
        <v>587.25</v>
      </c>
      <c r="K255" s="53">
        <f t="shared" si="53"/>
        <v>4</v>
      </c>
      <c r="L255" s="53" t="b">
        <f t="shared" si="51"/>
        <v>1</v>
      </c>
      <c r="M255" s="53" t="b">
        <f t="shared" si="52"/>
        <v>1</v>
      </c>
      <c r="N255" s="53" t="str">
        <f t="shared" si="54"/>
        <v>Bangladesh-DENIMACH LTD</v>
      </c>
      <c r="O255" s="68" t="str">
        <f t="shared" si="58"/>
        <v>Bangladesh
ct</v>
      </c>
      <c r="P255" s="53" t="b">
        <f t="shared" si="55"/>
        <v>0</v>
      </c>
      <c r="Q255" s="53"/>
      <c r="R255" s="53" t="str">
        <f t="shared" si="56"/>
        <v>CT</v>
      </c>
      <c r="S255" s="53" t="str">
        <f t="shared" si="57"/>
        <v>ct</v>
      </c>
      <c r="T255" s="53">
        <f t="shared" si="59"/>
        <v>2</v>
      </c>
      <c r="U255" s="53" t="str">
        <f t="shared" si="60"/>
        <v>Bangladosh</v>
      </c>
      <c r="V255" s="53" t="str">
        <f t="shared" si="61"/>
        <v xml:space="preserve">Dial </v>
      </c>
      <c r="W255" s="53" t="str">
        <f t="shared" si="62"/>
        <v>LTD</v>
      </c>
      <c r="X255" s="53" t="e">
        <f t="shared" si="63"/>
        <v>#VALUE!</v>
      </c>
      <c r="Y255" s="53"/>
      <c r="Z255" s="53"/>
      <c r="AA255" s="53"/>
    </row>
    <row r="256" spans="1:27" ht="30" x14ac:dyDescent="0.25">
      <c r="A256" s="79" t="s">
        <v>644</v>
      </c>
      <c r="B256" s="79" t="s">
        <v>3577</v>
      </c>
      <c r="C256" s="79" t="s">
        <v>3568</v>
      </c>
      <c r="D256" s="79" t="s">
        <v>1662</v>
      </c>
      <c r="E256" s="79" t="s">
        <v>1663</v>
      </c>
      <c r="F256" s="79" t="s">
        <v>106</v>
      </c>
      <c r="G256" s="79">
        <v>21</v>
      </c>
      <c r="H256" s="53">
        <f t="shared" si="48"/>
        <v>51.5</v>
      </c>
      <c r="I256" s="53">
        <f t="shared" si="49"/>
        <v>50</v>
      </c>
      <c r="J256" s="53">
        <f t="shared" si="50"/>
        <v>587.25</v>
      </c>
      <c r="K256" s="53">
        <f t="shared" si="53"/>
        <v>3</v>
      </c>
      <c r="L256" s="53" t="b">
        <f t="shared" si="51"/>
        <v>0</v>
      </c>
      <c r="M256" s="53" t="b">
        <f t="shared" si="52"/>
        <v>1</v>
      </c>
      <c r="N256" s="53" t="str">
        <f t="shared" si="54"/>
        <v>Bangladesh-DENIMACH LTD</v>
      </c>
      <c r="O256" s="68" t="str">
        <f t="shared" si="58"/>
        <v>Bangladesh
bags</v>
      </c>
      <c r="P256" s="53" t="b">
        <f t="shared" si="55"/>
        <v>0</v>
      </c>
      <c r="Q256" s="53"/>
      <c r="R256" s="53" t="str">
        <f t="shared" si="56"/>
        <v>BAGS</v>
      </c>
      <c r="S256" s="53" t="str">
        <f t="shared" si="57"/>
        <v>bags</v>
      </c>
      <c r="T256" s="53">
        <f t="shared" si="59"/>
        <v>2</v>
      </c>
      <c r="U256" s="53" t="str">
        <f t="shared" si="60"/>
        <v>Bangladosh</v>
      </c>
      <c r="V256" s="53" t="str">
        <f t="shared" si="61"/>
        <v>Force</v>
      </c>
      <c r="W256" s="53" t="str">
        <f t="shared" si="62"/>
        <v>LTD</v>
      </c>
      <c r="X256" s="53">
        <f t="shared" si="63"/>
        <v>2</v>
      </c>
      <c r="Y256" s="53"/>
      <c r="Z256" s="53"/>
      <c r="AA256" s="53"/>
    </row>
    <row r="257" spans="1:27" ht="30" x14ac:dyDescent="0.25">
      <c r="A257" s="79" t="s">
        <v>445</v>
      </c>
      <c r="B257" s="79" t="s">
        <v>3578</v>
      </c>
      <c r="C257" s="79" t="s">
        <v>3568</v>
      </c>
      <c r="D257" s="79" t="s">
        <v>1690</v>
      </c>
      <c r="E257" s="79" t="s">
        <v>1691</v>
      </c>
      <c r="F257" s="79" t="s">
        <v>167</v>
      </c>
      <c r="G257" s="79">
        <v>13</v>
      </c>
      <c r="H257" s="53">
        <f t="shared" si="48"/>
        <v>201</v>
      </c>
      <c r="I257" s="53">
        <f t="shared" si="49"/>
        <v>197</v>
      </c>
      <c r="J257" s="53">
        <f t="shared" si="50"/>
        <v>415</v>
      </c>
      <c r="K257" s="53">
        <f t="shared" si="53"/>
        <v>2</v>
      </c>
      <c r="L257" s="53" t="b">
        <f t="shared" si="51"/>
        <v>1</v>
      </c>
      <c r="M257" s="53" t="b">
        <f t="shared" si="52"/>
        <v>1</v>
      </c>
      <c r="N257" s="53" t="str">
        <f t="shared" si="54"/>
        <v>Cambodia-NINGBO SEDUNO IMP &amp; EXP CO.LTD</v>
      </c>
      <c r="O257" s="68" t="str">
        <f t="shared" si="58"/>
        <v>Cambodia
oz</v>
      </c>
      <c r="P257" s="53" t="b">
        <f t="shared" si="55"/>
        <v>0</v>
      </c>
      <c r="Q257" s="53"/>
      <c r="R257" s="53" t="str">
        <f t="shared" si="56"/>
        <v>OZ</v>
      </c>
      <c r="S257" s="53" t="str">
        <f t="shared" si="57"/>
        <v>oz</v>
      </c>
      <c r="T257" s="53">
        <f t="shared" si="59"/>
        <v>2</v>
      </c>
      <c r="U257" s="53" t="str">
        <f t="shared" si="60"/>
        <v>Cambodia</v>
      </c>
      <c r="V257" s="53" t="str">
        <f t="shared" si="61"/>
        <v xml:space="preserve">Hand </v>
      </c>
      <c r="W257" s="53" t="str">
        <f t="shared" si="62"/>
        <v>LTD</v>
      </c>
      <c r="X257" s="53" t="e">
        <f t="shared" si="63"/>
        <v>#VALUE!</v>
      </c>
      <c r="Y257" s="53"/>
      <c r="Z257" s="53"/>
      <c r="AA257" s="53"/>
    </row>
    <row r="258" spans="1:27" ht="30" x14ac:dyDescent="0.25">
      <c r="A258" s="79" t="s">
        <v>574</v>
      </c>
      <c r="B258" s="79" t="s">
        <v>3579</v>
      </c>
      <c r="C258" s="79" t="s">
        <v>3568</v>
      </c>
      <c r="D258" s="79" t="s">
        <v>1662</v>
      </c>
      <c r="E258" s="79" t="s">
        <v>1663</v>
      </c>
      <c r="F258" s="79" t="s">
        <v>402</v>
      </c>
      <c r="G258" s="79">
        <v>20</v>
      </c>
      <c r="H258" s="53">
        <f t="shared" si="48"/>
        <v>61</v>
      </c>
      <c r="I258" s="53">
        <f t="shared" si="49"/>
        <v>55</v>
      </c>
      <c r="J258" s="53">
        <f t="shared" si="50"/>
        <v>587.25</v>
      </c>
      <c r="K258" s="53">
        <f t="shared" si="53"/>
        <v>2</v>
      </c>
      <c r="L258" s="53" t="b">
        <f t="shared" si="51"/>
        <v>0</v>
      </c>
      <c r="M258" s="53" t="b">
        <f t="shared" si="52"/>
        <v>1</v>
      </c>
      <c r="N258" s="53" t="str">
        <f t="shared" si="54"/>
        <v>Bangladesh-DENIMACH LTD</v>
      </c>
      <c r="O258" s="68" t="str">
        <f t="shared" si="58"/>
        <v>Bangladesh
pack</v>
      </c>
      <c r="P258" s="53" t="b">
        <f t="shared" si="55"/>
        <v>0</v>
      </c>
      <c r="Q258" s="53"/>
      <c r="R258" s="53" t="str">
        <f t="shared" si="56"/>
        <v>PACK</v>
      </c>
      <c r="S258" s="53" t="str">
        <f t="shared" si="57"/>
        <v>pack</v>
      </c>
      <c r="T258" s="53">
        <f t="shared" si="59"/>
        <v>2</v>
      </c>
      <c r="U258" s="53" t="str">
        <f t="shared" si="60"/>
        <v>Bangladosh</v>
      </c>
      <c r="V258" s="53" t="str">
        <f t="shared" si="61"/>
        <v>Kleen</v>
      </c>
      <c r="W258" s="53" t="str">
        <f t="shared" si="62"/>
        <v>LTD</v>
      </c>
      <c r="X258" s="53">
        <f t="shared" si="63"/>
        <v>2</v>
      </c>
      <c r="Y258" s="53"/>
      <c r="Z258" s="53"/>
      <c r="AA258" s="53"/>
    </row>
    <row r="259" spans="1:27" ht="30" x14ac:dyDescent="0.25">
      <c r="A259" s="79" t="s">
        <v>401</v>
      </c>
      <c r="B259" s="79" t="s">
        <v>3580</v>
      </c>
      <c r="C259" s="79" t="s">
        <v>3568</v>
      </c>
      <c r="D259" s="79" t="s">
        <v>1666</v>
      </c>
      <c r="E259" s="79" t="s">
        <v>1667</v>
      </c>
      <c r="F259" s="79" t="s">
        <v>402</v>
      </c>
      <c r="G259" s="79">
        <v>20</v>
      </c>
      <c r="H259" s="53">
        <f t="shared" si="48"/>
        <v>61</v>
      </c>
      <c r="I259" s="53">
        <f t="shared" si="49"/>
        <v>55</v>
      </c>
      <c r="J259" s="53">
        <f t="shared" si="50"/>
        <v>415.25</v>
      </c>
      <c r="K259" s="53">
        <f t="shared" si="53"/>
        <v>1</v>
      </c>
      <c r="L259" s="53" t="b">
        <f t="shared" si="51"/>
        <v>0</v>
      </c>
      <c r="M259" s="53" t="b">
        <f t="shared" si="52"/>
        <v>1</v>
      </c>
      <c r="N259" s="53" t="str">
        <f t="shared" si="54"/>
        <v>Finland-HARDFORD AB</v>
      </c>
      <c r="O259" s="68" t="str">
        <f t="shared" si="58"/>
        <v>Finland
pack</v>
      </c>
      <c r="P259" s="53" t="b">
        <f t="shared" si="55"/>
        <v>0</v>
      </c>
      <c r="Q259" s="53"/>
      <c r="R259" s="53" t="str">
        <f t="shared" si="56"/>
        <v>PACK</v>
      </c>
      <c r="S259" s="53" t="str">
        <f t="shared" si="57"/>
        <v>pack</v>
      </c>
      <c r="T259" s="53">
        <f t="shared" si="59"/>
        <v>2</v>
      </c>
      <c r="U259" s="53" t="str">
        <f t="shared" si="60"/>
        <v>Finland</v>
      </c>
      <c r="V259" s="53" t="str">
        <f t="shared" si="61"/>
        <v>Kleen</v>
      </c>
      <c r="W259" s="53" t="str">
        <f t="shared" si="62"/>
        <v xml:space="preserve"> AB</v>
      </c>
      <c r="X259" s="53">
        <f t="shared" si="63"/>
        <v>2</v>
      </c>
      <c r="Y259" s="53"/>
      <c r="Z259" s="53"/>
      <c r="AA259" s="53"/>
    </row>
    <row r="260" spans="1:27" ht="30" x14ac:dyDescent="0.25">
      <c r="A260" s="79" t="s">
        <v>807</v>
      </c>
      <c r="B260" s="79" t="s">
        <v>3581</v>
      </c>
      <c r="C260" s="79" t="s">
        <v>3568</v>
      </c>
      <c r="D260" s="79" t="s">
        <v>1662</v>
      </c>
      <c r="E260" s="79" t="s">
        <v>1663</v>
      </c>
      <c r="F260" s="79" t="s">
        <v>13</v>
      </c>
      <c r="G260" s="79">
        <v>21</v>
      </c>
      <c r="H260" s="53">
        <f t="shared" ref="H260:H267" si="64">_xlfn.RANK.AVG(G260,$G$4:$G$266)</f>
        <v>51.5</v>
      </c>
      <c r="I260" s="53">
        <f t="shared" ref="I260:I267" si="65">_xlfn.RANK.EQ(G260,$G$4:$G$266)</f>
        <v>50</v>
      </c>
      <c r="J260" s="53">
        <f t="shared" ref="J260:J267" si="66">SUMIF($D$4:$D$266,D260,$G$4:$G$266)</f>
        <v>587.25</v>
      </c>
      <c r="K260" s="53">
        <f t="shared" si="53"/>
        <v>1</v>
      </c>
      <c r="L260" s="53" t="b">
        <f t="shared" ref="L260:L267" si="67">AND(G260&lt;20,D260&gt;10)</f>
        <v>0</v>
      </c>
      <c r="M260" s="53" t="b">
        <f t="shared" ref="M260:M267" si="68">OR(G260&lt;20,D260&gt;10)</f>
        <v>1</v>
      </c>
      <c r="N260" s="53" t="str">
        <f t="shared" si="54"/>
        <v>Bangladesh-DENIMACH LTD</v>
      </c>
      <c r="O260" s="68" t="str">
        <f t="shared" si="58"/>
        <v>Bangladesh
ct</v>
      </c>
      <c r="P260" s="53" t="b">
        <f t="shared" si="55"/>
        <v>0</v>
      </c>
      <c r="Q260" s="53"/>
      <c r="R260" s="53" t="str">
        <f t="shared" si="56"/>
        <v>CT</v>
      </c>
      <c r="S260" s="53" t="str">
        <f t="shared" si="57"/>
        <v>ct</v>
      </c>
      <c r="T260" s="53">
        <f t="shared" si="59"/>
        <v>2</v>
      </c>
      <c r="U260" s="53" t="str">
        <f t="shared" si="60"/>
        <v>Bangladosh</v>
      </c>
      <c r="V260" s="53" t="str">
        <f t="shared" si="61"/>
        <v>Large</v>
      </c>
      <c r="W260" s="53" t="str">
        <f t="shared" si="62"/>
        <v>LTD</v>
      </c>
      <c r="X260" s="53" t="e">
        <f t="shared" si="63"/>
        <v>#VALUE!</v>
      </c>
      <c r="Y260" s="53"/>
      <c r="Z260" s="53"/>
      <c r="AA260" s="53"/>
    </row>
    <row r="261" spans="1:27" ht="30" x14ac:dyDescent="0.25">
      <c r="A261" s="79" t="s">
        <v>603</v>
      </c>
      <c r="B261" s="79" t="s">
        <v>3582</v>
      </c>
      <c r="C261" s="79" t="s">
        <v>3568</v>
      </c>
      <c r="D261" s="79" t="s">
        <v>1683</v>
      </c>
      <c r="E261" s="79" t="s">
        <v>1684</v>
      </c>
      <c r="F261" s="79" t="s">
        <v>407</v>
      </c>
      <c r="G261" s="79">
        <v>21</v>
      </c>
      <c r="H261" s="53">
        <f t="shared" si="64"/>
        <v>51.5</v>
      </c>
      <c r="I261" s="53">
        <f t="shared" si="65"/>
        <v>50</v>
      </c>
      <c r="J261" s="53">
        <f t="shared" si="66"/>
        <v>432.25</v>
      </c>
      <c r="K261" s="53">
        <f t="shared" ref="K261:K267" si="69">COUNTIF(D261:D524,D261)</f>
        <v>2</v>
      </c>
      <c r="L261" s="53" t="b">
        <f t="shared" si="67"/>
        <v>0</v>
      </c>
      <c r="M261" s="53" t="b">
        <f t="shared" si="68"/>
        <v>1</v>
      </c>
      <c r="N261" s="53" t="str">
        <f t="shared" ref="N261:N267" si="70">_xlfn.CONCAT(D261,"-",E261)</f>
        <v>United States-MAESA SAS</v>
      </c>
      <c r="O261" s="68" t="str">
        <f t="shared" si="58"/>
        <v>United States
pk</v>
      </c>
      <c r="P261" s="53" t="b">
        <f t="shared" ref="P261:P267" si="71">EXACT(E261,D261)</f>
        <v>0</v>
      </c>
      <c r="Q261" s="53"/>
      <c r="R261" s="53" t="str">
        <f t="shared" ref="R261:R270" si="72">UPPER(F261)</f>
        <v>PK</v>
      </c>
      <c r="S261" s="53" t="str">
        <f t="shared" ref="S261:S270" si="73">LOWER(F261)</f>
        <v>pk</v>
      </c>
      <c r="T261" s="53">
        <f t="shared" si="59"/>
        <v>2</v>
      </c>
      <c r="U261" s="53" t="str">
        <f t="shared" si="60"/>
        <v>Unitod Statos</v>
      </c>
      <c r="V261" s="53" t="str">
        <f t="shared" si="61"/>
        <v>Lysol</v>
      </c>
      <c r="W261" s="53" t="str">
        <f t="shared" si="62"/>
        <v>SAS</v>
      </c>
      <c r="X261" s="53" t="e">
        <f t="shared" si="63"/>
        <v>#VALUE!</v>
      </c>
      <c r="Y261" s="53"/>
      <c r="Z261" s="53"/>
      <c r="AA261" s="53"/>
    </row>
    <row r="262" spans="1:27" ht="30" x14ac:dyDescent="0.25">
      <c r="A262" s="79" t="s">
        <v>1227</v>
      </c>
      <c r="B262" s="79" t="s">
        <v>3583</v>
      </c>
      <c r="C262" s="79" t="s">
        <v>3568</v>
      </c>
      <c r="D262" s="79" t="s">
        <v>1683</v>
      </c>
      <c r="E262" s="79" t="s">
        <v>1684</v>
      </c>
      <c r="F262" s="79" t="s">
        <v>402</v>
      </c>
      <c r="G262" s="79">
        <v>26</v>
      </c>
      <c r="H262" s="53">
        <f t="shared" si="64"/>
        <v>26.5</v>
      </c>
      <c r="I262" s="53">
        <f t="shared" si="65"/>
        <v>24</v>
      </c>
      <c r="J262" s="53">
        <f t="shared" si="66"/>
        <v>432.25</v>
      </c>
      <c r="K262" s="53">
        <f t="shared" si="69"/>
        <v>1</v>
      </c>
      <c r="L262" s="53" t="b">
        <f t="shared" si="67"/>
        <v>0</v>
      </c>
      <c r="M262" s="53" t="b">
        <f t="shared" si="68"/>
        <v>1</v>
      </c>
      <c r="N262" s="53" t="str">
        <f t="shared" si="70"/>
        <v>United States-MAESA SAS</v>
      </c>
      <c r="O262" s="68" t="str">
        <f t="shared" ref="O262:O267" si="74">_xlfn.CONCAT(D262,CHAR(10),F262)</f>
        <v>United States
pack</v>
      </c>
      <c r="P262" s="53" t="b">
        <f t="shared" si="71"/>
        <v>0</v>
      </c>
      <c r="Q262" s="53"/>
      <c r="R262" s="53" t="str">
        <f t="shared" si="72"/>
        <v>PACK</v>
      </c>
      <c r="S262" s="53" t="str">
        <f t="shared" si="73"/>
        <v>pack</v>
      </c>
      <c r="T262" s="53">
        <f t="shared" si="59"/>
        <v>2</v>
      </c>
      <c r="U262" s="53" t="str">
        <f t="shared" si="60"/>
        <v>Unitod Statos</v>
      </c>
      <c r="V262" s="53" t="str">
        <f t="shared" si="61"/>
        <v>Lysol</v>
      </c>
      <c r="W262" s="53" t="str">
        <f t="shared" si="62"/>
        <v>SAS</v>
      </c>
      <c r="X262" s="53">
        <f t="shared" si="63"/>
        <v>2</v>
      </c>
      <c r="Y262" s="53"/>
      <c r="Z262" s="53"/>
      <c r="AA262" s="53"/>
    </row>
    <row r="263" spans="1:27" ht="30" x14ac:dyDescent="0.25">
      <c r="A263" s="79" t="s">
        <v>1796</v>
      </c>
      <c r="B263" s="79" t="s">
        <v>3584</v>
      </c>
      <c r="C263" s="79" t="s">
        <v>3568</v>
      </c>
      <c r="D263" s="79" t="s">
        <v>1690</v>
      </c>
      <c r="E263" s="79" t="s">
        <v>1691</v>
      </c>
      <c r="F263" s="79" t="s">
        <v>13</v>
      </c>
      <c r="G263" s="79">
        <v>15</v>
      </c>
      <c r="H263" s="53">
        <f t="shared" si="64"/>
        <v>160.5</v>
      </c>
      <c r="I263" s="53">
        <f t="shared" si="65"/>
        <v>147</v>
      </c>
      <c r="J263" s="53">
        <f t="shared" si="66"/>
        <v>415</v>
      </c>
      <c r="K263" s="53">
        <f t="shared" si="69"/>
        <v>1</v>
      </c>
      <c r="L263" s="53" t="b">
        <f t="shared" si="67"/>
        <v>1</v>
      </c>
      <c r="M263" s="53" t="b">
        <f t="shared" si="68"/>
        <v>1</v>
      </c>
      <c r="N263" s="53" t="str">
        <f t="shared" si="70"/>
        <v>Cambodia-NINGBO SEDUNO IMP &amp; EXP CO.LTD</v>
      </c>
      <c r="O263" s="68" t="str">
        <f t="shared" si="74"/>
        <v>Cambodia
ct</v>
      </c>
      <c r="P263" s="53" t="b">
        <f t="shared" si="71"/>
        <v>0</v>
      </c>
      <c r="Q263" s="53"/>
      <c r="R263" s="53" t="str">
        <f t="shared" si="72"/>
        <v>CT</v>
      </c>
      <c r="S263" s="53" t="str">
        <f t="shared" si="73"/>
        <v>ct</v>
      </c>
      <c r="T263" s="53">
        <f t="shared" si="59"/>
        <v>2</v>
      </c>
      <c r="U263" s="53" t="str">
        <f t="shared" si="60"/>
        <v>Cambodia</v>
      </c>
      <c r="V263" s="53" t="str">
        <f t="shared" si="61"/>
        <v>Napki</v>
      </c>
      <c r="W263" s="53" t="str">
        <f t="shared" si="62"/>
        <v>LTD</v>
      </c>
      <c r="X263" s="53" t="e">
        <f t="shared" si="63"/>
        <v>#VALUE!</v>
      </c>
      <c r="Y263" s="53"/>
      <c r="Z263" s="53"/>
      <c r="AA263" s="53"/>
    </row>
    <row r="264" spans="1:27" ht="30" x14ac:dyDescent="0.25">
      <c r="A264" s="79" t="s">
        <v>378</v>
      </c>
      <c r="B264" s="79" t="s">
        <v>3585</v>
      </c>
      <c r="C264" s="79" t="s">
        <v>3568</v>
      </c>
      <c r="D264" s="79" t="s">
        <v>1669</v>
      </c>
      <c r="E264" s="79" t="s">
        <v>1670</v>
      </c>
      <c r="F264" s="79" t="s">
        <v>13</v>
      </c>
      <c r="G264" s="79">
        <v>33</v>
      </c>
      <c r="H264" s="53">
        <f t="shared" si="64"/>
        <v>19</v>
      </c>
      <c r="I264" s="53">
        <f t="shared" si="65"/>
        <v>19</v>
      </c>
      <c r="J264" s="53">
        <f t="shared" si="66"/>
        <v>514.5</v>
      </c>
      <c r="K264" s="53">
        <f t="shared" si="69"/>
        <v>3</v>
      </c>
      <c r="L264" s="53" t="b">
        <f t="shared" si="67"/>
        <v>0</v>
      </c>
      <c r="M264" s="53" t="b">
        <f t="shared" si="68"/>
        <v>1</v>
      </c>
      <c r="N264" s="53" t="str">
        <f t="shared" si="70"/>
        <v>Lithuania-BIGSO AB</v>
      </c>
      <c r="O264" s="68" t="str">
        <f t="shared" si="74"/>
        <v>Lithuania
ct</v>
      </c>
      <c r="P264" s="53" t="b">
        <f t="shared" si="71"/>
        <v>0</v>
      </c>
      <c r="Q264" s="53"/>
      <c r="R264" s="53" t="str">
        <f t="shared" si="72"/>
        <v>CT</v>
      </c>
      <c r="S264" s="53" t="str">
        <f t="shared" si="73"/>
        <v>ct</v>
      </c>
      <c r="T264" s="53">
        <f t="shared" si="59"/>
        <v>2</v>
      </c>
      <c r="U264" s="53" t="str">
        <f t="shared" si="60"/>
        <v>Lithuania</v>
      </c>
      <c r="V264" s="53" t="str">
        <f t="shared" si="61"/>
        <v>POM 2</v>
      </c>
      <c r="W264" s="53" t="str">
        <f t="shared" si="62"/>
        <v xml:space="preserve"> AB</v>
      </c>
      <c r="X264" s="53" t="e">
        <f t="shared" si="63"/>
        <v>#VALUE!</v>
      </c>
      <c r="Y264" s="53"/>
      <c r="Z264" s="53"/>
      <c r="AA264" s="53"/>
    </row>
    <row r="265" spans="1:27" ht="30" x14ac:dyDescent="0.25">
      <c r="A265" s="79" t="s">
        <v>428</v>
      </c>
      <c r="B265" s="79" t="s">
        <v>3586</v>
      </c>
      <c r="C265" s="79" t="s">
        <v>3568</v>
      </c>
      <c r="D265" s="79" t="s">
        <v>1656</v>
      </c>
      <c r="E265" s="79" t="s">
        <v>1657</v>
      </c>
      <c r="F265" s="79" t="s">
        <v>13</v>
      </c>
      <c r="G265" s="79">
        <v>14</v>
      </c>
      <c r="H265" s="53">
        <f t="shared" si="64"/>
        <v>185</v>
      </c>
      <c r="I265" s="53">
        <f t="shared" si="65"/>
        <v>175</v>
      </c>
      <c r="J265" s="53">
        <f t="shared" si="66"/>
        <v>460</v>
      </c>
      <c r="K265" s="53">
        <f t="shared" si="69"/>
        <v>5</v>
      </c>
      <c r="L265" s="53" t="b">
        <f t="shared" si="67"/>
        <v>1</v>
      </c>
      <c r="M265" s="53" t="b">
        <f t="shared" si="68"/>
        <v>1</v>
      </c>
      <c r="N265" s="53" t="str">
        <f t="shared" si="70"/>
        <v>Netherlands-Bolsius Boxmeer</v>
      </c>
      <c r="O265" s="68" t="str">
        <f t="shared" si="74"/>
        <v>Netherlands
ct</v>
      </c>
      <c r="P265" s="53" t="b">
        <f t="shared" si="71"/>
        <v>0</v>
      </c>
      <c r="Q265" s="53"/>
      <c r="R265" s="53" t="str">
        <f t="shared" si="72"/>
        <v>CT</v>
      </c>
      <c r="S265" s="53" t="str">
        <f t="shared" si="73"/>
        <v>ct</v>
      </c>
      <c r="T265" s="53">
        <f t="shared" si="59"/>
        <v>2</v>
      </c>
      <c r="U265" s="53" t="str">
        <f t="shared" si="60"/>
        <v>Nothorlands</v>
      </c>
      <c r="V265" s="53" t="str">
        <f t="shared" si="61"/>
        <v>Stron</v>
      </c>
      <c r="W265" s="53" t="str">
        <f t="shared" si="62"/>
        <v>eer</v>
      </c>
      <c r="X265" s="53" t="e">
        <f t="shared" si="63"/>
        <v>#VALUE!</v>
      </c>
      <c r="Y265" s="53"/>
      <c r="Z265" s="53"/>
      <c r="AA265" s="53"/>
    </row>
    <row r="266" spans="1:27" ht="30" x14ac:dyDescent="0.25">
      <c r="A266" s="79" t="s">
        <v>3161</v>
      </c>
      <c r="B266" s="79" t="s">
        <v>3587</v>
      </c>
      <c r="C266" s="79" t="s">
        <v>3588</v>
      </c>
      <c r="D266" s="79" t="s">
        <v>1669</v>
      </c>
      <c r="E266" s="79" t="s">
        <v>1670</v>
      </c>
      <c r="F266" s="79" t="s">
        <v>1895</v>
      </c>
      <c r="G266" s="79">
        <v>14</v>
      </c>
      <c r="H266" s="53">
        <f t="shared" si="64"/>
        <v>185</v>
      </c>
      <c r="I266" s="53">
        <f t="shared" si="65"/>
        <v>175</v>
      </c>
      <c r="J266" s="53">
        <f t="shared" si="66"/>
        <v>514.5</v>
      </c>
      <c r="K266" s="53">
        <f t="shared" si="69"/>
        <v>2</v>
      </c>
      <c r="L266" s="53" t="b">
        <f t="shared" si="67"/>
        <v>1</v>
      </c>
      <c r="M266" s="53" t="b">
        <f t="shared" si="68"/>
        <v>1</v>
      </c>
      <c r="N266" s="53" t="str">
        <f t="shared" si="70"/>
        <v>Lithuania-BIGSO AB</v>
      </c>
      <c r="O266" s="68" t="str">
        <f t="shared" si="74"/>
        <v>Lithuania
Ct</v>
      </c>
      <c r="P266" s="53" t="b">
        <f t="shared" si="71"/>
        <v>0</v>
      </c>
      <c r="Q266" s="53"/>
      <c r="R266" s="53" t="str">
        <f t="shared" si="72"/>
        <v>CT</v>
      </c>
      <c r="S266" s="53" t="str">
        <f t="shared" si="73"/>
        <v>ct</v>
      </c>
      <c r="T266" s="53">
        <f t="shared" ref="T266:T267" si="75">SEARCH("0",A266)</f>
        <v>2</v>
      </c>
      <c r="U266" s="53" t="str">
        <f t="shared" ref="U266:U269" si="76">SUBSTITUTE(D266,"e","o")</f>
        <v>Lithuania</v>
      </c>
      <c r="V266" s="53" t="str">
        <f t="shared" ref="V266:V269" si="77">LEFT(B266,"5")</f>
        <v>Advil</v>
      </c>
      <c r="W266" s="53" t="str">
        <f t="shared" ref="W266:W269" si="78">RIGHT(E266,"3")</f>
        <v xml:space="preserve"> AB</v>
      </c>
      <c r="X266" s="53" t="e">
        <f t="shared" ref="X266:X269" si="79">FIND("a",F266)</f>
        <v>#VALUE!</v>
      </c>
      <c r="Y266" s="53"/>
      <c r="Z266" s="53"/>
      <c r="AA266" s="53"/>
    </row>
    <row r="267" spans="1:27" ht="30" x14ac:dyDescent="0.25">
      <c r="A267" s="79" t="s">
        <v>1798</v>
      </c>
      <c r="B267" s="79" t="s">
        <v>3589</v>
      </c>
      <c r="C267" s="79" t="s">
        <v>3588</v>
      </c>
      <c r="D267" s="79" t="s">
        <v>1671</v>
      </c>
      <c r="E267" s="79" t="s">
        <v>1672</v>
      </c>
      <c r="F267" s="79" t="s">
        <v>1895</v>
      </c>
      <c r="G267" s="79">
        <v>15</v>
      </c>
      <c r="H267" s="53">
        <f t="shared" si="64"/>
        <v>160.5</v>
      </c>
      <c r="I267" s="53">
        <f t="shared" si="65"/>
        <v>147</v>
      </c>
      <c r="J267" s="53">
        <f t="shared" si="66"/>
        <v>561.5</v>
      </c>
      <c r="K267" s="53">
        <f t="shared" si="69"/>
        <v>5</v>
      </c>
      <c r="L267" s="53" t="b">
        <f t="shared" si="67"/>
        <v>1</v>
      </c>
      <c r="M267" s="53" t="b">
        <f t="shared" si="68"/>
        <v>1</v>
      </c>
      <c r="N267" s="53" t="str">
        <f t="shared" si="70"/>
        <v>India-Indo Count Industries Ltd</v>
      </c>
      <c r="O267" s="68" t="str">
        <f t="shared" si="74"/>
        <v>India
Ct</v>
      </c>
      <c r="P267" s="53" t="b">
        <f t="shared" si="71"/>
        <v>0</v>
      </c>
      <c r="Q267" s="53"/>
      <c r="R267" s="53" t="str">
        <f t="shared" si="72"/>
        <v>CT</v>
      </c>
      <c r="S267" s="53" t="str">
        <f t="shared" si="73"/>
        <v>ct</v>
      </c>
      <c r="T267" s="53">
        <f t="shared" si="75"/>
        <v>2</v>
      </c>
      <c r="U267" s="53" t="str">
        <f t="shared" si="76"/>
        <v>India</v>
      </c>
      <c r="V267" s="53" t="str">
        <f t="shared" si="77"/>
        <v>Tylen</v>
      </c>
      <c r="W267" s="53" t="str">
        <f t="shared" si="78"/>
        <v>Ltd</v>
      </c>
      <c r="X267" s="53" t="e">
        <f t="shared" si="79"/>
        <v>#VALUE!</v>
      </c>
      <c r="Y267" s="53"/>
      <c r="Z267" s="53"/>
      <c r="AA267" s="53"/>
    </row>
    <row r="268" spans="1:27" x14ac:dyDescent="0.25">
      <c r="A268" s="53"/>
      <c r="B268" s="53"/>
      <c r="C268" s="53"/>
      <c r="D268" s="53"/>
      <c r="E268" s="53"/>
      <c r="F268" s="79" t="s">
        <v>2234</v>
      </c>
      <c r="G268" s="80">
        <f>SUM(G4:G267)</f>
        <v>4634.5</v>
      </c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 t="str">
        <f t="shared" si="72"/>
        <v>SUM</v>
      </c>
      <c r="S268" s="53" t="str">
        <f t="shared" si="73"/>
        <v>sum</v>
      </c>
      <c r="T268" s="53"/>
      <c r="U268" s="53" t="str">
        <f t="shared" si="76"/>
        <v/>
      </c>
      <c r="V268" s="53" t="str">
        <f t="shared" si="77"/>
        <v/>
      </c>
      <c r="W268" s="53" t="str">
        <f t="shared" si="78"/>
        <v/>
      </c>
      <c r="X268" s="53" t="e">
        <f t="shared" si="79"/>
        <v>#VALUE!</v>
      </c>
      <c r="Y268" s="53"/>
      <c r="Z268" s="53"/>
      <c r="AA268" s="53"/>
    </row>
    <row r="269" spans="1:27" x14ac:dyDescent="0.25">
      <c r="A269" s="53"/>
      <c r="B269" s="53"/>
      <c r="C269" s="53"/>
      <c r="D269" s="53"/>
      <c r="E269" s="53"/>
      <c r="F269" s="79" t="s">
        <v>2235</v>
      </c>
      <c r="G269" s="80">
        <f>AVERAGE(G4:G267)</f>
        <v>17.554924242424242</v>
      </c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 t="str">
        <f t="shared" si="72"/>
        <v>AVERAGE</v>
      </c>
      <c r="S269" s="53" t="str">
        <f t="shared" si="73"/>
        <v>average</v>
      </c>
      <c r="T269" s="53"/>
      <c r="U269" s="53" t="str">
        <f t="shared" si="76"/>
        <v/>
      </c>
      <c r="V269" s="53" t="str">
        <f t="shared" si="77"/>
        <v/>
      </c>
      <c r="W269" s="53" t="str">
        <f t="shared" si="78"/>
        <v/>
      </c>
      <c r="X269" s="53">
        <f t="shared" si="79"/>
        <v>5</v>
      </c>
      <c r="Y269" s="53"/>
      <c r="Z269" s="53"/>
      <c r="AA269" s="53"/>
    </row>
    <row r="270" spans="1:27" x14ac:dyDescent="0.25">
      <c r="A270" s="53"/>
      <c r="B270" s="53"/>
      <c r="C270" s="53"/>
      <c r="D270" s="53"/>
      <c r="E270" s="53"/>
      <c r="F270" s="79" t="s">
        <v>2236</v>
      </c>
      <c r="G270" s="80">
        <f>COUNT(G4:G267)</f>
        <v>264</v>
      </c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 t="str">
        <f t="shared" si="72"/>
        <v>COUNT</v>
      </c>
      <c r="S270" s="53" t="str">
        <f t="shared" si="73"/>
        <v>count</v>
      </c>
      <c r="T270" s="53"/>
      <c r="U270" s="53"/>
      <c r="V270" s="53"/>
      <c r="W270" s="53"/>
      <c r="X270" s="53"/>
      <c r="Y270" s="53"/>
      <c r="Z270" s="53"/>
      <c r="AA270" s="53"/>
    </row>
    <row r="273" spans="1:7" x14ac:dyDescent="0.25">
      <c r="A273" s="9" t="s">
        <v>3</v>
      </c>
      <c r="B273" s="9" t="s">
        <v>1788</v>
      </c>
      <c r="C273" s="9" t="s">
        <v>1789</v>
      </c>
      <c r="D273" s="9" t="s">
        <v>1790</v>
      </c>
      <c r="E273" s="9" t="s">
        <v>1791</v>
      </c>
      <c r="F273" s="9" t="s">
        <v>6</v>
      </c>
      <c r="G273" s="9" t="s">
        <v>7</v>
      </c>
    </row>
    <row r="274" spans="1:7" x14ac:dyDescent="0.25">
      <c r="A274" s="8" t="s">
        <v>1653</v>
      </c>
      <c r="B274" s="8" t="s">
        <v>1654</v>
      </c>
      <c r="C274" s="8" t="s">
        <v>1655</v>
      </c>
      <c r="D274" s="8" t="s">
        <v>1656</v>
      </c>
      <c r="E274" s="8" t="s">
        <v>1657</v>
      </c>
      <c r="F274" s="8" t="s">
        <v>35</v>
      </c>
      <c r="G274" s="8">
        <v>11.5</v>
      </c>
    </row>
    <row r="275" spans="1:7" x14ac:dyDescent="0.25">
      <c r="A275" s="8" t="s">
        <v>1563</v>
      </c>
      <c r="B275" s="8" t="s">
        <v>1664</v>
      </c>
      <c r="C275" s="8" t="s">
        <v>1655</v>
      </c>
      <c r="D275" s="8" t="s">
        <v>1656</v>
      </c>
      <c r="E275" s="8" t="s">
        <v>1657</v>
      </c>
      <c r="F275" s="8" t="s">
        <v>35</v>
      </c>
      <c r="G275" s="8">
        <v>6.75</v>
      </c>
    </row>
    <row r="276" spans="1:7" x14ac:dyDescent="0.25">
      <c r="A276" s="8" t="s">
        <v>252</v>
      </c>
      <c r="B276" s="8" t="s">
        <v>1668</v>
      </c>
      <c r="C276" s="8" t="s">
        <v>1655</v>
      </c>
      <c r="D276" s="8" t="s">
        <v>1671</v>
      </c>
      <c r="E276" s="8" t="s">
        <v>1672</v>
      </c>
      <c r="F276" s="8" t="s">
        <v>35</v>
      </c>
      <c r="G276" s="8">
        <v>6.75</v>
      </c>
    </row>
    <row r="277" spans="1:7" x14ac:dyDescent="0.25">
      <c r="A277" s="8" t="s">
        <v>397</v>
      </c>
      <c r="B277" s="8" t="s">
        <v>1673</v>
      </c>
      <c r="C277" s="8" t="s">
        <v>1655</v>
      </c>
      <c r="D277" s="8" t="s">
        <v>1671</v>
      </c>
      <c r="E277" s="8" t="s">
        <v>1672</v>
      </c>
      <c r="F277" s="8" t="s">
        <v>35</v>
      </c>
      <c r="G277" s="8">
        <v>16.25</v>
      </c>
    </row>
    <row r="278" spans="1:7" x14ac:dyDescent="0.25">
      <c r="A278" s="8" t="s">
        <v>836</v>
      </c>
      <c r="B278" s="8" t="s">
        <v>1674</v>
      </c>
      <c r="C278" s="8" t="s">
        <v>1655</v>
      </c>
      <c r="D278" s="8" t="s">
        <v>1656</v>
      </c>
      <c r="E278" s="8" t="s">
        <v>1657</v>
      </c>
      <c r="F278" s="8" t="s">
        <v>35</v>
      </c>
      <c r="G278" s="8">
        <v>16.25</v>
      </c>
    </row>
    <row r="279" spans="1:7" x14ac:dyDescent="0.25">
      <c r="A279" s="8" t="s">
        <v>389</v>
      </c>
      <c r="B279" s="8" t="s">
        <v>1674</v>
      </c>
      <c r="C279" s="8" t="s">
        <v>1655</v>
      </c>
      <c r="D279" s="8" t="s">
        <v>1669</v>
      </c>
      <c r="E279" s="8" t="s">
        <v>1670</v>
      </c>
      <c r="F279" s="8" t="s">
        <v>35</v>
      </c>
      <c r="G279" s="8">
        <v>6.75</v>
      </c>
    </row>
    <row r="281" spans="1:7" ht="18.75" x14ac:dyDescent="0.3">
      <c r="A281" s="30" t="s">
        <v>3590</v>
      </c>
    </row>
    <row r="283" spans="1:7" x14ac:dyDescent="0.25">
      <c r="A283" s="9" t="s">
        <v>3</v>
      </c>
      <c r="B283" s="9" t="s">
        <v>1788</v>
      </c>
      <c r="C283" s="9" t="s">
        <v>1789</v>
      </c>
      <c r="D283" s="9" t="s">
        <v>1790</v>
      </c>
      <c r="E283" s="9" t="s">
        <v>1791</v>
      </c>
      <c r="F283" s="9" t="s">
        <v>6</v>
      </c>
      <c r="G283" s="9" t="s">
        <v>7</v>
      </c>
    </row>
    <row r="284" spans="1:7" x14ac:dyDescent="0.25">
      <c r="A284" s="8" t="s">
        <v>252</v>
      </c>
      <c r="B284" s="31" t="str" cm="1">
        <f t="array" ref="B284:G284">_xlfn.XLOOKUP(A284,A274:A279,B274:G279)</f>
        <v>Coke Classic 12 oz cans</v>
      </c>
      <c r="C284" s="31" t="str">
        <v>a. Beverage - Soda</v>
      </c>
      <c r="D284" s="31" t="str">
        <v>India</v>
      </c>
      <c r="E284" s="31" t="str">
        <v>Indo Count Industries Ltd</v>
      </c>
      <c r="F284" s="31" t="str">
        <v>cans</v>
      </c>
      <c r="G284" s="31">
        <v>6.75</v>
      </c>
    </row>
    <row r="286" spans="1:7" ht="18.75" x14ac:dyDescent="0.3">
      <c r="A286" s="32" t="s">
        <v>3591</v>
      </c>
    </row>
    <row r="288" spans="1:7" x14ac:dyDescent="0.25">
      <c r="A288" s="9" t="s">
        <v>3</v>
      </c>
      <c r="B288" s="9" t="s">
        <v>1788</v>
      </c>
      <c r="C288" s="9" t="s">
        <v>1789</v>
      </c>
      <c r="D288" s="9" t="s">
        <v>1790</v>
      </c>
      <c r="E288" s="9" t="s">
        <v>1791</v>
      </c>
      <c r="F288" s="9" t="s">
        <v>6</v>
      </c>
      <c r="G288" s="9" t="s">
        <v>7</v>
      </c>
    </row>
    <row r="289" spans="1:7" x14ac:dyDescent="0.25">
      <c r="A289" s="8" t="s">
        <v>836</v>
      </c>
      <c r="B289" s="13" t="str">
        <f>VLOOKUP(A289,A274:G279,2,FALSE)</f>
        <v>Diet Coke - 12 oz cans</v>
      </c>
      <c r="C289" s="13" t="str">
        <f t="shared" ref="C289:G289" si="80">VLOOKUP(B289,B274:H279,2,FALSE)</f>
        <v>a. Beverage - Soda</v>
      </c>
      <c r="D289" s="13" t="str">
        <f t="shared" si="80"/>
        <v>Netherlands</v>
      </c>
      <c r="E289" s="13" t="str">
        <f t="shared" si="80"/>
        <v>Bolsius Boxmeer</v>
      </c>
      <c r="F289" s="13" t="str">
        <f t="shared" si="80"/>
        <v>cans</v>
      </c>
      <c r="G289" s="13">
        <f t="shared" si="80"/>
        <v>11.5</v>
      </c>
    </row>
    <row r="291" spans="1:7" ht="18.75" x14ac:dyDescent="0.3">
      <c r="A291" s="32" t="s">
        <v>3592</v>
      </c>
    </row>
    <row r="293" spans="1:7" x14ac:dyDescent="0.25">
      <c r="A293" s="9" t="s">
        <v>3</v>
      </c>
      <c r="B293" s="9" t="s">
        <v>1788</v>
      </c>
      <c r="C293" s="9" t="s">
        <v>1789</v>
      </c>
      <c r="D293" s="9" t="s">
        <v>1790</v>
      </c>
      <c r="E293" s="9" t="s">
        <v>1791</v>
      </c>
      <c r="F293" s="9" t="s">
        <v>6</v>
      </c>
      <c r="G293" s="9" t="s">
        <v>7</v>
      </c>
    </row>
    <row r="294" spans="1:7" x14ac:dyDescent="0.25">
      <c r="A294" s="64" t="str">
        <f>HLOOKUP(A293,A273:G279,5,FALSE)</f>
        <v>I00008</v>
      </c>
      <c r="B294" s="64" t="str">
        <f t="shared" ref="B294:G294" si="81">HLOOKUP(B293,B273:H279,5,FALSE)</f>
        <v>Coke Zero Sugar 12 oz cans</v>
      </c>
      <c r="C294" s="64" t="str">
        <f t="shared" si="81"/>
        <v>a. Beverage - Soda</v>
      </c>
      <c r="D294" s="64" t="str">
        <f t="shared" si="81"/>
        <v>India</v>
      </c>
      <c r="E294" s="64" t="str">
        <f t="shared" si="81"/>
        <v>Indo Count Industries Ltd</v>
      </c>
      <c r="F294" s="64" t="str">
        <f t="shared" si="81"/>
        <v>cans</v>
      </c>
      <c r="G294" s="64">
        <f t="shared" si="81"/>
        <v>16.25</v>
      </c>
    </row>
  </sheetData>
  <sortState xmlns:xlrd2="http://schemas.microsoft.com/office/spreadsheetml/2017/richdata2" ref="AA4:AA37">
    <sortCondition ref="AA4:AA37"/>
  </sortState>
  <mergeCells count="2">
    <mergeCell ref="L2:M2"/>
    <mergeCell ref="N2: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6AA9-3066-4DE6-8C9A-300BE1179D52}">
  <sheetPr filterMode="1"/>
  <dimension ref="A1:AO177"/>
  <sheetViews>
    <sheetView topLeftCell="A159" workbookViewId="0">
      <selection activeCell="K179" sqref="K179"/>
    </sheetView>
  </sheetViews>
  <sheetFormatPr defaultRowHeight="15" x14ac:dyDescent="0.25"/>
  <cols>
    <col min="1" max="1" width="13.140625" bestFit="1" customWidth="1"/>
    <col min="2" max="2" width="14.7109375" bestFit="1" customWidth="1"/>
    <col min="3" max="4" width="9.28515625" bestFit="1" customWidth="1"/>
    <col min="5" max="5" width="9.7109375" bestFit="1" customWidth="1"/>
    <col min="6" max="6" width="8.42578125" bestFit="1" customWidth="1"/>
    <col min="7" max="7" width="7.42578125" bestFit="1" customWidth="1"/>
    <col min="8" max="8" width="10" bestFit="1" customWidth="1"/>
    <col min="9" max="9" width="12" bestFit="1" customWidth="1"/>
    <col min="10" max="10" width="12.42578125" bestFit="1" customWidth="1"/>
    <col min="11" max="11" width="8.140625" bestFit="1" customWidth="1"/>
    <col min="12" max="12" width="13.140625" bestFit="1" customWidth="1"/>
    <col min="13" max="13" width="14.7109375" bestFit="1" customWidth="1"/>
    <col min="14" max="14" width="11.42578125" bestFit="1" customWidth="1"/>
    <col min="15" max="15" width="10" bestFit="1" customWidth="1"/>
    <col min="16" max="16" width="10.42578125" bestFit="1" customWidth="1"/>
    <col min="17" max="17" width="8.42578125" bestFit="1" customWidth="1"/>
    <col min="18" max="18" width="6.140625" bestFit="1" customWidth="1"/>
    <col min="19" max="19" width="10" bestFit="1" customWidth="1"/>
    <col min="20" max="20" width="9.42578125" bestFit="1" customWidth="1"/>
    <col min="21" max="21" width="7.42578125" bestFit="1" customWidth="1"/>
    <col min="22" max="22" width="8.42578125" bestFit="1" customWidth="1"/>
    <col min="23" max="23" width="10.85546875" customWidth="1"/>
    <col min="24" max="24" width="10.140625" bestFit="1" customWidth="1"/>
    <col min="25" max="25" width="10.140625" customWidth="1"/>
    <col min="26" max="26" width="5.5703125" bestFit="1" customWidth="1"/>
    <col min="27" max="27" width="9.28515625" customWidth="1"/>
    <col min="28" max="28" width="7.140625" customWidth="1"/>
    <col min="29" max="29" width="17.28515625" bestFit="1" customWidth="1"/>
    <col min="30" max="30" width="5.140625" style="41" bestFit="1" customWidth="1"/>
    <col min="31" max="31" width="9.140625" style="41"/>
    <col min="32" max="32" width="13.140625" bestFit="1" customWidth="1"/>
    <col min="33" max="33" width="14.7109375" bestFit="1" customWidth="1"/>
    <col min="34" max="35" width="9.28515625" bestFit="1" customWidth="1"/>
    <col min="36" max="36" width="9.7109375" bestFit="1" customWidth="1"/>
    <col min="37" max="37" width="8.42578125" bestFit="1" customWidth="1"/>
    <col min="38" max="38" width="7.28515625" bestFit="1" customWidth="1"/>
    <col min="39" max="39" width="10" bestFit="1" customWidth="1"/>
    <col min="41" max="41" width="4.5703125" bestFit="1" customWidth="1"/>
  </cols>
  <sheetData>
    <row r="1" spans="1:41" x14ac:dyDescent="0.25">
      <c r="N1" s="46" t="s">
        <v>1792</v>
      </c>
      <c r="O1" s="46"/>
      <c r="P1" s="75" t="s">
        <v>3594</v>
      </c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D1"/>
      <c r="AE1"/>
      <c r="AF1" s="47" t="s">
        <v>54</v>
      </c>
      <c r="AG1" s="47"/>
      <c r="AH1" s="47"/>
      <c r="AI1" s="47"/>
      <c r="AJ1" s="47"/>
      <c r="AK1" s="47"/>
      <c r="AL1" s="47"/>
      <c r="AM1" s="47"/>
      <c r="AN1" s="47"/>
      <c r="AO1" s="47"/>
    </row>
    <row r="2" spans="1:41" x14ac:dyDescent="0.25">
      <c r="A2" s="33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3" t="s">
        <v>7</v>
      </c>
      <c r="I2" s="11" t="s">
        <v>2233</v>
      </c>
      <c r="J2" s="5" t="s">
        <v>38</v>
      </c>
      <c r="K2" s="5" t="s">
        <v>39</v>
      </c>
      <c r="L2" s="5" t="s">
        <v>36</v>
      </c>
      <c r="M2" s="5" t="s">
        <v>37</v>
      </c>
      <c r="N2" s="5" t="s">
        <v>1652</v>
      </c>
      <c r="O2" s="5" t="s">
        <v>1651</v>
      </c>
      <c r="P2" s="5" t="s">
        <v>41</v>
      </c>
      <c r="Q2" s="5" t="s">
        <v>52</v>
      </c>
      <c r="R2" s="5" t="s">
        <v>40</v>
      </c>
      <c r="S2" s="5" t="s">
        <v>45</v>
      </c>
      <c r="T2" s="5" t="s">
        <v>46</v>
      </c>
      <c r="U2" s="5" t="s">
        <v>47</v>
      </c>
      <c r="V2" s="5" t="s">
        <v>49</v>
      </c>
      <c r="W2" s="5" t="s">
        <v>51</v>
      </c>
      <c r="X2" s="5" t="s">
        <v>50</v>
      </c>
      <c r="Y2" s="5" t="s">
        <v>43</v>
      </c>
      <c r="Z2" s="5" t="s">
        <v>44</v>
      </c>
      <c r="AA2" s="5" t="s">
        <v>42</v>
      </c>
      <c r="AB2" s="5" t="s">
        <v>48</v>
      </c>
      <c r="AC2" s="5" t="s">
        <v>81</v>
      </c>
      <c r="AD2" s="27" t="s">
        <v>53</v>
      </c>
      <c r="AF2" s="36" t="s">
        <v>0</v>
      </c>
      <c r="AG2" s="33" t="s">
        <v>1</v>
      </c>
      <c r="AH2" s="33" t="s">
        <v>2</v>
      </c>
      <c r="AI2" s="33" t="s">
        <v>3</v>
      </c>
      <c r="AJ2" s="33" t="s">
        <v>4</v>
      </c>
      <c r="AK2" s="33" t="s">
        <v>5</v>
      </c>
      <c r="AL2" s="33" t="s">
        <v>6</v>
      </c>
      <c r="AM2" s="33" t="s">
        <v>7</v>
      </c>
      <c r="AO2" s="33" t="s">
        <v>6</v>
      </c>
    </row>
    <row r="3" spans="1:41" ht="30" hidden="1" x14ac:dyDescent="0.25">
      <c r="A3" s="34" t="s">
        <v>523</v>
      </c>
      <c r="B3" s="34" t="s">
        <v>1886</v>
      </c>
      <c r="C3" s="34" t="s">
        <v>1887</v>
      </c>
      <c r="D3" s="34" t="s">
        <v>28</v>
      </c>
      <c r="E3" s="34" t="s">
        <v>1806</v>
      </c>
      <c r="F3" s="34">
        <v>7</v>
      </c>
      <c r="G3" s="34" t="s">
        <v>13</v>
      </c>
      <c r="H3" s="34">
        <v>14</v>
      </c>
      <c r="I3" s="12">
        <f>H3*F3</f>
        <v>98</v>
      </c>
      <c r="J3" s="12">
        <f>_xlfn.RANK.AVG(I3,$I$3:$I$160)</f>
        <v>72</v>
      </c>
      <c r="K3" s="12">
        <f>_xlfn.RANK.EQ(I3,I3:I160)</f>
        <v>72</v>
      </c>
      <c r="L3" s="12">
        <f t="shared" ref="L3:L34" si="0">SUMIF(G$3:G$166,G3,H$3:H$166)</f>
        <v>1195.5</v>
      </c>
      <c r="M3" s="12">
        <f>COUNTIF(G$3:G$160,G3)</f>
        <v>60</v>
      </c>
      <c r="N3" s="12"/>
      <c r="O3" s="12"/>
      <c r="P3" s="12" t="str">
        <f>_xlfn.CONCAT(G3," -",F3)</f>
        <v>ct -7</v>
      </c>
      <c r="Q3" s="17" t="str">
        <f>_xlfn.CONCAT(E3,CHAR(10),A3)</f>
        <v>S00475
P005</v>
      </c>
      <c r="R3" s="12" t="b">
        <f>EXACT(B3,C3)</f>
        <v>0</v>
      </c>
      <c r="S3" s="12" t="str">
        <f>MID(C3,3,3)</f>
        <v>210</v>
      </c>
      <c r="T3" s="12" t="str">
        <f>UPPER(G3)</f>
        <v>CT</v>
      </c>
      <c r="U3" s="12" t="str">
        <f>LOWER(G3)</f>
        <v>ct</v>
      </c>
      <c r="V3" s="12"/>
      <c r="W3" s="12"/>
      <c r="X3" s="12"/>
      <c r="Y3" s="12"/>
      <c r="Z3" s="12"/>
      <c r="AA3" s="12"/>
      <c r="AB3" s="12"/>
      <c r="AC3" s="34" t="s">
        <v>13</v>
      </c>
      <c r="AD3" s="34" t="s">
        <v>523</v>
      </c>
      <c r="AE3" s="39"/>
      <c r="AF3" s="34" t="s">
        <v>523</v>
      </c>
      <c r="AG3" s="34" t="s">
        <v>1886</v>
      </c>
      <c r="AH3" s="34" t="s">
        <v>1887</v>
      </c>
      <c r="AI3" s="34" t="s">
        <v>28</v>
      </c>
      <c r="AJ3" s="34" t="s">
        <v>1806</v>
      </c>
      <c r="AK3" s="34">
        <v>7</v>
      </c>
      <c r="AL3" s="34" t="s">
        <v>13</v>
      </c>
      <c r="AM3" s="34">
        <v>14</v>
      </c>
      <c r="AO3" s="34" t="s">
        <v>167</v>
      </c>
    </row>
    <row r="4" spans="1:41" ht="30" hidden="1" x14ac:dyDescent="0.25">
      <c r="A4" s="34" t="s">
        <v>187</v>
      </c>
      <c r="B4" s="34" t="s">
        <v>1888</v>
      </c>
      <c r="C4" s="34" t="s">
        <v>1889</v>
      </c>
      <c r="D4" s="34" t="s">
        <v>1876</v>
      </c>
      <c r="E4" s="34" t="s">
        <v>435</v>
      </c>
      <c r="F4" s="34">
        <v>2</v>
      </c>
      <c r="G4" s="34" t="s">
        <v>13</v>
      </c>
      <c r="H4" s="34">
        <v>42</v>
      </c>
      <c r="I4" s="12">
        <f t="shared" ref="I4:I67" si="1">H4*F4</f>
        <v>84</v>
      </c>
      <c r="J4" s="12">
        <f t="shared" ref="J4:J67" si="2">_xlfn.RANK.AVG(I4,$I$3:$I$160)</f>
        <v>80.5</v>
      </c>
      <c r="K4" s="12">
        <f t="shared" ref="K4:K67" si="3">_xlfn.RANK.EQ(I4,I4:I161)</f>
        <v>80</v>
      </c>
      <c r="L4" s="12">
        <f t="shared" si="0"/>
        <v>1195.5</v>
      </c>
      <c r="M4" s="12">
        <f t="shared" ref="M4:M67" si="4">COUNTIF(G$3:G$160,G4)</f>
        <v>60</v>
      </c>
      <c r="N4" s="12"/>
      <c r="O4" s="12"/>
      <c r="P4" s="12" t="str">
        <f>_xlfn.CONCAT(G4," -",F4)</f>
        <v>ct -2</v>
      </c>
      <c r="Q4" s="17" t="str">
        <f t="shared" ref="Q4:Q67" si="5">_xlfn.CONCAT(E4,CHAR(10),A4)</f>
        <v>S00680
P029</v>
      </c>
      <c r="R4" s="12" t="b">
        <f t="shared" ref="R4:R67" si="6">EXACT(B4,C4)</f>
        <v>0</v>
      </c>
      <c r="S4" s="12" t="str">
        <f t="shared" ref="S4:S67" si="7">MID(C4,3,3)</f>
        <v>907</v>
      </c>
      <c r="T4" s="12" t="str">
        <f t="shared" ref="T4:T67" si="8">UPPER(G4)</f>
        <v>CT</v>
      </c>
      <c r="U4" s="12" t="str">
        <f t="shared" ref="U4:U67" si="9">LOWER(G4)</f>
        <v>ct</v>
      </c>
      <c r="V4" s="12"/>
      <c r="W4" s="12"/>
      <c r="X4" s="12"/>
      <c r="Y4" s="12"/>
      <c r="Z4" s="12"/>
      <c r="AA4" s="12"/>
      <c r="AB4" s="12"/>
      <c r="AC4" s="34" t="s">
        <v>407</v>
      </c>
      <c r="AD4" s="34" t="s">
        <v>121</v>
      </c>
      <c r="AE4" s="12"/>
      <c r="AF4" s="34" t="s">
        <v>187</v>
      </c>
      <c r="AG4" s="34" t="s">
        <v>1888</v>
      </c>
      <c r="AH4" s="34" t="s">
        <v>1889</v>
      </c>
      <c r="AI4" s="34" t="s">
        <v>1876</v>
      </c>
      <c r="AJ4" s="34" t="s">
        <v>435</v>
      </c>
      <c r="AK4" s="34">
        <v>2</v>
      </c>
      <c r="AL4" s="34" t="s">
        <v>13</v>
      </c>
      <c r="AM4" s="34">
        <v>42</v>
      </c>
    </row>
    <row r="5" spans="1:41" ht="30" hidden="1" x14ac:dyDescent="0.25">
      <c r="A5" s="34" t="s">
        <v>283</v>
      </c>
      <c r="B5" s="34" t="s">
        <v>1809</v>
      </c>
      <c r="C5" s="34" t="s">
        <v>1890</v>
      </c>
      <c r="D5" s="34" t="s">
        <v>414</v>
      </c>
      <c r="E5" s="34" t="s">
        <v>1269</v>
      </c>
      <c r="F5" s="34">
        <v>10</v>
      </c>
      <c r="G5" s="34" t="s">
        <v>407</v>
      </c>
      <c r="H5" s="34">
        <v>15</v>
      </c>
      <c r="I5" s="12">
        <f t="shared" si="1"/>
        <v>150</v>
      </c>
      <c r="J5" s="12">
        <f t="shared" si="2"/>
        <v>34</v>
      </c>
      <c r="K5" s="12">
        <f t="shared" si="3"/>
        <v>33</v>
      </c>
      <c r="L5" s="12">
        <f t="shared" si="0"/>
        <v>85</v>
      </c>
      <c r="M5" s="12">
        <f t="shared" si="4"/>
        <v>5</v>
      </c>
      <c r="N5" s="12"/>
      <c r="O5" s="12"/>
      <c r="P5" s="12" t="str">
        <f t="shared" ref="P5:P67" si="10">_xlfn.CONCAT(G5," -",F5)</f>
        <v>pk -10</v>
      </c>
      <c r="Q5" s="17" t="str">
        <f t="shared" si="5"/>
        <v>S00441
P039</v>
      </c>
      <c r="R5" s="12" t="b">
        <f t="shared" si="6"/>
        <v>0</v>
      </c>
      <c r="S5" s="12" t="str">
        <f t="shared" si="7"/>
        <v>349</v>
      </c>
      <c r="T5" s="12" t="str">
        <f t="shared" si="8"/>
        <v>PK</v>
      </c>
      <c r="U5" s="12" t="str">
        <f t="shared" si="9"/>
        <v>pk</v>
      </c>
      <c r="V5" s="12"/>
      <c r="W5" s="12"/>
      <c r="X5" s="12"/>
      <c r="Y5" s="12"/>
      <c r="Z5" s="12"/>
      <c r="AA5" s="12"/>
      <c r="AB5" s="12"/>
      <c r="AC5" s="34" t="s">
        <v>60</v>
      </c>
      <c r="AD5" s="34" t="s">
        <v>121</v>
      </c>
      <c r="AE5" s="12"/>
      <c r="AF5" s="34" t="s">
        <v>283</v>
      </c>
      <c r="AG5" s="34" t="s">
        <v>1809</v>
      </c>
      <c r="AH5" s="34" t="s">
        <v>1890</v>
      </c>
      <c r="AI5" s="34" t="s">
        <v>414</v>
      </c>
      <c r="AJ5" s="34" t="s">
        <v>1269</v>
      </c>
      <c r="AK5" s="34">
        <v>10</v>
      </c>
      <c r="AL5" s="34" t="s">
        <v>407</v>
      </c>
      <c r="AM5" s="34">
        <v>15</v>
      </c>
    </row>
    <row r="6" spans="1:41" ht="30" hidden="1" x14ac:dyDescent="0.25">
      <c r="A6" s="34" t="s">
        <v>121</v>
      </c>
      <c r="B6" s="34" t="s">
        <v>1891</v>
      </c>
      <c r="C6" s="34" t="s">
        <v>1892</v>
      </c>
      <c r="D6" s="34" t="s">
        <v>28</v>
      </c>
      <c r="E6" s="34" t="s">
        <v>161</v>
      </c>
      <c r="F6" s="34">
        <v>9</v>
      </c>
      <c r="G6" s="34" t="s">
        <v>13</v>
      </c>
      <c r="H6" s="34">
        <v>14</v>
      </c>
      <c r="I6" s="12">
        <f t="shared" si="1"/>
        <v>126</v>
      </c>
      <c r="J6" s="12">
        <f t="shared" si="2"/>
        <v>53.5</v>
      </c>
      <c r="K6" s="12">
        <f t="shared" si="3"/>
        <v>54</v>
      </c>
      <c r="L6" s="12">
        <f t="shared" si="0"/>
        <v>1195.5</v>
      </c>
      <c r="M6" s="12">
        <f t="shared" si="4"/>
        <v>60</v>
      </c>
      <c r="N6" s="12"/>
      <c r="O6" s="12"/>
      <c r="P6" s="12" t="str">
        <f t="shared" si="10"/>
        <v>ct -9</v>
      </c>
      <c r="Q6" s="17" t="str">
        <f t="shared" si="5"/>
        <v>S00142
P001</v>
      </c>
      <c r="R6" s="12" t="b">
        <f t="shared" si="6"/>
        <v>0</v>
      </c>
      <c r="S6" s="12" t="str">
        <f t="shared" si="7"/>
        <v>634</v>
      </c>
      <c r="T6" s="12" t="str">
        <f t="shared" si="8"/>
        <v>CT</v>
      </c>
      <c r="U6" s="12" t="str">
        <f t="shared" si="9"/>
        <v>ct</v>
      </c>
      <c r="V6" s="12"/>
      <c r="W6" s="12"/>
      <c r="X6" s="12"/>
      <c r="Y6" s="12"/>
      <c r="Z6" s="12"/>
      <c r="AA6" s="12"/>
      <c r="AB6" s="12"/>
      <c r="AC6" s="34" t="s">
        <v>167</v>
      </c>
      <c r="AD6" s="34" t="s">
        <v>121</v>
      </c>
      <c r="AE6" s="12"/>
      <c r="AF6" s="34" t="s">
        <v>121</v>
      </c>
      <c r="AG6" s="34" t="s">
        <v>1891</v>
      </c>
      <c r="AH6" s="34" t="s">
        <v>1892</v>
      </c>
      <c r="AI6" s="34" t="s">
        <v>28</v>
      </c>
      <c r="AJ6" s="34" t="s">
        <v>161</v>
      </c>
      <c r="AK6" s="34">
        <v>9</v>
      </c>
      <c r="AL6" s="34" t="s">
        <v>13</v>
      </c>
      <c r="AM6" s="34">
        <v>14</v>
      </c>
    </row>
    <row r="7" spans="1:41" ht="30" hidden="1" x14ac:dyDescent="0.25">
      <c r="A7" s="34" t="s">
        <v>82</v>
      </c>
      <c r="B7" s="34" t="s">
        <v>1893</v>
      </c>
      <c r="C7" s="34" t="s">
        <v>1894</v>
      </c>
      <c r="D7" s="34" t="s">
        <v>1798</v>
      </c>
      <c r="E7" s="34" t="s">
        <v>542</v>
      </c>
      <c r="F7" s="34">
        <v>4</v>
      </c>
      <c r="G7" s="34" t="s">
        <v>1895</v>
      </c>
      <c r="H7" s="34">
        <v>15</v>
      </c>
      <c r="I7" s="12">
        <f t="shared" si="1"/>
        <v>60</v>
      </c>
      <c r="J7" s="12">
        <f t="shared" si="2"/>
        <v>105.5</v>
      </c>
      <c r="K7" s="12">
        <f t="shared" si="3"/>
        <v>102</v>
      </c>
      <c r="L7" s="12">
        <f t="shared" si="0"/>
        <v>1195.5</v>
      </c>
      <c r="M7" s="12">
        <f t="shared" si="4"/>
        <v>60</v>
      </c>
      <c r="N7" s="12"/>
      <c r="O7" s="12"/>
      <c r="P7" s="12" t="str">
        <f t="shared" si="10"/>
        <v>Ct -4</v>
      </c>
      <c r="Q7" s="17" t="str">
        <f t="shared" si="5"/>
        <v>S00551
P018</v>
      </c>
      <c r="R7" s="12" t="b">
        <f t="shared" si="6"/>
        <v>0</v>
      </c>
      <c r="S7" s="12" t="str">
        <f t="shared" si="7"/>
        <v>383</v>
      </c>
      <c r="T7" s="12" t="str">
        <f t="shared" si="8"/>
        <v>CT</v>
      </c>
      <c r="U7" s="12" t="str">
        <f t="shared" si="9"/>
        <v>ct</v>
      </c>
      <c r="V7" s="12"/>
      <c r="W7" s="12"/>
      <c r="X7" s="12"/>
      <c r="Y7" s="12"/>
      <c r="Z7" s="12"/>
      <c r="AA7" s="12"/>
      <c r="AB7" s="12"/>
      <c r="AC7" s="34" t="s">
        <v>35</v>
      </c>
      <c r="AD7" s="34" t="s">
        <v>359</v>
      </c>
      <c r="AE7" s="12"/>
      <c r="AF7" s="34" t="s">
        <v>82</v>
      </c>
      <c r="AG7" s="34" t="s">
        <v>1893</v>
      </c>
      <c r="AH7" s="34" t="s">
        <v>1894</v>
      </c>
      <c r="AI7" s="34" t="s">
        <v>1798</v>
      </c>
      <c r="AJ7" s="34" t="s">
        <v>542</v>
      </c>
      <c r="AK7" s="34">
        <v>4</v>
      </c>
      <c r="AL7" s="34" t="s">
        <v>1895</v>
      </c>
      <c r="AM7" s="34">
        <v>15</v>
      </c>
    </row>
    <row r="8" spans="1:41" ht="30" hidden="1" x14ac:dyDescent="0.25">
      <c r="A8" s="34" t="s">
        <v>162</v>
      </c>
      <c r="B8" s="34" t="s">
        <v>1864</v>
      </c>
      <c r="C8" s="34" t="s">
        <v>1896</v>
      </c>
      <c r="D8" s="34" t="s">
        <v>895</v>
      </c>
      <c r="E8" s="34" t="s">
        <v>1523</v>
      </c>
      <c r="F8" s="34">
        <v>10</v>
      </c>
      <c r="G8" s="34" t="s">
        <v>60</v>
      </c>
      <c r="H8" s="34">
        <v>9</v>
      </c>
      <c r="I8" s="12">
        <f t="shared" si="1"/>
        <v>90</v>
      </c>
      <c r="J8" s="12">
        <f t="shared" si="2"/>
        <v>77.5</v>
      </c>
      <c r="K8" s="12">
        <f t="shared" si="3"/>
        <v>77</v>
      </c>
      <c r="L8" s="12">
        <f t="shared" si="0"/>
        <v>333.5</v>
      </c>
      <c r="M8" s="12">
        <f t="shared" si="4"/>
        <v>18</v>
      </c>
      <c r="N8" s="12"/>
      <c r="O8" s="12"/>
      <c r="P8" s="12" t="str">
        <f t="shared" si="10"/>
        <v>bottles -10</v>
      </c>
      <c r="Q8" s="17" t="str">
        <f t="shared" si="5"/>
        <v>S00331
P012</v>
      </c>
      <c r="R8" s="12" t="b">
        <f t="shared" si="6"/>
        <v>0</v>
      </c>
      <c r="S8" s="12" t="str">
        <f t="shared" si="7"/>
        <v>737</v>
      </c>
      <c r="T8" s="12" t="str">
        <f t="shared" si="8"/>
        <v>BOTTLES</v>
      </c>
      <c r="U8" s="12" t="str">
        <f t="shared" si="9"/>
        <v>bottles</v>
      </c>
      <c r="V8" s="12"/>
      <c r="W8" s="12"/>
      <c r="X8" s="12"/>
      <c r="Y8" s="12"/>
      <c r="Z8" s="12"/>
      <c r="AA8" s="12"/>
      <c r="AB8" s="12"/>
      <c r="AC8" s="34" t="s">
        <v>106</v>
      </c>
      <c r="AD8" s="34" t="s">
        <v>523</v>
      </c>
      <c r="AE8" s="38"/>
      <c r="AF8" s="34" t="s">
        <v>162</v>
      </c>
      <c r="AG8" s="34" t="s">
        <v>1864</v>
      </c>
      <c r="AH8" s="34" t="s">
        <v>1896</v>
      </c>
      <c r="AI8" s="34" t="s">
        <v>895</v>
      </c>
      <c r="AJ8" s="34" t="s">
        <v>1523</v>
      </c>
      <c r="AK8" s="34">
        <v>10</v>
      </c>
      <c r="AL8" s="34" t="s">
        <v>60</v>
      </c>
      <c r="AM8" s="34">
        <v>9</v>
      </c>
    </row>
    <row r="9" spans="1:41" ht="30" x14ac:dyDescent="0.25">
      <c r="A9" s="34" t="s">
        <v>116</v>
      </c>
      <c r="B9" s="34" t="s">
        <v>1897</v>
      </c>
      <c r="C9" s="34" t="s">
        <v>1898</v>
      </c>
      <c r="D9" s="34" t="s">
        <v>465</v>
      </c>
      <c r="E9" s="34" t="s">
        <v>1899</v>
      </c>
      <c r="F9" s="34">
        <v>6</v>
      </c>
      <c r="G9" s="34" t="s">
        <v>167</v>
      </c>
      <c r="H9" s="34">
        <v>20</v>
      </c>
      <c r="I9" s="12">
        <f t="shared" si="1"/>
        <v>120</v>
      </c>
      <c r="J9" s="12">
        <f t="shared" si="2"/>
        <v>60</v>
      </c>
      <c r="K9" s="12">
        <f t="shared" si="3"/>
        <v>56</v>
      </c>
      <c r="L9" s="12">
        <f t="shared" si="0"/>
        <v>195.5</v>
      </c>
      <c r="M9" s="12">
        <f t="shared" si="4"/>
        <v>12</v>
      </c>
      <c r="N9" s="12" t="b">
        <f>AND(K9&lt;50,J9&gt;10)</f>
        <v>0</v>
      </c>
      <c r="O9" s="12" t="b">
        <f>OR(K9&lt;50,J9&gt;10)</f>
        <v>1</v>
      </c>
      <c r="P9" s="12" t="str">
        <f t="shared" si="10"/>
        <v>oz -6</v>
      </c>
      <c r="Q9" s="17" t="str">
        <f t="shared" si="5"/>
        <v>S0058
P013</v>
      </c>
      <c r="R9" s="12" t="b">
        <f t="shared" si="6"/>
        <v>0</v>
      </c>
      <c r="S9" s="12" t="str">
        <f t="shared" si="7"/>
        <v>497</v>
      </c>
      <c r="T9" s="12" t="str">
        <f t="shared" si="8"/>
        <v>OZ</v>
      </c>
      <c r="U9" s="12" t="str">
        <f t="shared" si="9"/>
        <v>oz</v>
      </c>
      <c r="V9" s="12">
        <f>SEARCH("S",E9)</f>
        <v>1</v>
      </c>
      <c r="W9" s="12" t="str">
        <f>_xlfn.TEXTJOIN(" ",FALSE,M27,D9)</f>
        <v>60 I00107</v>
      </c>
      <c r="X9" s="12" t="str">
        <f>SUBSTITUTE(O9,"E","I")</f>
        <v>TRUI</v>
      </c>
      <c r="Y9" s="12" t="str">
        <f>LEFT(L9)</f>
        <v>1</v>
      </c>
      <c r="Z9" s="12" t="str">
        <f>RIGHT(L9)</f>
        <v>5</v>
      </c>
      <c r="AA9" s="12">
        <f>FIND("0",B9)</f>
        <v>2</v>
      </c>
      <c r="AB9" s="12">
        <f>LEN(W9)</f>
        <v>9</v>
      </c>
      <c r="AC9" s="34" t="s">
        <v>167</v>
      </c>
      <c r="AD9" s="35" t="s">
        <v>743</v>
      </c>
      <c r="AF9" s="37" t="s">
        <v>116</v>
      </c>
      <c r="AG9" s="34" t="s">
        <v>1897</v>
      </c>
      <c r="AH9" s="34" t="s">
        <v>1898</v>
      </c>
      <c r="AI9" s="34" t="s">
        <v>465</v>
      </c>
      <c r="AJ9" s="34" t="s">
        <v>1899</v>
      </c>
      <c r="AK9" s="34">
        <v>6</v>
      </c>
      <c r="AL9" s="34" t="s">
        <v>167</v>
      </c>
      <c r="AM9" s="34">
        <v>20</v>
      </c>
      <c r="AO9" s="34" t="s">
        <v>167</v>
      </c>
    </row>
    <row r="10" spans="1:41" ht="30" x14ac:dyDescent="0.25">
      <c r="A10" s="34" t="s">
        <v>359</v>
      </c>
      <c r="B10" s="34" t="s">
        <v>1900</v>
      </c>
      <c r="C10" s="34" t="s">
        <v>1901</v>
      </c>
      <c r="D10" s="34" t="s">
        <v>465</v>
      </c>
      <c r="E10" s="34" t="s">
        <v>1902</v>
      </c>
      <c r="F10" s="34">
        <v>3</v>
      </c>
      <c r="G10" s="34" t="s">
        <v>167</v>
      </c>
      <c r="H10" s="34">
        <v>20</v>
      </c>
      <c r="I10" s="12">
        <f t="shared" si="1"/>
        <v>60</v>
      </c>
      <c r="J10" s="12">
        <f t="shared" si="2"/>
        <v>105.5</v>
      </c>
      <c r="K10" s="12">
        <f t="shared" si="3"/>
        <v>100</v>
      </c>
      <c r="L10" s="12">
        <f t="shared" si="0"/>
        <v>195.5</v>
      </c>
      <c r="M10" s="12">
        <f t="shared" si="4"/>
        <v>12</v>
      </c>
      <c r="N10" s="12" t="b">
        <f>AND(K10&lt;50,J10&gt;10)</f>
        <v>0</v>
      </c>
      <c r="O10" s="12" t="b">
        <f>OR(K10&lt;50,J10&gt;10)</f>
        <v>1</v>
      </c>
      <c r="P10" s="12" t="str">
        <f t="shared" si="10"/>
        <v>oz -3</v>
      </c>
      <c r="Q10" s="17" t="str">
        <f t="shared" si="5"/>
        <v>S00124
P004</v>
      </c>
      <c r="R10" s="12" t="b">
        <f t="shared" si="6"/>
        <v>0</v>
      </c>
      <c r="S10" s="12" t="str">
        <f t="shared" si="7"/>
        <v>730</v>
      </c>
      <c r="T10" s="12" t="str">
        <f t="shared" si="8"/>
        <v>OZ</v>
      </c>
      <c r="U10" s="12" t="str">
        <f t="shared" si="9"/>
        <v>oz</v>
      </c>
      <c r="V10" s="12">
        <f>SEARCH("S",E10)</f>
        <v>1</v>
      </c>
      <c r="W10" s="12" t="str">
        <f>_xlfn.TEXTJOIN(" ",FALSE,M28,D10)</f>
        <v>60 I00107</v>
      </c>
      <c r="X10" s="12" t="str">
        <f>SUBSTITUTE(O10,"E","I")</f>
        <v>TRUI</v>
      </c>
      <c r="Y10" s="12" t="str">
        <f>LEFT(L10)</f>
        <v>1</v>
      </c>
      <c r="Z10" s="12" t="str">
        <f>RIGHT(L10)</f>
        <v>5</v>
      </c>
      <c r="AA10" s="12">
        <f>FIND("0",B10)</f>
        <v>2</v>
      </c>
      <c r="AB10" s="12">
        <f>LEN(W10)</f>
        <v>9</v>
      </c>
      <c r="AC10" s="34" t="s">
        <v>1326</v>
      </c>
      <c r="AD10" s="35" t="s">
        <v>743</v>
      </c>
      <c r="AF10" s="37" t="s">
        <v>359</v>
      </c>
      <c r="AG10" s="34" t="s">
        <v>1900</v>
      </c>
      <c r="AH10" s="34" t="s">
        <v>1901</v>
      </c>
      <c r="AI10" s="34" t="s">
        <v>465</v>
      </c>
      <c r="AJ10" s="34" t="s">
        <v>1902</v>
      </c>
      <c r="AK10" s="34">
        <v>3</v>
      </c>
      <c r="AL10" s="34" t="s">
        <v>167</v>
      </c>
      <c r="AM10" s="34">
        <v>20</v>
      </c>
    </row>
    <row r="11" spans="1:41" ht="30" hidden="1" x14ac:dyDescent="0.25">
      <c r="A11" s="34" t="s">
        <v>173</v>
      </c>
      <c r="B11" s="34" t="s">
        <v>1903</v>
      </c>
      <c r="C11" s="34" t="s">
        <v>1904</v>
      </c>
      <c r="D11" s="34" t="s">
        <v>1522</v>
      </c>
      <c r="E11" s="34" t="s">
        <v>1863</v>
      </c>
      <c r="F11" s="34">
        <v>9</v>
      </c>
      <c r="G11" s="34" t="s">
        <v>13</v>
      </c>
      <c r="H11" s="34">
        <v>16</v>
      </c>
      <c r="I11" s="12">
        <f t="shared" si="1"/>
        <v>144</v>
      </c>
      <c r="J11" s="12">
        <f t="shared" si="2"/>
        <v>39.5</v>
      </c>
      <c r="K11" s="12">
        <f t="shared" si="3"/>
        <v>40</v>
      </c>
      <c r="L11" s="12">
        <f t="shared" si="0"/>
        <v>1195.5</v>
      </c>
      <c r="M11" s="12">
        <f t="shared" si="4"/>
        <v>60</v>
      </c>
      <c r="N11" s="12"/>
      <c r="O11" s="12"/>
      <c r="P11" s="12" t="str">
        <f t="shared" si="10"/>
        <v>ct -9</v>
      </c>
      <c r="Q11" s="17" t="str">
        <f t="shared" si="5"/>
        <v>S00365
P033</v>
      </c>
      <c r="R11" s="12" t="b">
        <f t="shared" si="6"/>
        <v>0</v>
      </c>
      <c r="S11" s="12" t="str">
        <f t="shared" si="7"/>
        <v>151</v>
      </c>
      <c r="T11" s="12" t="str">
        <f t="shared" si="8"/>
        <v>CT</v>
      </c>
      <c r="U11" s="12" t="str">
        <f t="shared" si="9"/>
        <v>ct</v>
      </c>
      <c r="V11" s="12"/>
      <c r="W11" s="12"/>
      <c r="X11" s="12"/>
      <c r="Y11" s="12"/>
      <c r="Z11" s="12"/>
      <c r="AA11" s="12"/>
      <c r="AB11" s="12"/>
      <c r="AC11" s="34" t="s">
        <v>13</v>
      </c>
      <c r="AD11" s="34" t="s">
        <v>519</v>
      </c>
      <c r="AE11" s="39"/>
      <c r="AF11" s="34" t="s">
        <v>173</v>
      </c>
      <c r="AG11" s="34" t="s">
        <v>1903</v>
      </c>
      <c r="AH11" s="34" t="s">
        <v>1904</v>
      </c>
      <c r="AI11" s="34" t="s">
        <v>1522</v>
      </c>
      <c r="AJ11" s="34" t="s">
        <v>1863</v>
      </c>
      <c r="AK11" s="34">
        <v>9</v>
      </c>
      <c r="AL11" s="34" t="s">
        <v>13</v>
      </c>
      <c r="AM11" s="34">
        <v>16</v>
      </c>
    </row>
    <row r="12" spans="1:41" ht="30" hidden="1" x14ac:dyDescent="0.25">
      <c r="A12" s="34" t="s">
        <v>519</v>
      </c>
      <c r="B12" s="34" t="s">
        <v>1905</v>
      </c>
      <c r="C12" s="34" t="s">
        <v>1906</v>
      </c>
      <c r="D12" s="34" t="s">
        <v>74</v>
      </c>
      <c r="E12" s="34" t="s">
        <v>1628</v>
      </c>
      <c r="F12" s="34">
        <v>8</v>
      </c>
      <c r="G12" s="34" t="s">
        <v>35</v>
      </c>
      <c r="H12" s="34">
        <v>6.75</v>
      </c>
      <c r="I12" s="12">
        <f t="shared" si="1"/>
        <v>54</v>
      </c>
      <c r="J12" s="12">
        <f t="shared" si="2"/>
        <v>111.5</v>
      </c>
      <c r="K12" s="12">
        <f t="shared" si="3"/>
        <v>103</v>
      </c>
      <c r="L12" s="12">
        <f t="shared" si="0"/>
        <v>435.75</v>
      </c>
      <c r="M12" s="12">
        <f t="shared" si="4"/>
        <v>33</v>
      </c>
      <c r="N12" s="12"/>
      <c r="O12" s="12"/>
      <c r="P12" s="12" t="str">
        <f t="shared" si="10"/>
        <v>cans -8</v>
      </c>
      <c r="Q12" s="17" t="str">
        <f t="shared" si="5"/>
        <v>S0020
P008</v>
      </c>
      <c r="R12" s="12" t="b">
        <f t="shared" si="6"/>
        <v>0</v>
      </c>
      <c r="S12" s="12" t="str">
        <f t="shared" si="7"/>
        <v>265</v>
      </c>
      <c r="T12" s="12" t="str">
        <f t="shared" si="8"/>
        <v>CANS</v>
      </c>
      <c r="U12" s="12" t="str">
        <f t="shared" si="9"/>
        <v>cans</v>
      </c>
      <c r="V12" s="12"/>
      <c r="W12" s="12"/>
      <c r="X12" s="12"/>
      <c r="Y12" s="12"/>
      <c r="Z12" s="12"/>
      <c r="AA12" s="12"/>
      <c r="AB12" s="12"/>
      <c r="AC12" s="34" t="s">
        <v>35</v>
      </c>
      <c r="AD12" s="34" t="s">
        <v>519</v>
      </c>
      <c r="AE12" s="12"/>
      <c r="AF12" s="34" t="s">
        <v>519</v>
      </c>
      <c r="AG12" s="34" t="s">
        <v>1905</v>
      </c>
      <c r="AH12" s="34" t="s">
        <v>1906</v>
      </c>
      <c r="AI12" s="34" t="s">
        <v>74</v>
      </c>
      <c r="AJ12" s="34" t="s">
        <v>1628</v>
      </c>
      <c r="AK12" s="34">
        <v>8</v>
      </c>
      <c r="AL12" s="34" t="s">
        <v>35</v>
      </c>
      <c r="AM12" s="34">
        <v>6.75</v>
      </c>
    </row>
    <row r="13" spans="1:41" ht="30" hidden="1" x14ac:dyDescent="0.25">
      <c r="A13" s="34" t="s">
        <v>283</v>
      </c>
      <c r="B13" s="34" t="s">
        <v>1907</v>
      </c>
      <c r="C13" s="34" t="s">
        <v>1908</v>
      </c>
      <c r="D13" s="34" t="s">
        <v>259</v>
      </c>
      <c r="E13" s="34" t="s">
        <v>804</v>
      </c>
      <c r="F13" s="34">
        <v>4</v>
      </c>
      <c r="G13" s="34" t="s">
        <v>106</v>
      </c>
      <c r="H13" s="34">
        <v>17</v>
      </c>
      <c r="I13" s="12">
        <f t="shared" si="1"/>
        <v>68</v>
      </c>
      <c r="J13" s="12">
        <f t="shared" si="2"/>
        <v>94</v>
      </c>
      <c r="K13" s="12">
        <f t="shared" si="3"/>
        <v>90</v>
      </c>
      <c r="L13" s="12">
        <f t="shared" si="0"/>
        <v>163</v>
      </c>
      <c r="M13" s="12">
        <f t="shared" si="4"/>
        <v>10</v>
      </c>
      <c r="N13" s="12"/>
      <c r="O13" s="12"/>
      <c r="P13" s="12" t="str">
        <f t="shared" si="10"/>
        <v>bags -4</v>
      </c>
      <c r="Q13" s="17" t="str">
        <f t="shared" si="5"/>
        <v>S00248
P039</v>
      </c>
      <c r="R13" s="12" t="b">
        <f t="shared" si="6"/>
        <v>0</v>
      </c>
      <c r="S13" s="12" t="str">
        <f t="shared" si="7"/>
        <v>445</v>
      </c>
      <c r="T13" s="12" t="str">
        <f t="shared" si="8"/>
        <v>BAGS</v>
      </c>
      <c r="U13" s="12" t="str">
        <f t="shared" si="9"/>
        <v>bags</v>
      </c>
      <c r="V13" s="12"/>
      <c r="W13" s="12"/>
      <c r="X13" s="12"/>
      <c r="Y13" s="12"/>
      <c r="Z13" s="12"/>
      <c r="AA13" s="12"/>
      <c r="AB13" s="12"/>
      <c r="AC13" s="34" t="s">
        <v>106</v>
      </c>
      <c r="AD13" s="34" t="s">
        <v>146</v>
      </c>
      <c r="AE13" s="12"/>
      <c r="AF13" s="34" t="s">
        <v>283</v>
      </c>
      <c r="AG13" s="34" t="s">
        <v>1907</v>
      </c>
      <c r="AH13" s="34" t="s">
        <v>1908</v>
      </c>
      <c r="AI13" s="34" t="s">
        <v>259</v>
      </c>
      <c r="AJ13" s="34" t="s">
        <v>804</v>
      </c>
      <c r="AK13" s="34">
        <v>4</v>
      </c>
      <c r="AL13" s="34" t="s">
        <v>106</v>
      </c>
      <c r="AM13" s="34">
        <v>17</v>
      </c>
    </row>
    <row r="14" spans="1:41" ht="30" hidden="1" x14ac:dyDescent="0.25">
      <c r="A14" s="34" t="s">
        <v>96</v>
      </c>
      <c r="B14" s="34" t="s">
        <v>1909</v>
      </c>
      <c r="C14" s="34" t="s">
        <v>1910</v>
      </c>
      <c r="D14" s="34" t="s">
        <v>920</v>
      </c>
      <c r="E14" s="34" t="s">
        <v>794</v>
      </c>
      <c r="F14" s="34">
        <v>4</v>
      </c>
      <c r="G14" s="34" t="s">
        <v>904</v>
      </c>
      <c r="H14" s="34">
        <v>15</v>
      </c>
      <c r="I14" s="12">
        <f t="shared" si="1"/>
        <v>60</v>
      </c>
      <c r="J14" s="12">
        <f t="shared" si="2"/>
        <v>105.5</v>
      </c>
      <c r="K14" s="12">
        <f t="shared" si="3"/>
        <v>98</v>
      </c>
      <c r="L14" s="12">
        <f t="shared" si="0"/>
        <v>55</v>
      </c>
      <c r="M14" s="12">
        <f t="shared" si="4"/>
        <v>3</v>
      </c>
      <c r="N14" s="12"/>
      <c r="O14" s="12"/>
      <c r="P14" s="12" t="str">
        <f t="shared" si="10"/>
        <v>bars -4</v>
      </c>
      <c r="Q14" s="17" t="str">
        <f t="shared" si="5"/>
        <v>S00624
P016</v>
      </c>
      <c r="R14" s="12" t="b">
        <f t="shared" si="6"/>
        <v>0</v>
      </c>
      <c r="S14" s="12" t="str">
        <f t="shared" si="7"/>
        <v>784</v>
      </c>
      <c r="T14" s="12" t="str">
        <f t="shared" si="8"/>
        <v>BARS</v>
      </c>
      <c r="U14" s="12" t="str">
        <f t="shared" si="9"/>
        <v>bars</v>
      </c>
      <c r="V14" s="12"/>
      <c r="W14" s="12"/>
      <c r="X14" s="12"/>
      <c r="Y14" s="12"/>
      <c r="Z14" s="12"/>
      <c r="AA14" s="12"/>
      <c r="AB14" s="12"/>
      <c r="AC14" s="34" t="s">
        <v>60</v>
      </c>
      <c r="AD14" s="34" t="s">
        <v>162</v>
      </c>
      <c r="AE14" s="12"/>
      <c r="AF14" s="34" t="s">
        <v>96</v>
      </c>
      <c r="AG14" s="34" t="s">
        <v>1909</v>
      </c>
      <c r="AH14" s="34" t="s">
        <v>1910</v>
      </c>
      <c r="AI14" s="34" t="s">
        <v>920</v>
      </c>
      <c r="AJ14" s="34" t="s">
        <v>794</v>
      </c>
      <c r="AK14" s="34">
        <v>4</v>
      </c>
      <c r="AL14" s="34" t="s">
        <v>904</v>
      </c>
      <c r="AM14" s="34">
        <v>15</v>
      </c>
    </row>
    <row r="15" spans="1:41" ht="30" hidden="1" x14ac:dyDescent="0.25">
      <c r="A15" s="34" t="s">
        <v>523</v>
      </c>
      <c r="B15" s="34" t="s">
        <v>791</v>
      </c>
      <c r="C15" s="34" t="s">
        <v>1911</v>
      </c>
      <c r="D15" s="34" t="s">
        <v>1005</v>
      </c>
      <c r="E15" s="34" t="s">
        <v>1912</v>
      </c>
      <c r="F15" s="34">
        <v>6</v>
      </c>
      <c r="G15" s="34" t="s">
        <v>13</v>
      </c>
      <c r="H15" s="34">
        <v>16</v>
      </c>
      <c r="I15" s="12">
        <f t="shared" si="1"/>
        <v>96</v>
      </c>
      <c r="J15" s="12">
        <f t="shared" si="2"/>
        <v>74.5</v>
      </c>
      <c r="K15" s="12">
        <f t="shared" si="3"/>
        <v>71</v>
      </c>
      <c r="L15" s="12">
        <f t="shared" si="0"/>
        <v>1195.5</v>
      </c>
      <c r="M15" s="12">
        <f t="shared" si="4"/>
        <v>60</v>
      </c>
      <c r="N15" s="12"/>
      <c r="O15" s="12"/>
      <c r="P15" s="12" t="str">
        <f t="shared" si="10"/>
        <v>ct -6</v>
      </c>
      <c r="Q15" s="17" t="str">
        <f t="shared" si="5"/>
        <v>S00692
P005</v>
      </c>
      <c r="R15" s="12" t="b">
        <f t="shared" si="6"/>
        <v>0</v>
      </c>
      <c r="S15" s="12" t="str">
        <f t="shared" si="7"/>
        <v>432</v>
      </c>
      <c r="T15" s="12" t="str">
        <f t="shared" si="8"/>
        <v>CT</v>
      </c>
      <c r="U15" s="12" t="str">
        <f t="shared" si="9"/>
        <v>ct</v>
      </c>
      <c r="V15" s="12"/>
      <c r="W15" s="12"/>
      <c r="X15" s="12"/>
      <c r="Y15" s="12"/>
      <c r="Z15" s="12"/>
      <c r="AA15" s="12"/>
      <c r="AB15" s="12"/>
      <c r="AC15" s="34" t="s">
        <v>904</v>
      </c>
      <c r="AD15" s="34" t="s">
        <v>162</v>
      </c>
      <c r="AE15" s="12"/>
      <c r="AF15" s="34" t="s">
        <v>523</v>
      </c>
      <c r="AG15" s="34" t="s">
        <v>791</v>
      </c>
      <c r="AH15" s="34" t="s">
        <v>1911</v>
      </c>
      <c r="AI15" s="34" t="s">
        <v>1005</v>
      </c>
      <c r="AJ15" s="34" t="s">
        <v>1912</v>
      </c>
      <c r="AK15" s="34">
        <v>6</v>
      </c>
      <c r="AL15" s="34" t="s">
        <v>13</v>
      </c>
      <c r="AM15" s="34">
        <v>16</v>
      </c>
    </row>
    <row r="16" spans="1:41" ht="30" hidden="1" x14ac:dyDescent="0.25">
      <c r="A16" s="34" t="s">
        <v>14</v>
      </c>
      <c r="B16" s="34" t="s">
        <v>1913</v>
      </c>
      <c r="C16" s="34" t="s">
        <v>1914</v>
      </c>
      <c r="D16" s="34" t="s">
        <v>1037</v>
      </c>
      <c r="E16" s="34" t="s">
        <v>1915</v>
      </c>
      <c r="F16" s="34">
        <v>8</v>
      </c>
      <c r="G16" s="34" t="s">
        <v>35</v>
      </c>
      <c r="H16" s="34">
        <v>6.75</v>
      </c>
      <c r="I16" s="12">
        <f t="shared" si="1"/>
        <v>54</v>
      </c>
      <c r="J16" s="12">
        <f t="shared" si="2"/>
        <v>111.5</v>
      </c>
      <c r="K16" s="12">
        <f t="shared" si="3"/>
        <v>100</v>
      </c>
      <c r="L16" s="12">
        <f t="shared" si="0"/>
        <v>435.75</v>
      </c>
      <c r="M16" s="12">
        <f t="shared" si="4"/>
        <v>33</v>
      </c>
      <c r="N16" s="12"/>
      <c r="O16" s="12"/>
      <c r="P16" s="12" t="str">
        <f t="shared" si="10"/>
        <v>cans -8</v>
      </c>
      <c r="Q16" s="17" t="str">
        <f t="shared" si="5"/>
        <v>S00707
P022</v>
      </c>
      <c r="R16" s="12" t="b">
        <f t="shared" si="6"/>
        <v>0</v>
      </c>
      <c r="S16" s="12" t="str">
        <f t="shared" si="7"/>
        <v>606</v>
      </c>
      <c r="T16" s="12" t="str">
        <f t="shared" si="8"/>
        <v>CANS</v>
      </c>
      <c r="U16" s="12" t="str">
        <f t="shared" si="9"/>
        <v>cans</v>
      </c>
      <c r="V16" s="12"/>
      <c r="W16" s="12"/>
      <c r="X16" s="12"/>
      <c r="Y16" s="12"/>
      <c r="Z16" s="12"/>
      <c r="AA16" s="12"/>
      <c r="AB16" s="12"/>
      <c r="AC16" s="34" t="s">
        <v>407</v>
      </c>
      <c r="AD16" s="34" t="s">
        <v>116</v>
      </c>
      <c r="AE16" s="12"/>
      <c r="AF16" s="34" t="s">
        <v>14</v>
      </c>
      <c r="AG16" s="34" t="s">
        <v>1913</v>
      </c>
      <c r="AH16" s="34" t="s">
        <v>1914</v>
      </c>
      <c r="AI16" s="34" t="s">
        <v>1037</v>
      </c>
      <c r="AJ16" s="34" t="s">
        <v>1915</v>
      </c>
      <c r="AK16" s="34">
        <v>8</v>
      </c>
      <c r="AL16" s="34" t="s">
        <v>35</v>
      </c>
      <c r="AM16" s="34">
        <v>6.75</v>
      </c>
    </row>
    <row r="17" spans="1:39" ht="30" hidden="1" x14ac:dyDescent="0.25">
      <c r="A17" s="34" t="s">
        <v>209</v>
      </c>
      <c r="B17" s="34" t="s">
        <v>1916</v>
      </c>
      <c r="C17" s="34" t="s">
        <v>1917</v>
      </c>
      <c r="D17" s="34" t="s">
        <v>913</v>
      </c>
      <c r="E17" s="34" t="s">
        <v>1485</v>
      </c>
      <c r="F17" s="34">
        <v>4</v>
      </c>
      <c r="G17" s="34" t="s">
        <v>35</v>
      </c>
      <c r="H17" s="34">
        <v>6.75</v>
      </c>
      <c r="I17" s="12">
        <f t="shared" si="1"/>
        <v>27</v>
      </c>
      <c r="J17" s="12">
        <f t="shared" si="2"/>
        <v>139</v>
      </c>
      <c r="K17" s="12">
        <f t="shared" si="3"/>
        <v>128</v>
      </c>
      <c r="L17" s="12">
        <f t="shared" si="0"/>
        <v>435.75</v>
      </c>
      <c r="M17" s="12">
        <f t="shared" si="4"/>
        <v>33</v>
      </c>
      <c r="N17" s="12"/>
      <c r="O17" s="12"/>
      <c r="P17" s="12" t="str">
        <f t="shared" si="10"/>
        <v>cans -4</v>
      </c>
      <c r="Q17" s="17" t="str">
        <f t="shared" si="5"/>
        <v>S00458
P021</v>
      </c>
      <c r="R17" s="12" t="b">
        <f t="shared" si="6"/>
        <v>0</v>
      </c>
      <c r="S17" s="12" t="str">
        <f t="shared" si="7"/>
        <v>307</v>
      </c>
      <c r="T17" s="12" t="str">
        <f t="shared" si="8"/>
        <v>CANS</v>
      </c>
      <c r="U17" s="12" t="str">
        <f t="shared" si="9"/>
        <v>cans</v>
      </c>
      <c r="V17" s="12"/>
      <c r="W17" s="12"/>
      <c r="X17" s="12"/>
      <c r="Y17" s="12"/>
      <c r="Z17" s="12"/>
      <c r="AA17" s="12"/>
      <c r="AB17" s="12"/>
      <c r="AC17" s="34" t="s">
        <v>269</v>
      </c>
      <c r="AD17" s="34" t="s">
        <v>107</v>
      </c>
      <c r="AE17" s="38"/>
      <c r="AF17" s="34" t="s">
        <v>209</v>
      </c>
      <c r="AG17" s="34" t="s">
        <v>1916</v>
      </c>
      <c r="AH17" s="34" t="s">
        <v>1917</v>
      </c>
      <c r="AI17" s="34" t="s">
        <v>913</v>
      </c>
      <c r="AJ17" s="34" t="s">
        <v>1485</v>
      </c>
      <c r="AK17" s="34">
        <v>4</v>
      </c>
      <c r="AL17" s="34" t="s">
        <v>35</v>
      </c>
      <c r="AM17" s="34">
        <v>6.75</v>
      </c>
    </row>
    <row r="18" spans="1:39" ht="30" x14ac:dyDescent="0.25">
      <c r="A18" s="34" t="s">
        <v>743</v>
      </c>
      <c r="B18" s="34" t="s">
        <v>1918</v>
      </c>
      <c r="C18" s="34" t="s">
        <v>1919</v>
      </c>
      <c r="D18" s="34" t="s">
        <v>495</v>
      </c>
      <c r="E18" s="34" t="s">
        <v>1920</v>
      </c>
      <c r="F18" s="34">
        <v>11</v>
      </c>
      <c r="G18" s="34" t="s">
        <v>167</v>
      </c>
      <c r="H18" s="34">
        <v>16</v>
      </c>
      <c r="I18" s="12">
        <f t="shared" si="1"/>
        <v>176</v>
      </c>
      <c r="J18" s="12">
        <f t="shared" si="2"/>
        <v>18</v>
      </c>
      <c r="K18" s="12">
        <f t="shared" si="3"/>
        <v>18</v>
      </c>
      <c r="L18" s="12">
        <f t="shared" si="0"/>
        <v>195.5</v>
      </c>
      <c r="M18" s="12">
        <f t="shared" si="4"/>
        <v>12</v>
      </c>
      <c r="N18" s="12" t="b">
        <f>AND(K18&lt;50,J18&gt;10)</f>
        <v>1</v>
      </c>
      <c r="O18" s="12" t="b">
        <f>OR(K18&lt;50,J18&gt;10)</f>
        <v>1</v>
      </c>
      <c r="P18" s="12" t="str">
        <f t="shared" si="10"/>
        <v>oz -11</v>
      </c>
      <c r="Q18" s="17" t="str">
        <f t="shared" si="5"/>
        <v>S00108
P007</v>
      </c>
      <c r="R18" s="12" t="b">
        <f t="shared" si="6"/>
        <v>0</v>
      </c>
      <c r="S18" s="12" t="str">
        <f t="shared" si="7"/>
        <v>146</v>
      </c>
      <c r="T18" s="12" t="str">
        <f t="shared" si="8"/>
        <v>OZ</v>
      </c>
      <c r="U18" s="12" t="str">
        <f t="shared" si="9"/>
        <v>oz</v>
      </c>
      <c r="V18" s="12">
        <f>SEARCH("S",E18)</f>
        <v>1</v>
      </c>
      <c r="W18" s="12" t="str">
        <f>_xlfn.TEXTJOIN(" ",FALSE,M36,D18)</f>
        <v>60 I00243</v>
      </c>
      <c r="X18" s="12" t="str">
        <f>SUBSTITUTE(O18,"E","I")</f>
        <v>TRUI</v>
      </c>
      <c r="Y18" s="12" t="str">
        <f>LEFT(L18)</f>
        <v>1</v>
      </c>
      <c r="Z18" s="12" t="str">
        <f>RIGHT(L18)</f>
        <v>5</v>
      </c>
      <c r="AA18" s="12">
        <f>FIND("0",B18)</f>
        <v>2</v>
      </c>
      <c r="AB18" s="12">
        <f>LEN(W18)</f>
        <v>9</v>
      </c>
      <c r="AC18" s="34" t="s">
        <v>402</v>
      </c>
      <c r="AD18" s="35" t="s">
        <v>107</v>
      </c>
      <c r="AF18" s="37" t="s">
        <v>743</v>
      </c>
      <c r="AG18" s="34" t="s">
        <v>1918</v>
      </c>
      <c r="AH18" s="34" t="s">
        <v>1919</v>
      </c>
      <c r="AI18" s="34" t="s">
        <v>495</v>
      </c>
      <c r="AJ18" s="34" t="s">
        <v>1920</v>
      </c>
      <c r="AK18" s="34">
        <v>11</v>
      </c>
      <c r="AL18" s="34" t="s">
        <v>167</v>
      </c>
      <c r="AM18" s="34">
        <v>16</v>
      </c>
    </row>
    <row r="19" spans="1:39" ht="30" hidden="1" x14ac:dyDescent="0.25">
      <c r="A19" s="34" t="s">
        <v>25</v>
      </c>
      <c r="B19" s="34" t="s">
        <v>1921</v>
      </c>
      <c r="C19" s="34" t="s">
        <v>1922</v>
      </c>
      <c r="D19" s="34" t="s">
        <v>603</v>
      </c>
      <c r="E19" s="34" t="s">
        <v>1011</v>
      </c>
      <c r="F19" s="34">
        <v>10</v>
      </c>
      <c r="G19" s="34" t="s">
        <v>407</v>
      </c>
      <c r="H19" s="34">
        <v>21</v>
      </c>
      <c r="I19" s="12">
        <f t="shared" si="1"/>
        <v>210</v>
      </c>
      <c r="J19" s="12">
        <f t="shared" si="2"/>
        <v>12</v>
      </c>
      <c r="K19" s="12">
        <f t="shared" si="3"/>
        <v>13</v>
      </c>
      <c r="L19" s="12">
        <f t="shared" si="0"/>
        <v>85</v>
      </c>
      <c r="M19" s="12">
        <f t="shared" si="4"/>
        <v>5</v>
      </c>
      <c r="N19" s="12"/>
      <c r="O19" s="12"/>
      <c r="P19" s="12" t="str">
        <f t="shared" si="10"/>
        <v>pk -10</v>
      </c>
      <c r="Q19" s="17" t="str">
        <f t="shared" si="5"/>
        <v>S00314
P032</v>
      </c>
      <c r="R19" s="12" t="b">
        <f t="shared" si="6"/>
        <v>0</v>
      </c>
      <c r="S19" s="12" t="str">
        <f t="shared" si="7"/>
        <v>497</v>
      </c>
      <c r="T19" s="12" t="str">
        <f t="shared" si="8"/>
        <v>PK</v>
      </c>
      <c r="U19" s="12" t="str">
        <f t="shared" si="9"/>
        <v>pk</v>
      </c>
      <c r="V19" s="12"/>
      <c r="W19" s="12"/>
      <c r="X19" s="12"/>
      <c r="Y19" s="12"/>
      <c r="Z19" s="12"/>
      <c r="AA19" s="12"/>
      <c r="AB19" s="12"/>
      <c r="AC19" s="34" t="s">
        <v>178</v>
      </c>
      <c r="AD19" s="34" t="s">
        <v>96</v>
      </c>
      <c r="AE19" s="39"/>
      <c r="AF19" s="34" t="s">
        <v>25</v>
      </c>
      <c r="AG19" s="34" t="s">
        <v>1921</v>
      </c>
      <c r="AH19" s="34" t="s">
        <v>1922</v>
      </c>
      <c r="AI19" s="34" t="s">
        <v>603</v>
      </c>
      <c r="AJ19" s="34" t="s">
        <v>1011</v>
      </c>
      <c r="AK19" s="34">
        <v>10</v>
      </c>
      <c r="AL19" s="34" t="s">
        <v>407</v>
      </c>
      <c r="AM19" s="34">
        <v>21</v>
      </c>
    </row>
    <row r="20" spans="1:39" ht="30" hidden="1" x14ac:dyDescent="0.25">
      <c r="A20" s="34" t="s">
        <v>82</v>
      </c>
      <c r="B20" s="34" t="s">
        <v>1923</v>
      </c>
      <c r="C20" s="34" t="s">
        <v>1924</v>
      </c>
      <c r="D20" s="34" t="s">
        <v>1879</v>
      </c>
      <c r="E20" s="34" t="s">
        <v>1925</v>
      </c>
      <c r="F20" s="34">
        <v>10</v>
      </c>
      <c r="G20" s="34" t="s">
        <v>13</v>
      </c>
      <c r="H20" s="34">
        <v>15</v>
      </c>
      <c r="I20" s="12">
        <f t="shared" si="1"/>
        <v>150</v>
      </c>
      <c r="J20" s="12">
        <f t="shared" si="2"/>
        <v>34</v>
      </c>
      <c r="K20" s="12">
        <f t="shared" si="3"/>
        <v>32</v>
      </c>
      <c r="L20" s="12">
        <f t="shared" si="0"/>
        <v>1195.5</v>
      </c>
      <c r="M20" s="12">
        <f t="shared" si="4"/>
        <v>60</v>
      </c>
      <c r="N20" s="12"/>
      <c r="O20" s="12"/>
      <c r="P20" s="12" t="str">
        <f t="shared" si="10"/>
        <v>ct -10</v>
      </c>
      <c r="Q20" s="17" t="str">
        <f t="shared" si="5"/>
        <v>S00222
P018</v>
      </c>
      <c r="R20" s="12" t="b">
        <f t="shared" si="6"/>
        <v>0</v>
      </c>
      <c r="S20" s="12" t="str">
        <f t="shared" si="7"/>
        <v>505</v>
      </c>
      <c r="T20" s="12" t="str">
        <f t="shared" si="8"/>
        <v>CT</v>
      </c>
      <c r="U20" s="12" t="str">
        <f t="shared" si="9"/>
        <v>ct</v>
      </c>
      <c r="V20" s="12"/>
      <c r="W20" s="12"/>
      <c r="X20" s="12"/>
      <c r="Y20" s="12"/>
      <c r="Z20" s="12"/>
      <c r="AA20" s="12"/>
      <c r="AB20" s="12"/>
      <c r="AC20" s="34" t="s">
        <v>19</v>
      </c>
      <c r="AD20" s="34" t="s">
        <v>96</v>
      </c>
      <c r="AE20" s="38"/>
      <c r="AF20" s="34" t="s">
        <v>82</v>
      </c>
      <c r="AG20" s="34" t="s">
        <v>1923</v>
      </c>
      <c r="AH20" s="34" t="s">
        <v>1924</v>
      </c>
      <c r="AI20" s="34" t="s">
        <v>1879</v>
      </c>
      <c r="AJ20" s="34" t="s">
        <v>1925</v>
      </c>
      <c r="AK20" s="34">
        <v>10</v>
      </c>
      <c r="AL20" s="34" t="s">
        <v>13</v>
      </c>
      <c r="AM20" s="34">
        <v>15</v>
      </c>
    </row>
    <row r="21" spans="1:39" ht="30" x14ac:dyDescent="0.25">
      <c r="A21" s="34" t="s">
        <v>224</v>
      </c>
      <c r="B21" s="34" t="s">
        <v>1926</v>
      </c>
      <c r="C21" s="34" t="s">
        <v>1927</v>
      </c>
      <c r="D21" s="34" t="s">
        <v>1324</v>
      </c>
      <c r="E21" s="34" t="s">
        <v>1592</v>
      </c>
      <c r="F21" s="34">
        <v>3</v>
      </c>
      <c r="G21" s="34" t="s">
        <v>1326</v>
      </c>
      <c r="H21" s="34">
        <v>10</v>
      </c>
      <c r="I21" s="12">
        <f t="shared" si="1"/>
        <v>30</v>
      </c>
      <c r="J21" s="12">
        <f t="shared" si="2"/>
        <v>137.5</v>
      </c>
      <c r="K21" s="12">
        <f t="shared" si="3"/>
        <v>123</v>
      </c>
      <c r="L21" s="12">
        <f t="shared" si="0"/>
        <v>10</v>
      </c>
      <c r="M21" s="12">
        <f t="shared" si="4"/>
        <v>1</v>
      </c>
      <c r="N21" s="12" t="b">
        <f>AND(K21&lt;50,J21&gt;10)</f>
        <v>0</v>
      </c>
      <c r="O21" s="12" t="b">
        <f>OR(K21&lt;50,J21&gt;10)</f>
        <v>1</v>
      </c>
      <c r="P21" s="12" t="str">
        <f t="shared" si="10"/>
        <v>oz. -3</v>
      </c>
      <c r="Q21" s="17" t="str">
        <f t="shared" si="5"/>
        <v>S00594
P035</v>
      </c>
      <c r="R21" s="12" t="b">
        <f t="shared" si="6"/>
        <v>0</v>
      </c>
      <c r="S21" s="12" t="str">
        <f t="shared" si="7"/>
        <v>599</v>
      </c>
      <c r="T21" s="12" t="str">
        <f t="shared" si="8"/>
        <v>OZ.</v>
      </c>
      <c r="U21" s="12" t="str">
        <f t="shared" si="9"/>
        <v>oz.</v>
      </c>
      <c r="V21" s="12">
        <f>SEARCH("S",E21)</f>
        <v>1</v>
      </c>
      <c r="W21" s="12" t="str">
        <f>_xlfn.TEXTJOIN(" ",FALSE,M39,D21)</f>
        <v>33 I00100</v>
      </c>
      <c r="X21" s="12" t="str">
        <f>SUBSTITUTE(O21,"E","I")</f>
        <v>TRUI</v>
      </c>
      <c r="Y21" s="12" t="str">
        <f>LEFT(L21)</f>
        <v>1</v>
      </c>
      <c r="Z21" s="12" t="str">
        <f>RIGHT(L21)</f>
        <v>0</v>
      </c>
      <c r="AA21" s="12">
        <f>FIND("0",B21)</f>
        <v>2</v>
      </c>
      <c r="AB21" s="12">
        <f>LEN(W21)</f>
        <v>9</v>
      </c>
      <c r="AC21" s="34" t="s">
        <v>223</v>
      </c>
      <c r="AD21" s="35" t="s">
        <v>96</v>
      </c>
      <c r="AF21" s="37" t="s">
        <v>224</v>
      </c>
      <c r="AG21" s="34" t="s">
        <v>1926</v>
      </c>
      <c r="AH21" s="34" t="s">
        <v>1927</v>
      </c>
      <c r="AI21" s="34" t="s">
        <v>1324</v>
      </c>
      <c r="AJ21" s="34" t="s">
        <v>1592</v>
      </c>
      <c r="AK21" s="34">
        <v>3</v>
      </c>
      <c r="AL21" s="34" t="s">
        <v>1326</v>
      </c>
      <c r="AM21" s="34">
        <v>10</v>
      </c>
    </row>
    <row r="22" spans="1:39" ht="30" hidden="1" x14ac:dyDescent="0.25">
      <c r="A22" s="34" t="s">
        <v>519</v>
      </c>
      <c r="B22" s="34" t="s">
        <v>1928</v>
      </c>
      <c r="C22" s="34" t="s">
        <v>1929</v>
      </c>
      <c r="D22" s="34" t="s">
        <v>17</v>
      </c>
      <c r="E22" s="34" t="s">
        <v>991</v>
      </c>
      <c r="F22" s="34">
        <v>5</v>
      </c>
      <c r="G22" s="34" t="s">
        <v>19</v>
      </c>
      <c r="H22" s="34">
        <v>26</v>
      </c>
      <c r="I22" s="12">
        <f t="shared" si="1"/>
        <v>130</v>
      </c>
      <c r="J22" s="12">
        <f t="shared" si="2"/>
        <v>49</v>
      </c>
      <c r="K22" s="12">
        <f t="shared" si="3"/>
        <v>45</v>
      </c>
      <c r="L22" s="12">
        <f t="shared" si="0"/>
        <v>78</v>
      </c>
      <c r="M22" s="12">
        <f t="shared" si="4"/>
        <v>3</v>
      </c>
      <c r="N22" s="12"/>
      <c r="O22" s="12"/>
      <c r="P22" s="12" t="str">
        <f t="shared" si="10"/>
        <v>rolls -5</v>
      </c>
      <c r="Q22" s="17" t="str">
        <f t="shared" si="5"/>
        <v>S00465
P008</v>
      </c>
      <c r="R22" s="12" t="b">
        <f t="shared" si="6"/>
        <v>0</v>
      </c>
      <c r="S22" s="12" t="str">
        <f t="shared" si="7"/>
        <v>436</v>
      </c>
      <c r="T22" s="12" t="str">
        <f t="shared" si="8"/>
        <v>ROLLS</v>
      </c>
      <c r="U22" s="12" t="str">
        <f t="shared" si="9"/>
        <v>rolls</v>
      </c>
      <c r="V22" s="12"/>
      <c r="W22" s="12"/>
      <c r="X22" s="12"/>
      <c r="Y22" s="12"/>
      <c r="Z22" s="12"/>
      <c r="AA22" s="12"/>
      <c r="AB22" s="12"/>
      <c r="AD22" s="34" t="s">
        <v>168</v>
      </c>
      <c r="AE22" s="40"/>
      <c r="AF22" s="34" t="s">
        <v>519</v>
      </c>
      <c r="AG22" s="34" t="s">
        <v>1928</v>
      </c>
      <c r="AH22" s="34" t="s">
        <v>1929</v>
      </c>
      <c r="AI22" s="34" t="s">
        <v>17</v>
      </c>
      <c r="AJ22" s="34" t="s">
        <v>991</v>
      </c>
      <c r="AK22" s="34">
        <v>5</v>
      </c>
      <c r="AL22" s="34" t="s">
        <v>19</v>
      </c>
      <c r="AM22" s="34">
        <v>26</v>
      </c>
    </row>
    <row r="23" spans="1:39" ht="30" x14ac:dyDescent="0.25">
      <c r="A23" s="34" t="s">
        <v>96</v>
      </c>
      <c r="B23" s="34" t="s">
        <v>1930</v>
      </c>
      <c r="C23" s="34" t="s">
        <v>1931</v>
      </c>
      <c r="D23" s="34" t="s">
        <v>489</v>
      </c>
      <c r="E23" s="34" t="s">
        <v>345</v>
      </c>
      <c r="F23" s="34">
        <v>6</v>
      </c>
      <c r="G23" s="34" t="s">
        <v>13</v>
      </c>
      <c r="H23" s="34">
        <v>21</v>
      </c>
      <c r="I23" s="12">
        <f t="shared" si="1"/>
        <v>126</v>
      </c>
      <c r="J23" s="12">
        <f t="shared" si="2"/>
        <v>53.5</v>
      </c>
      <c r="K23" s="12">
        <f t="shared" si="3"/>
        <v>49</v>
      </c>
      <c r="L23" s="12">
        <f t="shared" si="0"/>
        <v>1195.5</v>
      </c>
      <c r="M23" s="12">
        <f t="shared" si="4"/>
        <v>60</v>
      </c>
      <c r="N23" s="12" t="b">
        <f t="shared" ref="N23:N86" si="11">AND(K23&lt;50,J23&gt;10)</f>
        <v>1</v>
      </c>
      <c r="O23" s="12" t="b">
        <f t="shared" ref="O23:O86" si="12">OR(K23&lt;50,J23&gt;10)</f>
        <v>1</v>
      </c>
      <c r="P23" s="12" t="str">
        <f t="shared" si="10"/>
        <v>ct -6</v>
      </c>
      <c r="Q23" s="17" t="str">
        <f t="shared" si="5"/>
        <v>S00389
P016</v>
      </c>
      <c r="R23" s="12" t="b">
        <f t="shared" si="6"/>
        <v>0</v>
      </c>
      <c r="S23" s="12" t="str">
        <f t="shared" si="7"/>
        <v>993</v>
      </c>
      <c r="T23" s="12" t="str">
        <f t="shared" si="8"/>
        <v>CT</v>
      </c>
      <c r="U23" s="12" t="str">
        <f t="shared" si="9"/>
        <v>ct</v>
      </c>
      <c r="V23" s="12">
        <f t="shared" ref="V23:V86" si="13">SEARCH("S",E23)</f>
        <v>1</v>
      </c>
      <c r="W23" s="12" t="str">
        <f t="shared" ref="W23:W86" si="14">_xlfn.TEXTJOIN(" ",FALSE,M41,D23)</f>
        <v>33 I00146</v>
      </c>
      <c r="X23" s="12" t="str">
        <f t="shared" ref="X23:X86" si="15">SUBSTITUTE(O23,"E","I")</f>
        <v>TRUI</v>
      </c>
      <c r="Y23" s="12" t="str">
        <f t="shared" ref="Y23:Y86" si="16">LEFT(L23)</f>
        <v>1</v>
      </c>
      <c r="Z23" s="12" t="str">
        <f t="shared" ref="Z23:Z86" si="17">RIGHT(L23)</f>
        <v>5</v>
      </c>
      <c r="AA23" s="12">
        <f t="shared" ref="AA23:AA86" si="18">FIND("0",B23)</f>
        <v>2</v>
      </c>
      <c r="AB23" s="12">
        <f t="shared" ref="AB23:AB86" si="19">LEN(W23)</f>
        <v>9</v>
      </c>
      <c r="AD23" s="35" t="s">
        <v>82</v>
      </c>
    </row>
    <row r="24" spans="1:39" ht="30" x14ac:dyDescent="0.25">
      <c r="A24" s="34" t="s">
        <v>162</v>
      </c>
      <c r="B24" s="34" t="s">
        <v>1932</v>
      </c>
      <c r="C24" s="34" t="s">
        <v>1933</v>
      </c>
      <c r="D24" s="34" t="s">
        <v>1424</v>
      </c>
      <c r="E24" s="34" t="s">
        <v>1237</v>
      </c>
      <c r="F24" s="34">
        <v>3</v>
      </c>
      <c r="G24" s="34" t="s">
        <v>35</v>
      </c>
      <c r="H24" s="34">
        <v>6.75</v>
      </c>
      <c r="I24" s="12">
        <f t="shared" si="1"/>
        <v>20.25</v>
      </c>
      <c r="J24" s="12">
        <f t="shared" si="2"/>
        <v>145.5</v>
      </c>
      <c r="K24" s="12">
        <f t="shared" si="3"/>
        <v>127</v>
      </c>
      <c r="L24" s="12">
        <f t="shared" si="0"/>
        <v>435.75</v>
      </c>
      <c r="M24" s="12">
        <f t="shared" si="4"/>
        <v>33</v>
      </c>
      <c r="N24" s="12" t="b">
        <f t="shared" si="11"/>
        <v>0</v>
      </c>
      <c r="O24" s="12" t="b">
        <f t="shared" si="12"/>
        <v>1</v>
      </c>
      <c r="P24" s="12" t="str">
        <f t="shared" si="10"/>
        <v>cans -3</v>
      </c>
      <c r="Q24" s="17" t="str">
        <f t="shared" si="5"/>
        <v>S00223
P012</v>
      </c>
      <c r="R24" s="12" t="b">
        <f t="shared" si="6"/>
        <v>0</v>
      </c>
      <c r="S24" s="12" t="str">
        <f t="shared" si="7"/>
        <v>331</v>
      </c>
      <c r="T24" s="12" t="str">
        <f t="shared" si="8"/>
        <v>CANS</v>
      </c>
      <c r="U24" s="12" t="str">
        <f t="shared" si="9"/>
        <v>cans</v>
      </c>
      <c r="V24" s="12">
        <f t="shared" si="13"/>
        <v>1</v>
      </c>
      <c r="W24" s="12" t="str">
        <f t="shared" si="14"/>
        <v>33 I00026</v>
      </c>
      <c r="X24" s="12" t="str">
        <f t="shared" si="15"/>
        <v>TRUI</v>
      </c>
      <c r="Y24" s="12" t="str">
        <f t="shared" si="16"/>
        <v>4</v>
      </c>
      <c r="Z24" s="12" t="str">
        <f t="shared" si="17"/>
        <v>5</v>
      </c>
      <c r="AA24" s="12">
        <f t="shared" si="18"/>
        <v>2</v>
      </c>
      <c r="AB24" s="12">
        <f t="shared" si="19"/>
        <v>9</v>
      </c>
      <c r="AD24" s="35" t="s">
        <v>82</v>
      </c>
    </row>
    <row r="25" spans="1:39" ht="30" x14ac:dyDescent="0.25">
      <c r="A25" s="34" t="s">
        <v>459</v>
      </c>
      <c r="B25" s="34" t="s">
        <v>1934</v>
      </c>
      <c r="C25" s="34" t="s">
        <v>1935</v>
      </c>
      <c r="D25" s="34" t="s">
        <v>620</v>
      </c>
      <c r="E25" s="34" t="s">
        <v>637</v>
      </c>
      <c r="F25" s="34">
        <v>10</v>
      </c>
      <c r="G25" s="34" t="s">
        <v>13</v>
      </c>
      <c r="H25" s="34">
        <v>12</v>
      </c>
      <c r="I25" s="12">
        <f t="shared" si="1"/>
        <v>120</v>
      </c>
      <c r="J25" s="12">
        <f t="shared" si="2"/>
        <v>60</v>
      </c>
      <c r="K25" s="12">
        <f t="shared" si="3"/>
        <v>50</v>
      </c>
      <c r="L25" s="12">
        <f t="shared" si="0"/>
        <v>1195.5</v>
      </c>
      <c r="M25" s="12">
        <f t="shared" si="4"/>
        <v>60</v>
      </c>
      <c r="N25" s="12" t="b">
        <f t="shared" si="11"/>
        <v>0</v>
      </c>
      <c r="O25" s="12" t="b">
        <f t="shared" si="12"/>
        <v>1</v>
      </c>
      <c r="P25" s="12" t="str">
        <f t="shared" si="10"/>
        <v>ct -10</v>
      </c>
      <c r="Q25" s="17" t="str">
        <f t="shared" si="5"/>
        <v>S00507
P038</v>
      </c>
      <c r="R25" s="12" t="b">
        <f t="shared" si="6"/>
        <v>0</v>
      </c>
      <c r="S25" s="12" t="str">
        <f t="shared" si="7"/>
        <v>192</v>
      </c>
      <c r="T25" s="12" t="str">
        <f t="shared" si="8"/>
        <v>CT</v>
      </c>
      <c r="U25" s="12" t="str">
        <f t="shared" si="9"/>
        <v>ct</v>
      </c>
      <c r="V25" s="12">
        <f t="shared" si="13"/>
        <v>1</v>
      </c>
      <c r="W25" s="12" t="str">
        <f t="shared" si="14"/>
        <v>10 I00198</v>
      </c>
      <c r="X25" s="12" t="str">
        <f t="shared" si="15"/>
        <v>TRUI</v>
      </c>
      <c r="Y25" s="12" t="str">
        <f t="shared" si="16"/>
        <v>1</v>
      </c>
      <c r="Z25" s="12" t="str">
        <f t="shared" si="17"/>
        <v>5</v>
      </c>
      <c r="AA25" s="12">
        <f t="shared" si="18"/>
        <v>2</v>
      </c>
      <c r="AB25" s="12">
        <f t="shared" si="19"/>
        <v>9</v>
      </c>
      <c r="AD25" s="35" t="s">
        <v>137</v>
      </c>
    </row>
    <row r="26" spans="1:39" ht="30" x14ac:dyDescent="0.25">
      <c r="A26" s="34" t="s">
        <v>71</v>
      </c>
      <c r="B26" s="34" t="s">
        <v>1936</v>
      </c>
      <c r="C26" s="34" t="s">
        <v>1937</v>
      </c>
      <c r="D26" s="34" t="s">
        <v>1506</v>
      </c>
      <c r="E26" s="34" t="s">
        <v>1814</v>
      </c>
      <c r="F26" s="34">
        <v>10</v>
      </c>
      <c r="G26" s="34" t="s">
        <v>167</v>
      </c>
      <c r="H26" s="34">
        <v>19.5</v>
      </c>
      <c r="I26" s="12">
        <f t="shared" si="1"/>
        <v>195</v>
      </c>
      <c r="J26" s="12">
        <f t="shared" si="2"/>
        <v>15</v>
      </c>
      <c r="K26" s="12">
        <f t="shared" si="3"/>
        <v>15</v>
      </c>
      <c r="L26" s="12">
        <f t="shared" si="0"/>
        <v>195.5</v>
      </c>
      <c r="M26" s="12">
        <f t="shared" si="4"/>
        <v>12</v>
      </c>
      <c r="N26" s="12" t="b">
        <f t="shared" si="11"/>
        <v>1</v>
      </c>
      <c r="O26" s="12" t="b">
        <f t="shared" si="12"/>
        <v>1</v>
      </c>
      <c r="P26" s="12" t="str">
        <f t="shared" si="10"/>
        <v>oz -10</v>
      </c>
      <c r="Q26" s="17" t="str">
        <f t="shared" si="5"/>
        <v>S00489
P025</v>
      </c>
      <c r="R26" s="12" t="b">
        <f t="shared" si="6"/>
        <v>0</v>
      </c>
      <c r="S26" s="12" t="str">
        <f t="shared" si="7"/>
        <v>341</v>
      </c>
      <c r="T26" s="12" t="str">
        <f t="shared" si="8"/>
        <v>OZ</v>
      </c>
      <c r="U26" s="12" t="str">
        <f t="shared" si="9"/>
        <v>oz</v>
      </c>
      <c r="V26" s="12">
        <f t="shared" si="13"/>
        <v>1</v>
      </c>
      <c r="W26" s="12" t="str">
        <f t="shared" si="14"/>
        <v>60 I00214</v>
      </c>
      <c r="X26" s="12" t="str">
        <f t="shared" si="15"/>
        <v>TRUI</v>
      </c>
      <c r="Y26" s="12" t="str">
        <f t="shared" si="16"/>
        <v>1</v>
      </c>
      <c r="Z26" s="12" t="str">
        <f t="shared" si="17"/>
        <v>5</v>
      </c>
      <c r="AA26" s="12">
        <f t="shared" si="18"/>
        <v>2</v>
      </c>
      <c r="AB26" s="12">
        <f t="shared" si="19"/>
        <v>9</v>
      </c>
      <c r="AD26" s="35" t="s">
        <v>137</v>
      </c>
    </row>
    <row r="27" spans="1:39" ht="30" x14ac:dyDescent="0.25">
      <c r="A27" s="34" t="s">
        <v>307</v>
      </c>
      <c r="B27" s="34" t="s">
        <v>1938</v>
      </c>
      <c r="C27" s="34" t="s">
        <v>1939</v>
      </c>
      <c r="D27" s="34" t="s">
        <v>79</v>
      </c>
      <c r="E27" s="34" t="s">
        <v>1940</v>
      </c>
      <c r="F27" s="34">
        <v>8</v>
      </c>
      <c r="G27" s="34" t="s">
        <v>13</v>
      </c>
      <c r="H27" s="34">
        <v>15</v>
      </c>
      <c r="I27" s="12">
        <f t="shared" si="1"/>
        <v>120</v>
      </c>
      <c r="J27" s="12">
        <f t="shared" si="2"/>
        <v>60</v>
      </c>
      <c r="K27" s="12">
        <f t="shared" si="3"/>
        <v>49</v>
      </c>
      <c r="L27" s="12">
        <f t="shared" si="0"/>
        <v>1195.5</v>
      </c>
      <c r="M27" s="12">
        <f t="shared" si="4"/>
        <v>60</v>
      </c>
      <c r="N27" s="12" t="b">
        <f t="shared" si="11"/>
        <v>1</v>
      </c>
      <c r="O27" s="12" t="b">
        <f t="shared" si="12"/>
        <v>1</v>
      </c>
      <c r="P27" s="12" t="str">
        <f t="shared" si="10"/>
        <v>ct -8</v>
      </c>
      <c r="Q27" s="17" t="str">
        <f t="shared" si="5"/>
        <v>S00217
P031</v>
      </c>
      <c r="R27" s="12" t="b">
        <f t="shared" si="6"/>
        <v>0</v>
      </c>
      <c r="S27" s="12" t="str">
        <f t="shared" si="7"/>
        <v>745</v>
      </c>
      <c r="T27" s="12" t="str">
        <f t="shared" si="8"/>
        <v>CT</v>
      </c>
      <c r="U27" s="12" t="str">
        <f t="shared" si="9"/>
        <v>ct</v>
      </c>
      <c r="V27" s="12">
        <f t="shared" si="13"/>
        <v>1</v>
      </c>
      <c r="W27" s="12" t="str">
        <f t="shared" si="14"/>
        <v>60 I00133</v>
      </c>
      <c r="X27" s="12" t="str">
        <f t="shared" si="15"/>
        <v>TRUI</v>
      </c>
      <c r="Y27" s="12" t="str">
        <f t="shared" si="16"/>
        <v>1</v>
      </c>
      <c r="Z27" s="12" t="str">
        <f t="shared" si="17"/>
        <v>5</v>
      </c>
      <c r="AA27" s="12">
        <f t="shared" si="18"/>
        <v>2</v>
      </c>
      <c r="AB27" s="12">
        <f t="shared" si="19"/>
        <v>9</v>
      </c>
      <c r="AD27" s="35" t="s">
        <v>209</v>
      </c>
    </row>
    <row r="28" spans="1:39" ht="30" x14ac:dyDescent="0.25">
      <c r="A28" s="34" t="s">
        <v>743</v>
      </c>
      <c r="B28" s="34" t="s">
        <v>1941</v>
      </c>
      <c r="C28" s="34" t="s">
        <v>1942</v>
      </c>
      <c r="D28" s="34" t="s">
        <v>1617</v>
      </c>
      <c r="E28" s="34" t="s">
        <v>1799</v>
      </c>
      <c r="F28" s="34">
        <v>4</v>
      </c>
      <c r="G28" s="34" t="s">
        <v>13</v>
      </c>
      <c r="H28" s="34">
        <v>12</v>
      </c>
      <c r="I28" s="12">
        <f t="shared" si="1"/>
        <v>48</v>
      </c>
      <c r="J28" s="12">
        <f t="shared" si="2"/>
        <v>119.5</v>
      </c>
      <c r="K28" s="12">
        <f t="shared" si="3"/>
        <v>100</v>
      </c>
      <c r="L28" s="12">
        <f t="shared" si="0"/>
        <v>1195.5</v>
      </c>
      <c r="M28" s="12">
        <f t="shared" si="4"/>
        <v>60</v>
      </c>
      <c r="N28" s="12" t="b">
        <f t="shared" si="11"/>
        <v>0</v>
      </c>
      <c r="O28" s="12" t="b">
        <f t="shared" si="12"/>
        <v>1</v>
      </c>
      <c r="P28" s="12" t="str">
        <f t="shared" si="10"/>
        <v>ct -4</v>
      </c>
      <c r="Q28" s="17" t="str">
        <f t="shared" si="5"/>
        <v>S00445
P007</v>
      </c>
      <c r="R28" s="12" t="b">
        <f t="shared" si="6"/>
        <v>0</v>
      </c>
      <c r="S28" s="12" t="str">
        <f t="shared" si="7"/>
        <v>180</v>
      </c>
      <c r="T28" s="12" t="str">
        <f t="shared" si="8"/>
        <v>CT</v>
      </c>
      <c r="U28" s="12" t="str">
        <f t="shared" si="9"/>
        <v>ct</v>
      </c>
      <c r="V28" s="12">
        <f t="shared" si="13"/>
        <v>1</v>
      </c>
      <c r="W28" s="12" t="str">
        <f t="shared" si="14"/>
        <v>12 I00222</v>
      </c>
      <c r="X28" s="12" t="str">
        <f t="shared" si="15"/>
        <v>TRUI</v>
      </c>
      <c r="Y28" s="12" t="str">
        <f t="shared" si="16"/>
        <v>1</v>
      </c>
      <c r="Z28" s="12" t="str">
        <f t="shared" si="17"/>
        <v>5</v>
      </c>
      <c r="AA28" s="12">
        <f t="shared" si="18"/>
        <v>2</v>
      </c>
      <c r="AB28" s="12">
        <f t="shared" si="19"/>
        <v>9</v>
      </c>
      <c r="AD28" s="35" t="s">
        <v>14</v>
      </c>
    </row>
    <row r="29" spans="1:39" ht="30" x14ac:dyDescent="0.25">
      <c r="A29" s="34" t="s">
        <v>107</v>
      </c>
      <c r="B29" s="34" t="s">
        <v>1943</v>
      </c>
      <c r="C29" s="34" t="s">
        <v>1944</v>
      </c>
      <c r="D29" s="34" t="s">
        <v>592</v>
      </c>
      <c r="E29" s="34" t="s">
        <v>1488</v>
      </c>
      <c r="F29" s="34">
        <v>4</v>
      </c>
      <c r="G29" s="34" t="s">
        <v>13</v>
      </c>
      <c r="H29" s="34">
        <v>19</v>
      </c>
      <c r="I29" s="12">
        <f t="shared" si="1"/>
        <v>76</v>
      </c>
      <c r="J29" s="12">
        <f t="shared" si="2"/>
        <v>87.5</v>
      </c>
      <c r="K29" s="12">
        <f t="shared" si="3"/>
        <v>74</v>
      </c>
      <c r="L29" s="12">
        <f t="shared" si="0"/>
        <v>1195.5</v>
      </c>
      <c r="M29" s="12">
        <f t="shared" si="4"/>
        <v>60</v>
      </c>
      <c r="N29" s="12" t="b">
        <f t="shared" si="11"/>
        <v>0</v>
      </c>
      <c r="O29" s="12" t="b">
        <f t="shared" si="12"/>
        <v>1</v>
      </c>
      <c r="P29" s="12" t="str">
        <f t="shared" si="10"/>
        <v>ct -4</v>
      </c>
      <c r="Q29" s="17" t="str">
        <f t="shared" si="5"/>
        <v>S00682
P015</v>
      </c>
      <c r="R29" s="12" t="b">
        <f t="shared" si="6"/>
        <v>0</v>
      </c>
      <c r="S29" s="12" t="str">
        <f t="shared" si="7"/>
        <v>212</v>
      </c>
      <c r="T29" s="12" t="str">
        <f t="shared" si="8"/>
        <v>CT</v>
      </c>
      <c r="U29" s="12" t="str">
        <f t="shared" si="9"/>
        <v>ct</v>
      </c>
      <c r="V29" s="12">
        <f t="shared" si="13"/>
        <v>1</v>
      </c>
      <c r="W29" s="12" t="str">
        <f t="shared" si="14"/>
        <v>60 I00180</v>
      </c>
      <c r="X29" s="12" t="str">
        <f t="shared" si="15"/>
        <v>TRUI</v>
      </c>
      <c r="Y29" s="12" t="str">
        <f t="shared" si="16"/>
        <v>1</v>
      </c>
      <c r="Z29" s="12" t="str">
        <f t="shared" si="17"/>
        <v>5</v>
      </c>
      <c r="AA29" s="12">
        <f t="shared" si="18"/>
        <v>2</v>
      </c>
      <c r="AB29" s="12">
        <f t="shared" si="19"/>
        <v>9</v>
      </c>
      <c r="AD29" s="35" t="s">
        <v>71</v>
      </c>
    </row>
    <row r="30" spans="1:39" ht="30" x14ac:dyDescent="0.25">
      <c r="A30" s="34" t="s">
        <v>107</v>
      </c>
      <c r="B30" s="34" t="s">
        <v>1945</v>
      </c>
      <c r="C30" s="34" t="s">
        <v>1946</v>
      </c>
      <c r="D30" s="34" t="s">
        <v>128</v>
      </c>
      <c r="E30" s="34" t="s">
        <v>1947</v>
      </c>
      <c r="F30" s="34">
        <v>8</v>
      </c>
      <c r="G30" s="34" t="s">
        <v>106</v>
      </c>
      <c r="H30" s="34">
        <v>15</v>
      </c>
      <c r="I30" s="12">
        <f t="shared" si="1"/>
        <v>120</v>
      </c>
      <c r="J30" s="12">
        <f t="shared" si="2"/>
        <v>60</v>
      </c>
      <c r="K30" s="12">
        <f t="shared" si="3"/>
        <v>49</v>
      </c>
      <c r="L30" s="12">
        <f t="shared" si="0"/>
        <v>163</v>
      </c>
      <c r="M30" s="12">
        <f t="shared" si="4"/>
        <v>10</v>
      </c>
      <c r="N30" s="12" t="b">
        <f t="shared" si="11"/>
        <v>1</v>
      </c>
      <c r="O30" s="12" t="b">
        <f t="shared" si="12"/>
        <v>1</v>
      </c>
      <c r="P30" s="12" t="str">
        <f t="shared" si="10"/>
        <v>bags -8</v>
      </c>
      <c r="Q30" s="17" t="str">
        <f t="shared" si="5"/>
        <v>S00110
P015</v>
      </c>
      <c r="R30" s="12" t="b">
        <f t="shared" si="6"/>
        <v>0</v>
      </c>
      <c r="S30" s="12" t="str">
        <f t="shared" si="7"/>
        <v>935</v>
      </c>
      <c r="T30" s="12" t="str">
        <f t="shared" si="8"/>
        <v>BAGS</v>
      </c>
      <c r="U30" s="12" t="str">
        <f t="shared" si="9"/>
        <v>bags</v>
      </c>
      <c r="V30" s="12">
        <f t="shared" si="13"/>
        <v>1</v>
      </c>
      <c r="W30" s="12" t="str">
        <f t="shared" si="14"/>
        <v>6 I00153</v>
      </c>
      <c r="X30" s="12" t="str">
        <f t="shared" si="15"/>
        <v>TRUI</v>
      </c>
      <c r="Y30" s="12" t="str">
        <f t="shared" si="16"/>
        <v>1</v>
      </c>
      <c r="Z30" s="12" t="str">
        <f t="shared" si="17"/>
        <v>3</v>
      </c>
      <c r="AA30" s="12">
        <f t="shared" si="18"/>
        <v>2</v>
      </c>
      <c r="AB30" s="12">
        <f t="shared" si="19"/>
        <v>8</v>
      </c>
      <c r="AD30" s="35" t="s">
        <v>71</v>
      </c>
    </row>
    <row r="31" spans="1:39" ht="30" x14ac:dyDescent="0.25">
      <c r="A31" s="34" t="s">
        <v>168</v>
      </c>
      <c r="B31" s="34" t="s">
        <v>1948</v>
      </c>
      <c r="C31" s="34" t="s">
        <v>1949</v>
      </c>
      <c r="D31" s="34" t="s">
        <v>836</v>
      </c>
      <c r="E31" s="34" t="s">
        <v>1950</v>
      </c>
      <c r="F31" s="34">
        <v>3</v>
      </c>
      <c r="G31" s="34" t="s">
        <v>35</v>
      </c>
      <c r="H31" s="34">
        <v>16.25</v>
      </c>
      <c r="I31" s="12">
        <f t="shared" si="1"/>
        <v>48.75</v>
      </c>
      <c r="J31" s="12">
        <f t="shared" si="2"/>
        <v>118</v>
      </c>
      <c r="K31" s="12">
        <f t="shared" si="3"/>
        <v>97</v>
      </c>
      <c r="L31" s="12">
        <f t="shared" si="0"/>
        <v>435.75</v>
      </c>
      <c r="M31" s="12">
        <f t="shared" si="4"/>
        <v>33</v>
      </c>
      <c r="N31" s="12" t="b">
        <f t="shared" si="11"/>
        <v>0</v>
      </c>
      <c r="O31" s="12" t="b">
        <f t="shared" si="12"/>
        <v>1</v>
      </c>
      <c r="P31" s="12" t="str">
        <f t="shared" si="10"/>
        <v>cans -3</v>
      </c>
      <c r="Q31" s="17" t="str">
        <f t="shared" si="5"/>
        <v>S00208
P017</v>
      </c>
      <c r="R31" s="12" t="b">
        <f t="shared" si="6"/>
        <v>0</v>
      </c>
      <c r="S31" s="12" t="str">
        <f t="shared" si="7"/>
        <v>101</v>
      </c>
      <c r="T31" s="12" t="str">
        <f t="shared" si="8"/>
        <v>CANS</v>
      </c>
      <c r="U31" s="12" t="str">
        <f t="shared" si="9"/>
        <v>cans</v>
      </c>
      <c r="V31" s="12">
        <f t="shared" si="13"/>
        <v>1</v>
      </c>
      <c r="W31" s="12" t="str">
        <f t="shared" si="14"/>
        <v>12 I00009</v>
      </c>
      <c r="X31" s="12" t="str">
        <f t="shared" si="15"/>
        <v>TRUI</v>
      </c>
      <c r="Y31" s="12" t="str">
        <f t="shared" si="16"/>
        <v>4</v>
      </c>
      <c r="Z31" s="12" t="str">
        <f t="shared" si="17"/>
        <v>5</v>
      </c>
      <c r="AA31" s="12">
        <f t="shared" si="18"/>
        <v>2</v>
      </c>
      <c r="AB31" s="12">
        <f t="shared" si="19"/>
        <v>9</v>
      </c>
      <c r="AD31" s="35" t="s">
        <v>187</v>
      </c>
    </row>
    <row r="32" spans="1:39" ht="30" x14ac:dyDescent="0.25">
      <c r="A32" s="34" t="s">
        <v>146</v>
      </c>
      <c r="B32" s="34" t="s">
        <v>1819</v>
      </c>
      <c r="C32" s="34" t="s">
        <v>1951</v>
      </c>
      <c r="D32" s="34" t="s">
        <v>410</v>
      </c>
      <c r="E32" s="34" t="s">
        <v>1237</v>
      </c>
      <c r="F32" s="34">
        <v>5</v>
      </c>
      <c r="G32" s="34" t="s">
        <v>60</v>
      </c>
      <c r="H32" s="34">
        <v>24</v>
      </c>
      <c r="I32" s="12">
        <f t="shared" si="1"/>
        <v>120</v>
      </c>
      <c r="J32" s="12">
        <f t="shared" si="2"/>
        <v>60</v>
      </c>
      <c r="K32" s="12">
        <f t="shared" si="3"/>
        <v>49</v>
      </c>
      <c r="L32" s="12">
        <f t="shared" si="0"/>
        <v>333.5</v>
      </c>
      <c r="M32" s="12">
        <f t="shared" si="4"/>
        <v>18</v>
      </c>
      <c r="N32" s="12" t="b">
        <f t="shared" si="11"/>
        <v>1</v>
      </c>
      <c r="O32" s="12" t="b">
        <f t="shared" si="12"/>
        <v>1</v>
      </c>
      <c r="P32" s="12" t="str">
        <f t="shared" si="10"/>
        <v>bottles -5</v>
      </c>
      <c r="Q32" s="17" t="str">
        <f t="shared" si="5"/>
        <v>S00223
P010</v>
      </c>
      <c r="R32" s="12" t="b">
        <f t="shared" si="6"/>
        <v>0</v>
      </c>
      <c r="S32" s="12" t="str">
        <f t="shared" si="7"/>
        <v>976</v>
      </c>
      <c r="T32" s="12" t="str">
        <f t="shared" si="8"/>
        <v>BOTTLES</v>
      </c>
      <c r="U32" s="12" t="str">
        <f t="shared" si="9"/>
        <v>bottles</v>
      </c>
      <c r="V32" s="12">
        <f t="shared" si="13"/>
        <v>1</v>
      </c>
      <c r="W32" s="12" t="str">
        <f t="shared" si="14"/>
        <v>4 I00056</v>
      </c>
      <c r="X32" s="12" t="str">
        <f t="shared" si="15"/>
        <v>TRUI</v>
      </c>
      <c r="Y32" s="12" t="str">
        <f t="shared" si="16"/>
        <v>3</v>
      </c>
      <c r="Z32" s="12" t="str">
        <f t="shared" si="17"/>
        <v>5</v>
      </c>
      <c r="AA32" s="12">
        <f t="shared" si="18"/>
        <v>2</v>
      </c>
      <c r="AB32" s="12">
        <f t="shared" si="19"/>
        <v>8</v>
      </c>
      <c r="AD32" s="35" t="s">
        <v>187</v>
      </c>
    </row>
    <row r="33" spans="1:30" ht="30" x14ac:dyDescent="0.25">
      <c r="A33" s="34" t="s">
        <v>96</v>
      </c>
      <c r="B33" s="34" t="s">
        <v>1952</v>
      </c>
      <c r="C33" s="34" t="s">
        <v>1953</v>
      </c>
      <c r="D33" s="34" t="s">
        <v>1954</v>
      </c>
      <c r="E33" s="34" t="s">
        <v>1955</v>
      </c>
      <c r="F33" s="34">
        <v>6</v>
      </c>
      <c r="G33" s="34" t="s">
        <v>904</v>
      </c>
      <c r="H33" s="34">
        <v>20</v>
      </c>
      <c r="I33" s="12">
        <f t="shared" si="1"/>
        <v>120</v>
      </c>
      <c r="J33" s="12">
        <f t="shared" si="2"/>
        <v>60</v>
      </c>
      <c r="K33" s="12">
        <f t="shared" si="3"/>
        <v>49</v>
      </c>
      <c r="L33" s="12">
        <f t="shared" si="0"/>
        <v>55</v>
      </c>
      <c r="M33" s="12">
        <f t="shared" si="4"/>
        <v>3</v>
      </c>
      <c r="N33" s="12" t="b">
        <f t="shared" si="11"/>
        <v>1</v>
      </c>
      <c r="O33" s="12" t="b">
        <f t="shared" si="12"/>
        <v>1</v>
      </c>
      <c r="P33" s="12" t="str">
        <f t="shared" si="10"/>
        <v>bars -6</v>
      </c>
      <c r="Q33" s="17" t="str">
        <f t="shared" si="5"/>
        <v>S0024
P016</v>
      </c>
      <c r="R33" s="12" t="b">
        <f t="shared" si="6"/>
        <v>0</v>
      </c>
      <c r="S33" s="12" t="str">
        <f t="shared" si="7"/>
        <v>818</v>
      </c>
      <c r="T33" s="12" t="str">
        <f t="shared" si="8"/>
        <v>BARS</v>
      </c>
      <c r="U33" s="12" t="str">
        <f t="shared" si="9"/>
        <v>bars</v>
      </c>
      <c r="V33" s="12">
        <f t="shared" si="13"/>
        <v>1</v>
      </c>
      <c r="W33" s="12" t="str">
        <f t="shared" si="14"/>
        <v>18 I00200</v>
      </c>
      <c r="X33" s="12" t="str">
        <f t="shared" si="15"/>
        <v>TRUI</v>
      </c>
      <c r="Y33" s="12" t="str">
        <f t="shared" si="16"/>
        <v>5</v>
      </c>
      <c r="Z33" s="12" t="str">
        <f t="shared" si="17"/>
        <v>5</v>
      </c>
      <c r="AA33" s="12">
        <f t="shared" si="18"/>
        <v>2</v>
      </c>
      <c r="AB33" s="12">
        <f t="shared" si="19"/>
        <v>9</v>
      </c>
      <c r="AD33" s="35" t="s">
        <v>20</v>
      </c>
    </row>
    <row r="34" spans="1:30" ht="30" x14ac:dyDescent="0.25">
      <c r="A34" s="34" t="s">
        <v>173</v>
      </c>
      <c r="B34" s="34" t="s">
        <v>1956</v>
      </c>
      <c r="C34" s="34" t="s">
        <v>1957</v>
      </c>
      <c r="D34" s="34" t="s">
        <v>1484</v>
      </c>
      <c r="E34" s="34" t="s">
        <v>1958</v>
      </c>
      <c r="F34" s="34">
        <v>3</v>
      </c>
      <c r="G34" s="34" t="s">
        <v>13</v>
      </c>
      <c r="H34" s="34">
        <v>26</v>
      </c>
      <c r="I34" s="12">
        <f t="shared" si="1"/>
        <v>78</v>
      </c>
      <c r="J34" s="12">
        <f t="shared" si="2"/>
        <v>85.5</v>
      </c>
      <c r="K34" s="12">
        <f t="shared" si="3"/>
        <v>69</v>
      </c>
      <c r="L34" s="12">
        <f t="shared" si="0"/>
        <v>1195.5</v>
      </c>
      <c r="M34" s="12">
        <f t="shared" si="4"/>
        <v>60</v>
      </c>
      <c r="N34" s="12" t="b">
        <f t="shared" si="11"/>
        <v>0</v>
      </c>
      <c r="O34" s="12" t="b">
        <f t="shared" si="12"/>
        <v>1</v>
      </c>
      <c r="P34" s="12" t="str">
        <f t="shared" si="10"/>
        <v>ct -3</v>
      </c>
      <c r="Q34" s="17" t="str">
        <f t="shared" si="5"/>
        <v>S0083
P033</v>
      </c>
      <c r="R34" s="12" t="b">
        <f t="shared" si="6"/>
        <v>0</v>
      </c>
      <c r="S34" s="12" t="str">
        <f t="shared" si="7"/>
        <v>354</v>
      </c>
      <c r="T34" s="12" t="str">
        <f t="shared" si="8"/>
        <v>CT</v>
      </c>
      <c r="U34" s="12" t="str">
        <f t="shared" si="9"/>
        <v>ct</v>
      </c>
      <c r="V34" s="12">
        <f t="shared" si="13"/>
        <v>1</v>
      </c>
      <c r="W34" s="12" t="str">
        <f t="shared" si="14"/>
        <v>2 I00178</v>
      </c>
      <c r="X34" s="12" t="str">
        <f t="shared" si="15"/>
        <v>TRUI</v>
      </c>
      <c r="Y34" s="12" t="str">
        <f t="shared" si="16"/>
        <v>1</v>
      </c>
      <c r="Z34" s="12" t="str">
        <f t="shared" si="17"/>
        <v>5</v>
      </c>
      <c r="AA34" s="12">
        <f t="shared" si="18"/>
        <v>2</v>
      </c>
      <c r="AB34" s="12">
        <f t="shared" si="19"/>
        <v>8</v>
      </c>
      <c r="AD34" s="35" t="s">
        <v>307</v>
      </c>
    </row>
    <row r="35" spans="1:30" ht="30" x14ac:dyDescent="0.25">
      <c r="A35" s="34" t="s">
        <v>187</v>
      </c>
      <c r="B35" s="34" t="s">
        <v>1959</v>
      </c>
      <c r="C35" s="34" t="s">
        <v>1960</v>
      </c>
      <c r="D35" s="34" t="s">
        <v>1678</v>
      </c>
      <c r="E35" s="34" t="s">
        <v>1461</v>
      </c>
      <c r="F35" s="34">
        <v>2</v>
      </c>
      <c r="G35" s="34" t="s">
        <v>35</v>
      </c>
      <c r="H35" s="34">
        <v>16.25</v>
      </c>
      <c r="I35" s="12">
        <f t="shared" si="1"/>
        <v>32.5</v>
      </c>
      <c r="J35" s="12">
        <f t="shared" si="2"/>
        <v>130</v>
      </c>
      <c r="K35" s="12">
        <f t="shared" si="3"/>
        <v>104</v>
      </c>
      <c r="L35" s="12">
        <f t="shared" ref="L35:L66" si="20">SUMIF(G$3:G$166,G35,H$3:H$166)</f>
        <v>435.75</v>
      </c>
      <c r="M35" s="12">
        <f t="shared" si="4"/>
        <v>33</v>
      </c>
      <c r="N35" s="12" t="b">
        <f t="shared" si="11"/>
        <v>0</v>
      </c>
      <c r="O35" s="12" t="b">
        <f t="shared" si="12"/>
        <v>1</v>
      </c>
      <c r="P35" s="12" t="str">
        <f t="shared" si="10"/>
        <v>cans -2</v>
      </c>
      <c r="Q35" s="17" t="str">
        <f t="shared" si="5"/>
        <v>S00332
P029</v>
      </c>
      <c r="R35" s="12" t="b">
        <f t="shared" si="6"/>
        <v>0</v>
      </c>
      <c r="S35" s="12" t="str">
        <f t="shared" si="7"/>
        <v>502</v>
      </c>
      <c r="T35" s="12" t="str">
        <f t="shared" si="8"/>
        <v>CANS</v>
      </c>
      <c r="U35" s="12" t="str">
        <f t="shared" si="9"/>
        <v>cans</v>
      </c>
      <c r="V35" s="12">
        <f t="shared" si="13"/>
        <v>1</v>
      </c>
      <c r="W35" s="12" t="str">
        <f t="shared" si="14"/>
        <v>33 I00012</v>
      </c>
      <c r="X35" s="12" t="str">
        <f t="shared" si="15"/>
        <v>TRUI</v>
      </c>
      <c r="Y35" s="12" t="str">
        <f t="shared" si="16"/>
        <v>4</v>
      </c>
      <c r="Z35" s="12" t="str">
        <f t="shared" si="17"/>
        <v>5</v>
      </c>
      <c r="AA35" s="12">
        <f t="shared" si="18"/>
        <v>2</v>
      </c>
      <c r="AB35" s="12">
        <f t="shared" si="19"/>
        <v>9</v>
      </c>
      <c r="AD35" s="35" t="s">
        <v>25</v>
      </c>
    </row>
    <row r="36" spans="1:30" ht="30" x14ac:dyDescent="0.25">
      <c r="A36" s="34" t="s">
        <v>137</v>
      </c>
      <c r="B36" s="34" t="s">
        <v>1961</v>
      </c>
      <c r="C36" s="34" t="s">
        <v>1962</v>
      </c>
      <c r="D36" s="34" t="s">
        <v>1480</v>
      </c>
      <c r="E36" s="34" t="s">
        <v>1963</v>
      </c>
      <c r="F36" s="34">
        <v>11</v>
      </c>
      <c r="G36" s="34" t="s">
        <v>13</v>
      </c>
      <c r="H36" s="34">
        <v>13</v>
      </c>
      <c r="I36" s="12">
        <f t="shared" si="1"/>
        <v>143</v>
      </c>
      <c r="J36" s="12">
        <f t="shared" si="2"/>
        <v>41</v>
      </c>
      <c r="K36" s="12">
        <f t="shared" si="3"/>
        <v>37</v>
      </c>
      <c r="L36" s="12">
        <f t="shared" si="20"/>
        <v>1195.5</v>
      </c>
      <c r="M36" s="12">
        <f t="shared" si="4"/>
        <v>60</v>
      </c>
      <c r="N36" s="12" t="b">
        <f t="shared" si="11"/>
        <v>1</v>
      </c>
      <c r="O36" s="12" t="b">
        <f t="shared" si="12"/>
        <v>1</v>
      </c>
      <c r="P36" s="12" t="str">
        <f t="shared" si="10"/>
        <v>ct -11</v>
      </c>
      <c r="Q36" s="17" t="str">
        <f t="shared" si="5"/>
        <v>S0072
P020</v>
      </c>
      <c r="R36" s="12" t="b">
        <f t="shared" si="6"/>
        <v>0</v>
      </c>
      <c r="S36" s="12" t="str">
        <f t="shared" si="7"/>
        <v>187</v>
      </c>
      <c r="T36" s="12" t="str">
        <f t="shared" si="8"/>
        <v>CT</v>
      </c>
      <c r="U36" s="12" t="str">
        <f t="shared" si="9"/>
        <v>ct</v>
      </c>
      <c r="V36" s="12">
        <f t="shared" si="13"/>
        <v>1</v>
      </c>
      <c r="W36" s="12" t="str">
        <f t="shared" si="14"/>
        <v>60 I00234</v>
      </c>
      <c r="X36" s="12" t="str">
        <f t="shared" si="15"/>
        <v>TRUI</v>
      </c>
      <c r="Y36" s="12" t="str">
        <f t="shared" si="16"/>
        <v>1</v>
      </c>
      <c r="Z36" s="12" t="str">
        <f t="shared" si="17"/>
        <v>5</v>
      </c>
      <c r="AA36" s="12">
        <f t="shared" si="18"/>
        <v>2</v>
      </c>
      <c r="AB36" s="12">
        <f t="shared" si="19"/>
        <v>9</v>
      </c>
      <c r="AD36" s="35" t="s">
        <v>173</v>
      </c>
    </row>
    <row r="37" spans="1:30" ht="30" x14ac:dyDescent="0.25">
      <c r="A37" s="34" t="s">
        <v>121</v>
      </c>
      <c r="B37" s="34" t="s">
        <v>1964</v>
      </c>
      <c r="C37" s="34" t="s">
        <v>1965</v>
      </c>
      <c r="D37" s="34" t="s">
        <v>445</v>
      </c>
      <c r="E37" s="34" t="s">
        <v>1826</v>
      </c>
      <c r="F37" s="34">
        <v>6</v>
      </c>
      <c r="G37" s="34" t="s">
        <v>167</v>
      </c>
      <c r="H37" s="34">
        <v>13</v>
      </c>
      <c r="I37" s="12">
        <f t="shared" si="1"/>
        <v>78</v>
      </c>
      <c r="J37" s="12">
        <f t="shared" si="2"/>
        <v>85.5</v>
      </c>
      <c r="K37" s="12">
        <f t="shared" si="3"/>
        <v>68</v>
      </c>
      <c r="L37" s="12">
        <f t="shared" si="20"/>
        <v>195.5</v>
      </c>
      <c r="M37" s="12">
        <f t="shared" si="4"/>
        <v>12</v>
      </c>
      <c r="N37" s="12" t="b">
        <f t="shared" si="11"/>
        <v>0</v>
      </c>
      <c r="O37" s="12" t="b">
        <f t="shared" si="12"/>
        <v>1</v>
      </c>
      <c r="P37" s="12" t="str">
        <f t="shared" si="10"/>
        <v>oz -6</v>
      </c>
      <c r="Q37" s="17" t="str">
        <f t="shared" si="5"/>
        <v>S00526
P001</v>
      </c>
      <c r="R37" s="12" t="b">
        <f t="shared" si="6"/>
        <v>0</v>
      </c>
      <c r="S37" s="12" t="str">
        <f t="shared" si="7"/>
        <v>941</v>
      </c>
      <c r="T37" s="12" t="str">
        <f t="shared" si="8"/>
        <v>OZ</v>
      </c>
      <c r="U37" s="12" t="str">
        <f t="shared" si="9"/>
        <v>oz</v>
      </c>
      <c r="V37" s="12">
        <f t="shared" si="13"/>
        <v>1</v>
      </c>
      <c r="W37" s="12" t="str">
        <f t="shared" si="14"/>
        <v>12 I00254</v>
      </c>
      <c r="X37" s="12" t="str">
        <f t="shared" si="15"/>
        <v>TRUI</v>
      </c>
      <c r="Y37" s="12" t="str">
        <f t="shared" si="16"/>
        <v>1</v>
      </c>
      <c r="Z37" s="12" t="str">
        <f t="shared" si="17"/>
        <v>5</v>
      </c>
      <c r="AA37" s="12">
        <f t="shared" si="18"/>
        <v>2</v>
      </c>
      <c r="AB37" s="12">
        <f t="shared" si="19"/>
        <v>9</v>
      </c>
      <c r="AD37" s="35" t="s">
        <v>173</v>
      </c>
    </row>
    <row r="38" spans="1:30" ht="30" x14ac:dyDescent="0.25">
      <c r="A38" s="34" t="s">
        <v>20</v>
      </c>
      <c r="B38" s="34" t="s">
        <v>1966</v>
      </c>
      <c r="C38" s="34" t="s">
        <v>1967</v>
      </c>
      <c r="D38" s="34" t="s">
        <v>885</v>
      </c>
      <c r="E38" s="34" t="s">
        <v>1968</v>
      </c>
      <c r="F38" s="34">
        <v>6</v>
      </c>
      <c r="G38" s="34" t="s">
        <v>407</v>
      </c>
      <c r="H38" s="34">
        <v>16</v>
      </c>
      <c r="I38" s="12">
        <f t="shared" si="1"/>
        <v>96</v>
      </c>
      <c r="J38" s="12">
        <f t="shared" si="2"/>
        <v>74.5</v>
      </c>
      <c r="K38" s="12">
        <f t="shared" si="3"/>
        <v>59</v>
      </c>
      <c r="L38" s="12">
        <f t="shared" si="20"/>
        <v>85</v>
      </c>
      <c r="M38" s="12">
        <f t="shared" si="4"/>
        <v>5</v>
      </c>
      <c r="N38" s="12" t="b">
        <f t="shared" si="11"/>
        <v>0</v>
      </c>
      <c r="O38" s="12" t="b">
        <f t="shared" si="12"/>
        <v>1</v>
      </c>
      <c r="P38" s="12" t="str">
        <f t="shared" si="10"/>
        <v>pk -6</v>
      </c>
      <c r="Q38" s="17" t="str">
        <f t="shared" si="5"/>
        <v>S00681
P030</v>
      </c>
      <c r="R38" s="12" t="b">
        <f t="shared" si="6"/>
        <v>0</v>
      </c>
      <c r="S38" s="12" t="str">
        <f t="shared" si="7"/>
        <v>230</v>
      </c>
      <c r="T38" s="12" t="str">
        <f t="shared" si="8"/>
        <v>PK</v>
      </c>
      <c r="U38" s="12" t="str">
        <f t="shared" si="9"/>
        <v>pk</v>
      </c>
      <c r="V38" s="12">
        <f t="shared" si="13"/>
        <v>1</v>
      </c>
      <c r="W38" s="12" t="str">
        <f t="shared" si="14"/>
        <v>33 I00128</v>
      </c>
      <c r="X38" s="12" t="str">
        <f t="shared" si="15"/>
        <v>TRUI</v>
      </c>
      <c r="Y38" s="12" t="str">
        <f t="shared" si="16"/>
        <v>8</v>
      </c>
      <c r="Z38" s="12" t="str">
        <f t="shared" si="17"/>
        <v>5</v>
      </c>
      <c r="AA38" s="12">
        <f t="shared" si="18"/>
        <v>2</v>
      </c>
      <c r="AB38" s="12">
        <f t="shared" si="19"/>
        <v>9</v>
      </c>
      <c r="AD38" s="35" t="s">
        <v>224</v>
      </c>
    </row>
    <row r="39" spans="1:30" ht="30" x14ac:dyDescent="0.25">
      <c r="A39" s="34" t="s">
        <v>121</v>
      </c>
      <c r="B39" s="34" t="s">
        <v>1969</v>
      </c>
      <c r="C39" s="34" t="s">
        <v>1970</v>
      </c>
      <c r="D39" s="34" t="s">
        <v>1706</v>
      </c>
      <c r="E39" s="34" t="s">
        <v>1807</v>
      </c>
      <c r="F39" s="34">
        <v>10</v>
      </c>
      <c r="G39" s="34" t="s">
        <v>35</v>
      </c>
      <c r="H39" s="34">
        <v>16</v>
      </c>
      <c r="I39" s="12">
        <f t="shared" si="1"/>
        <v>160</v>
      </c>
      <c r="J39" s="12">
        <f t="shared" si="2"/>
        <v>25</v>
      </c>
      <c r="K39" s="12">
        <f t="shared" si="3"/>
        <v>22</v>
      </c>
      <c r="L39" s="12">
        <f t="shared" si="20"/>
        <v>435.75</v>
      </c>
      <c r="M39" s="12">
        <f t="shared" si="4"/>
        <v>33</v>
      </c>
      <c r="N39" s="12" t="b">
        <f t="shared" si="11"/>
        <v>1</v>
      </c>
      <c r="O39" s="12" t="b">
        <f t="shared" si="12"/>
        <v>1</v>
      </c>
      <c r="P39" s="12" t="str">
        <f t="shared" si="10"/>
        <v>cans -10</v>
      </c>
      <c r="Q39" s="17" t="str">
        <f t="shared" si="5"/>
        <v>S00477
P001</v>
      </c>
      <c r="R39" s="12" t="b">
        <f t="shared" si="6"/>
        <v>0</v>
      </c>
      <c r="S39" s="12" t="str">
        <f t="shared" si="7"/>
        <v>248</v>
      </c>
      <c r="T39" s="12" t="str">
        <f t="shared" si="8"/>
        <v>CANS</v>
      </c>
      <c r="U39" s="12" t="str">
        <f t="shared" si="9"/>
        <v>cans</v>
      </c>
      <c r="V39" s="12">
        <f t="shared" si="13"/>
        <v>1</v>
      </c>
      <c r="W39" s="12" t="str">
        <f t="shared" si="14"/>
        <v>18 I00031</v>
      </c>
      <c r="X39" s="12" t="str">
        <f t="shared" si="15"/>
        <v>TRUI</v>
      </c>
      <c r="Y39" s="12" t="str">
        <f t="shared" si="16"/>
        <v>4</v>
      </c>
      <c r="Z39" s="12" t="str">
        <f t="shared" si="17"/>
        <v>5</v>
      </c>
      <c r="AA39" s="12">
        <f t="shared" si="18"/>
        <v>2</v>
      </c>
      <c r="AB39" s="12">
        <f t="shared" si="19"/>
        <v>9</v>
      </c>
      <c r="AD39" s="35" t="s">
        <v>459</v>
      </c>
    </row>
    <row r="40" spans="1:30" ht="30" x14ac:dyDescent="0.25">
      <c r="A40" s="34" t="s">
        <v>71</v>
      </c>
      <c r="B40" s="34" t="s">
        <v>1971</v>
      </c>
      <c r="C40" s="34" t="s">
        <v>1972</v>
      </c>
      <c r="D40" s="34" t="s">
        <v>79</v>
      </c>
      <c r="E40" s="34" t="s">
        <v>1150</v>
      </c>
      <c r="F40" s="34">
        <v>10</v>
      </c>
      <c r="G40" s="34" t="s">
        <v>13</v>
      </c>
      <c r="H40" s="34">
        <v>15</v>
      </c>
      <c r="I40" s="12">
        <f t="shared" si="1"/>
        <v>150</v>
      </c>
      <c r="J40" s="12">
        <f t="shared" si="2"/>
        <v>34</v>
      </c>
      <c r="K40" s="12">
        <f t="shared" si="3"/>
        <v>30</v>
      </c>
      <c r="L40" s="12">
        <f t="shared" si="20"/>
        <v>1195.5</v>
      </c>
      <c r="M40" s="12">
        <f t="shared" si="4"/>
        <v>60</v>
      </c>
      <c r="N40" s="12" t="b">
        <f t="shared" si="11"/>
        <v>1</v>
      </c>
      <c r="O40" s="12" t="b">
        <f t="shared" si="12"/>
        <v>1</v>
      </c>
      <c r="P40" s="12" t="str">
        <f t="shared" si="10"/>
        <v>ct -10</v>
      </c>
      <c r="Q40" s="17" t="str">
        <f t="shared" si="5"/>
        <v>S00493
P025</v>
      </c>
      <c r="R40" s="12" t="b">
        <f t="shared" si="6"/>
        <v>0</v>
      </c>
      <c r="S40" s="12" t="str">
        <f t="shared" si="7"/>
        <v>171</v>
      </c>
      <c r="T40" s="12" t="str">
        <f t="shared" si="8"/>
        <v>CT</v>
      </c>
      <c r="U40" s="12" t="str">
        <f t="shared" si="9"/>
        <v>ct</v>
      </c>
      <c r="V40" s="12">
        <f t="shared" si="13"/>
        <v>1</v>
      </c>
      <c r="W40" s="12" t="str">
        <f t="shared" si="14"/>
        <v>10 I00133</v>
      </c>
      <c r="X40" s="12" t="str">
        <f t="shared" si="15"/>
        <v>TRUI</v>
      </c>
      <c r="Y40" s="12" t="str">
        <f t="shared" si="16"/>
        <v>1</v>
      </c>
      <c r="Z40" s="12" t="str">
        <f t="shared" si="17"/>
        <v>5</v>
      </c>
      <c r="AA40" s="12">
        <f t="shared" si="18"/>
        <v>2</v>
      </c>
      <c r="AB40" s="12">
        <f t="shared" si="19"/>
        <v>9</v>
      </c>
      <c r="AD40" s="35" t="s">
        <v>283</v>
      </c>
    </row>
    <row r="41" spans="1:30" ht="30" x14ac:dyDescent="0.25">
      <c r="A41" s="34" t="s">
        <v>283</v>
      </c>
      <c r="B41" s="34" t="s">
        <v>1973</v>
      </c>
      <c r="C41" s="34" t="s">
        <v>1974</v>
      </c>
      <c r="D41" s="34" t="s">
        <v>994</v>
      </c>
      <c r="E41" s="34" t="s">
        <v>882</v>
      </c>
      <c r="F41" s="34">
        <v>10</v>
      </c>
      <c r="G41" s="34" t="s">
        <v>35</v>
      </c>
      <c r="H41" s="34">
        <v>8</v>
      </c>
      <c r="I41" s="12">
        <f t="shared" si="1"/>
        <v>80</v>
      </c>
      <c r="J41" s="12">
        <f t="shared" si="2"/>
        <v>83</v>
      </c>
      <c r="K41" s="12">
        <f t="shared" si="3"/>
        <v>62</v>
      </c>
      <c r="L41" s="12">
        <f t="shared" si="20"/>
        <v>435.75</v>
      </c>
      <c r="M41" s="12">
        <f t="shared" si="4"/>
        <v>33</v>
      </c>
      <c r="N41" s="12" t="b">
        <f t="shared" si="11"/>
        <v>0</v>
      </c>
      <c r="O41" s="12" t="b">
        <f t="shared" si="12"/>
        <v>1</v>
      </c>
      <c r="P41" s="12" t="str">
        <f t="shared" si="10"/>
        <v>cans -10</v>
      </c>
      <c r="Q41" s="17" t="str">
        <f t="shared" si="5"/>
        <v>S00259
P039</v>
      </c>
      <c r="R41" s="12" t="b">
        <f t="shared" si="6"/>
        <v>0</v>
      </c>
      <c r="S41" s="12" t="str">
        <f t="shared" si="7"/>
        <v>394</v>
      </c>
      <c r="T41" s="12" t="str">
        <f t="shared" si="8"/>
        <v>CANS</v>
      </c>
      <c r="U41" s="12" t="str">
        <f t="shared" si="9"/>
        <v>cans</v>
      </c>
      <c r="V41" s="12">
        <f t="shared" si="13"/>
        <v>1</v>
      </c>
      <c r="W41" s="12" t="str">
        <f t="shared" si="14"/>
        <v>10 I00046</v>
      </c>
      <c r="X41" s="12" t="str">
        <f t="shared" si="15"/>
        <v>TRUI</v>
      </c>
      <c r="Y41" s="12" t="str">
        <f t="shared" si="16"/>
        <v>4</v>
      </c>
      <c r="Z41" s="12" t="str">
        <f t="shared" si="17"/>
        <v>5</v>
      </c>
      <c r="AA41" s="12">
        <f t="shared" si="18"/>
        <v>2</v>
      </c>
      <c r="AB41" s="12">
        <f t="shared" si="19"/>
        <v>9</v>
      </c>
      <c r="AD41" s="35" t="s">
        <v>283</v>
      </c>
    </row>
    <row r="42" spans="1:30" ht="30" x14ac:dyDescent="0.25">
      <c r="A42" s="34" t="s">
        <v>137</v>
      </c>
      <c r="B42" s="34" t="s">
        <v>1975</v>
      </c>
      <c r="C42" s="34" t="s">
        <v>1976</v>
      </c>
      <c r="D42" s="34" t="s">
        <v>548</v>
      </c>
      <c r="E42" s="34" t="s">
        <v>1977</v>
      </c>
      <c r="F42" s="34">
        <v>10</v>
      </c>
      <c r="G42" s="34" t="s">
        <v>35</v>
      </c>
      <c r="H42" s="34">
        <v>8</v>
      </c>
      <c r="I42" s="12">
        <f t="shared" si="1"/>
        <v>80</v>
      </c>
      <c r="J42" s="12">
        <f t="shared" si="2"/>
        <v>83</v>
      </c>
      <c r="K42" s="12">
        <f t="shared" si="3"/>
        <v>62</v>
      </c>
      <c r="L42" s="12">
        <f t="shared" si="20"/>
        <v>435.75</v>
      </c>
      <c r="M42" s="12">
        <f t="shared" si="4"/>
        <v>33</v>
      </c>
      <c r="N42" s="12" t="b">
        <f t="shared" si="11"/>
        <v>0</v>
      </c>
      <c r="O42" s="12" t="b">
        <f t="shared" si="12"/>
        <v>1</v>
      </c>
      <c r="P42" s="12" t="str">
        <f t="shared" si="10"/>
        <v>cans -10</v>
      </c>
      <c r="Q42" s="17" t="str">
        <f t="shared" si="5"/>
        <v>S00718
P020</v>
      </c>
      <c r="R42" s="12" t="b">
        <f t="shared" si="6"/>
        <v>0</v>
      </c>
      <c r="S42" s="12" t="str">
        <f t="shared" si="7"/>
        <v>112</v>
      </c>
      <c r="T42" s="12" t="str">
        <f t="shared" si="8"/>
        <v>CANS</v>
      </c>
      <c r="U42" s="12" t="str">
        <f t="shared" si="9"/>
        <v>cans</v>
      </c>
      <c r="V42" s="12">
        <f t="shared" si="13"/>
        <v>1</v>
      </c>
      <c r="W42" s="12" t="str">
        <f t="shared" si="14"/>
        <v>60 I00048</v>
      </c>
      <c r="X42" s="12" t="str">
        <f t="shared" si="15"/>
        <v>TRUI</v>
      </c>
      <c r="Y42" s="12" t="str">
        <f t="shared" si="16"/>
        <v>4</v>
      </c>
      <c r="Z42" s="12" t="str">
        <f t="shared" si="17"/>
        <v>5</v>
      </c>
      <c r="AA42" s="12">
        <f t="shared" si="18"/>
        <v>2</v>
      </c>
      <c r="AB42" s="12">
        <f t="shared" si="19"/>
        <v>9</v>
      </c>
      <c r="AD42" s="42" t="s">
        <v>283</v>
      </c>
    </row>
    <row r="43" spans="1:30" ht="30" x14ac:dyDescent="0.25">
      <c r="A43" s="34" t="s">
        <v>107</v>
      </c>
      <c r="B43" s="34" t="s">
        <v>1978</v>
      </c>
      <c r="C43" s="34" t="s">
        <v>1979</v>
      </c>
      <c r="D43" s="34" t="s">
        <v>1880</v>
      </c>
      <c r="E43" s="34" t="s">
        <v>882</v>
      </c>
      <c r="F43" s="34">
        <v>2</v>
      </c>
      <c r="G43" s="34" t="s">
        <v>106</v>
      </c>
      <c r="H43" s="34">
        <v>15</v>
      </c>
      <c r="I43" s="12">
        <f t="shared" si="1"/>
        <v>30</v>
      </c>
      <c r="J43" s="12">
        <f t="shared" si="2"/>
        <v>137.5</v>
      </c>
      <c r="K43" s="12">
        <f t="shared" si="3"/>
        <v>103</v>
      </c>
      <c r="L43" s="12">
        <f t="shared" si="20"/>
        <v>163</v>
      </c>
      <c r="M43" s="12">
        <f t="shared" si="4"/>
        <v>10</v>
      </c>
      <c r="N43" s="12" t="b">
        <f t="shared" si="11"/>
        <v>0</v>
      </c>
      <c r="O43" s="12" t="b">
        <f t="shared" si="12"/>
        <v>1</v>
      </c>
      <c r="P43" s="12" t="str">
        <f t="shared" si="10"/>
        <v>bags -2</v>
      </c>
      <c r="Q43" s="17" t="str">
        <f t="shared" si="5"/>
        <v>S00259
P015</v>
      </c>
      <c r="R43" s="12" t="b">
        <f t="shared" si="6"/>
        <v>0</v>
      </c>
      <c r="S43" s="12" t="str">
        <f t="shared" si="7"/>
        <v>912</v>
      </c>
      <c r="T43" s="12" t="str">
        <f t="shared" si="8"/>
        <v>BAGS</v>
      </c>
      <c r="U43" s="12" t="str">
        <f t="shared" si="9"/>
        <v>bags</v>
      </c>
      <c r="V43" s="12">
        <f t="shared" si="13"/>
        <v>1</v>
      </c>
      <c r="W43" s="12" t="str">
        <f t="shared" si="14"/>
        <v>18 I00152</v>
      </c>
      <c r="X43" s="12" t="str">
        <f t="shared" si="15"/>
        <v>TRUI</v>
      </c>
      <c r="Y43" s="12" t="str">
        <f t="shared" si="16"/>
        <v>1</v>
      </c>
      <c r="Z43" s="12" t="str">
        <f t="shared" si="17"/>
        <v>3</v>
      </c>
      <c r="AA43" s="12">
        <f t="shared" si="18"/>
        <v>2</v>
      </c>
      <c r="AB43" s="12">
        <f t="shared" si="19"/>
        <v>9</v>
      </c>
    </row>
    <row r="44" spans="1:30" ht="30" x14ac:dyDescent="0.25">
      <c r="A44" s="34" t="s">
        <v>162</v>
      </c>
      <c r="B44" s="34" t="s">
        <v>1980</v>
      </c>
      <c r="C44" s="34" t="s">
        <v>1981</v>
      </c>
      <c r="D44" s="34" t="s">
        <v>1139</v>
      </c>
      <c r="E44" s="34" t="s">
        <v>1982</v>
      </c>
      <c r="F44" s="34">
        <v>4</v>
      </c>
      <c r="G44" s="34" t="s">
        <v>13</v>
      </c>
      <c r="H44" s="34">
        <v>16</v>
      </c>
      <c r="I44" s="12">
        <f t="shared" si="1"/>
        <v>64</v>
      </c>
      <c r="J44" s="12">
        <f t="shared" si="2"/>
        <v>98</v>
      </c>
      <c r="K44" s="12">
        <f t="shared" si="3"/>
        <v>72</v>
      </c>
      <c r="L44" s="12">
        <f t="shared" si="20"/>
        <v>1195.5</v>
      </c>
      <c r="M44" s="12">
        <f t="shared" si="4"/>
        <v>60</v>
      </c>
      <c r="N44" s="12" t="b">
        <f t="shared" si="11"/>
        <v>0</v>
      </c>
      <c r="O44" s="12" t="b">
        <f t="shared" si="12"/>
        <v>1</v>
      </c>
      <c r="P44" s="12" t="str">
        <f t="shared" si="10"/>
        <v>ct -4</v>
      </c>
      <c r="Q44" s="17" t="str">
        <f t="shared" si="5"/>
        <v>S00241
P012</v>
      </c>
      <c r="R44" s="12" t="b">
        <f t="shared" si="6"/>
        <v>0</v>
      </c>
      <c r="S44" s="12" t="str">
        <f t="shared" si="7"/>
        <v>875</v>
      </c>
      <c r="T44" s="12" t="str">
        <f t="shared" si="8"/>
        <v>CT</v>
      </c>
      <c r="U44" s="12" t="str">
        <f t="shared" si="9"/>
        <v>ct</v>
      </c>
      <c r="V44" s="12">
        <f t="shared" si="13"/>
        <v>1</v>
      </c>
      <c r="W44" s="12" t="str">
        <f t="shared" si="14"/>
        <v>18 I00164</v>
      </c>
      <c r="X44" s="12" t="str">
        <f t="shared" si="15"/>
        <v>TRUI</v>
      </c>
      <c r="Y44" s="12" t="str">
        <f t="shared" si="16"/>
        <v>1</v>
      </c>
      <c r="Z44" s="12" t="str">
        <f t="shared" si="17"/>
        <v>5</v>
      </c>
      <c r="AA44" s="12">
        <f t="shared" si="18"/>
        <v>2</v>
      </c>
      <c r="AB44" s="12">
        <f t="shared" si="19"/>
        <v>9</v>
      </c>
    </row>
    <row r="45" spans="1:30" ht="30" x14ac:dyDescent="0.25">
      <c r="A45" s="34" t="s">
        <v>76</v>
      </c>
      <c r="B45" s="34" t="s">
        <v>1983</v>
      </c>
      <c r="C45" s="34" t="s">
        <v>1984</v>
      </c>
      <c r="D45" s="34" t="s">
        <v>628</v>
      </c>
      <c r="E45" s="34" t="s">
        <v>1319</v>
      </c>
      <c r="F45" s="34">
        <v>2</v>
      </c>
      <c r="G45" s="34" t="s">
        <v>13</v>
      </c>
      <c r="H45" s="34">
        <v>16</v>
      </c>
      <c r="I45" s="12">
        <f t="shared" si="1"/>
        <v>32</v>
      </c>
      <c r="J45" s="12">
        <f t="shared" si="2"/>
        <v>133.5</v>
      </c>
      <c r="K45" s="12">
        <f t="shared" si="3"/>
        <v>96</v>
      </c>
      <c r="L45" s="12">
        <f t="shared" si="20"/>
        <v>1195.5</v>
      </c>
      <c r="M45" s="12">
        <f t="shared" si="4"/>
        <v>60</v>
      </c>
      <c r="N45" s="12" t="b">
        <f t="shared" si="11"/>
        <v>0</v>
      </c>
      <c r="O45" s="12" t="b">
        <f t="shared" si="12"/>
        <v>1</v>
      </c>
      <c r="P45" s="12" t="str">
        <f t="shared" si="10"/>
        <v>ct -2</v>
      </c>
      <c r="Q45" s="17" t="str">
        <f t="shared" si="5"/>
        <v>S00149
P019</v>
      </c>
      <c r="R45" s="12" t="b">
        <f t="shared" si="6"/>
        <v>0</v>
      </c>
      <c r="S45" s="12" t="str">
        <f t="shared" si="7"/>
        <v>376</v>
      </c>
      <c r="T45" s="12" t="str">
        <f t="shared" si="8"/>
        <v>CT</v>
      </c>
      <c r="U45" s="12" t="str">
        <f t="shared" si="9"/>
        <v>ct</v>
      </c>
      <c r="V45" s="12">
        <f t="shared" si="13"/>
        <v>1</v>
      </c>
      <c r="W45" s="12" t="str">
        <f t="shared" si="14"/>
        <v>18 I00134</v>
      </c>
      <c r="X45" s="12" t="str">
        <f t="shared" si="15"/>
        <v>TRUI</v>
      </c>
      <c r="Y45" s="12" t="str">
        <f t="shared" si="16"/>
        <v>1</v>
      </c>
      <c r="Z45" s="12" t="str">
        <f t="shared" si="17"/>
        <v>5</v>
      </c>
      <c r="AA45" s="12">
        <f t="shared" si="18"/>
        <v>2</v>
      </c>
      <c r="AB45" s="12">
        <f t="shared" si="19"/>
        <v>9</v>
      </c>
    </row>
    <row r="46" spans="1:30" ht="30" x14ac:dyDescent="0.25">
      <c r="A46" s="34" t="s">
        <v>66</v>
      </c>
      <c r="B46" s="34" t="s">
        <v>1985</v>
      </c>
      <c r="C46" s="34" t="s">
        <v>1986</v>
      </c>
      <c r="D46" s="34" t="s">
        <v>1268</v>
      </c>
      <c r="E46" s="34" t="s">
        <v>698</v>
      </c>
      <c r="F46" s="34">
        <v>6</v>
      </c>
      <c r="G46" s="34" t="s">
        <v>167</v>
      </c>
      <c r="H46" s="34">
        <v>11</v>
      </c>
      <c r="I46" s="12">
        <f t="shared" si="1"/>
        <v>66</v>
      </c>
      <c r="J46" s="12">
        <f t="shared" si="2"/>
        <v>96.5</v>
      </c>
      <c r="K46" s="12">
        <f t="shared" si="3"/>
        <v>70</v>
      </c>
      <c r="L46" s="12">
        <f t="shared" si="20"/>
        <v>195.5</v>
      </c>
      <c r="M46" s="12">
        <f t="shared" si="4"/>
        <v>12</v>
      </c>
      <c r="N46" s="12" t="b">
        <f t="shared" si="11"/>
        <v>0</v>
      </c>
      <c r="O46" s="12" t="b">
        <f t="shared" si="12"/>
        <v>1</v>
      </c>
      <c r="P46" s="12" t="str">
        <f t="shared" si="10"/>
        <v>oz -6</v>
      </c>
      <c r="Q46" s="17" t="str">
        <f t="shared" si="5"/>
        <v>S00467
P027</v>
      </c>
      <c r="R46" s="12" t="b">
        <f t="shared" si="6"/>
        <v>0</v>
      </c>
      <c r="S46" s="12" t="str">
        <f t="shared" si="7"/>
        <v>192</v>
      </c>
      <c r="T46" s="12" t="str">
        <f t="shared" si="8"/>
        <v>OZ</v>
      </c>
      <c r="U46" s="12" t="str">
        <f t="shared" si="9"/>
        <v>oz</v>
      </c>
      <c r="V46" s="12">
        <f t="shared" si="13"/>
        <v>1</v>
      </c>
      <c r="W46" s="12" t="str">
        <f t="shared" si="14"/>
        <v>60 I00224</v>
      </c>
      <c r="X46" s="12" t="str">
        <f t="shared" si="15"/>
        <v>TRUI</v>
      </c>
      <c r="Y46" s="12" t="str">
        <f t="shared" si="16"/>
        <v>1</v>
      </c>
      <c r="Z46" s="12" t="str">
        <f t="shared" si="17"/>
        <v>5</v>
      </c>
      <c r="AA46" s="12">
        <f t="shared" si="18"/>
        <v>2</v>
      </c>
      <c r="AB46" s="12">
        <f t="shared" si="19"/>
        <v>9</v>
      </c>
    </row>
    <row r="47" spans="1:30" ht="30" x14ac:dyDescent="0.25">
      <c r="A47" s="34" t="s">
        <v>274</v>
      </c>
      <c r="B47" s="34" t="s">
        <v>1987</v>
      </c>
      <c r="C47" s="34" t="s">
        <v>1988</v>
      </c>
      <c r="D47" s="34" t="s">
        <v>1177</v>
      </c>
      <c r="E47" s="34" t="s">
        <v>852</v>
      </c>
      <c r="F47" s="34">
        <v>4</v>
      </c>
      <c r="G47" s="34" t="s">
        <v>13</v>
      </c>
      <c r="H47" s="34">
        <v>12.5</v>
      </c>
      <c r="I47" s="12">
        <f t="shared" si="1"/>
        <v>50</v>
      </c>
      <c r="J47" s="12">
        <f t="shared" si="2"/>
        <v>117</v>
      </c>
      <c r="K47" s="12">
        <f t="shared" si="3"/>
        <v>84</v>
      </c>
      <c r="L47" s="12">
        <f t="shared" si="20"/>
        <v>1195.5</v>
      </c>
      <c r="M47" s="12">
        <f t="shared" si="4"/>
        <v>60</v>
      </c>
      <c r="N47" s="12" t="b">
        <f t="shared" si="11"/>
        <v>0</v>
      </c>
      <c r="O47" s="12" t="b">
        <f t="shared" si="12"/>
        <v>1</v>
      </c>
      <c r="P47" s="12" t="str">
        <f t="shared" si="10"/>
        <v>ct -4</v>
      </c>
      <c r="Q47" s="17" t="str">
        <f t="shared" si="5"/>
        <v>S00276
P034</v>
      </c>
      <c r="R47" s="12" t="b">
        <f t="shared" si="6"/>
        <v>0</v>
      </c>
      <c r="S47" s="12" t="str">
        <f t="shared" si="7"/>
        <v>281</v>
      </c>
      <c r="T47" s="12" t="str">
        <f t="shared" si="8"/>
        <v>CT</v>
      </c>
      <c r="U47" s="12" t="str">
        <f t="shared" si="9"/>
        <v>ct</v>
      </c>
      <c r="V47" s="12">
        <f t="shared" si="13"/>
        <v>1</v>
      </c>
      <c r="W47" s="12" t="str">
        <f t="shared" si="14"/>
        <v>18 I00142</v>
      </c>
      <c r="X47" s="12" t="str">
        <f t="shared" si="15"/>
        <v>TRUI</v>
      </c>
      <c r="Y47" s="12" t="str">
        <f t="shared" si="16"/>
        <v>1</v>
      </c>
      <c r="Z47" s="12" t="str">
        <f t="shared" si="17"/>
        <v>5</v>
      </c>
      <c r="AA47" s="12">
        <f t="shared" si="18"/>
        <v>2</v>
      </c>
      <c r="AB47" s="12">
        <f t="shared" si="19"/>
        <v>9</v>
      </c>
    </row>
    <row r="48" spans="1:30" ht="30" x14ac:dyDescent="0.25">
      <c r="A48" s="34" t="s">
        <v>274</v>
      </c>
      <c r="B48" s="34" t="s">
        <v>1989</v>
      </c>
      <c r="C48" s="34" t="s">
        <v>1990</v>
      </c>
      <c r="D48" s="34" t="s">
        <v>1236</v>
      </c>
      <c r="E48" s="34" t="s">
        <v>1991</v>
      </c>
      <c r="F48" s="34">
        <v>4</v>
      </c>
      <c r="G48" s="34" t="s">
        <v>269</v>
      </c>
      <c r="H48" s="34">
        <v>12</v>
      </c>
      <c r="I48" s="12">
        <f t="shared" si="1"/>
        <v>48</v>
      </c>
      <c r="J48" s="12">
        <f t="shared" si="2"/>
        <v>119.5</v>
      </c>
      <c r="K48" s="12">
        <f t="shared" si="3"/>
        <v>84</v>
      </c>
      <c r="L48" s="12">
        <f t="shared" si="20"/>
        <v>81</v>
      </c>
      <c r="M48" s="12">
        <f t="shared" si="4"/>
        <v>6</v>
      </c>
      <c r="N48" s="12" t="b">
        <f t="shared" si="11"/>
        <v>0</v>
      </c>
      <c r="O48" s="12" t="b">
        <f t="shared" si="12"/>
        <v>1</v>
      </c>
      <c r="P48" s="12" t="str">
        <f t="shared" si="10"/>
        <v>ct. -4</v>
      </c>
      <c r="Q48" s="17" t="str">
        <f t="shared" si="5"/>
        <v>S00155
P034</v>
      </c>
      <c r="R48" s="12" t="b">
        <f t="shared" si="6"/>
        <v>0</v>
      </c>
      <c r="S48" s="12" t="str">
        <f t="shared" si="7"/>
        <v>499</v>
      </c>
      <c r="T48" s="12" t="str">
        <f t="shared" si="8"/>
        <v>CT.</v>
      </c>
      <c r="U48" s="12" t="str">
        <f t="shared" si="9"/>
        <v>ct.</v>
      </c>
      <c r="V48" s="12">
        <f t="shared" si="13"/>
        <v>1</v>
      </c>
      <c r="W48" s="12" t="str">
        <f t="shared" si="14"/>
        <v>3 I00202</v>
      </c>
      <c r="X48" s="12" t="str">
        <f t="shared" si="15"/>
        <v>TRUI</v>
      </c>
      <c r="Y48" s="12" t="str">
        <f t="shared" si="16"/>
        <v>8</v>
      </c>
      <c r="Z48" s="12" t="str">
        <f t="shared" si="17"/>
        <v>1</v>
      </c>
      <c r="AA48" s="12">
        <f t="shared" si="18"/>
        <v>2</v>
      </c>
      <c r="AB48" s="12">
        <f t="shared" si="19"/>
        <v>8</v>
      </c>
    </row>
    <row r="49" spans="1:28" ht="30" x14ac:dyDescent="0.25">
      <c r="A49" s="34" t="s">
        <v>459</v>
      </c>
      <c r="B49" s="34" t="s">
        <v>1992</v>
      </c>
      <c r="C49" s="34" t="s">
        <v>1993</v>
      </c>
      <c r="D49" s="34" t="s">
        <v>1875</v>
      </c>
      <c r="E49" s="34" t="s">
        <v>1994</v>
      </c>
      <c r="F49" s="34">
        <v>1</v>
      </c>
      <c r="G49" s="34" t="s">
        <v>167</v>
      </c>
      <c r="H49" s="34">
        <v>6</v>
      </c>
      <c r="I49" s="12">
        <f t="shared" si="1"/>
        <v>6</v>
      </c>
      <c r="J49" s="12">
        <f t="shared" si="2"/>
        <v>158</v>
      </c>
      <c r="K49" s="12">
        <f t="shared" si="3"/>
        <v>115</v>
      </c>
      <c r="L49" s="12">
        <f t="shared" si="20"/>
        <v>195.5</v>
      </c>
      <c r="M49" s="12">
        <f t="shared" si="4"/>
        <v>12</v>
      </c>
      <c r="N49" s="12" t="b">
        <f t="shared" si="11"/>
        <v>0</v>
      </c>
      <c r="O49" s="12" t="b">
        <f t="shared" si="12"/>
        <v>1</v>
      </c>
      <c r="P49" s="12" t="str">
        <f t="shared" si="10"/>
        <v>oz -1</v>
      </c>
      <c r="Q49" s="17" t="str">
        <f t="shared" si="5"/>
        <v>S0001
P038</v>
      </c>
      <c r="R49" s="12" t="b">
        <f t="shared" si="6"/>
        <v>0</v>
      </c>
      <c r="S49" s="12" t="str">
        <f t="shared" si="7"/>
        <v>308</v>
      </c>
      <c r="T49" s="12" t="str">
        <f t="shared" si="8"/>
        <v>OZ</v>
      </c>
      <c r="U49" s="12" t="str">
        <f t="shared" si="9"/>
        <v>oz</v>
      </c>
      <c r="V49" s="12">
        <f t="shared" si="13"/>
        <v>1</v>
      </c>
      <c r="W49" s="12" t="str">
        <f t="shared" si="14"/>
        <v>60 I00099</v>
      </c>
      <c r="X49" s="12" t="str">
        <f t="shared" si="15"/>
        <v>TRUI</v>
      </c>
      <c r="Y49" s="12" t="str">
        <f t="shared" si="16"/>
        <v>1</v>
      </c>
      <c r="Z49" s="12" t="str">
        <f t="shared" si="17"/>
        <v>5</v>
      </c>
      <c r="AA49" s="12">
        <f t="shared" si="18"/>
        <v>2</v>
      </c>
      <c r="AB49" s="12">
        <f t="shared" si="19"/>
        <v>9</v>
      </c>
    </row>
    <row r="50" spans="1:28" ht="30" x14ac:dyDescent="0.25">
      <c r="A50" s="34" t="s">
        <v>339</v>
      </c>
      <c r="B50" s="34" t="s">
        <v>1995</v>
      </c>
      <c r="C50" s="34" t="s">
        <v>1996</v>
      </c>
      <c r="D50" s="34" t="s">
        <v>1385</v>
      </c>
      <c r="E50" s="34" t="s">
        <v>1868</v>
      </c>
      <c r="F50" s="34">
        <v>6</v>
      </c>
      <c r="G50" s="34" t="s">
        <v>402</v>
      </c>
      <c r="H50" s="34">
        <v>16</v>
      </c>
      <c r="I50" s="12">
        <f t="shared" si="1"/>
        <v>96</v>
      </c>
      <c r="J50" s="12">
        <f t="shared" si="2"/>
        <v>74.5</v>
      </c>
      <c r="K50" s="12">
        <f t="shared" si="3"/>
        <v>57</v>
      </c>
      <c r="L50" s="12">
        <f t="shared" si="20"/>
        <v>78</v>
      </c>
      <c r="M50" s="12">
        <f t="shared" si="4"/>
        <v>4</v>
      </c>
      <c r="N50" s="12" t="b">
        <f t="shared" si="11"/>
        <v>0</v>
      </c>
      <c r="O50" s="12" t="b">
        <f t="shared" si="12"/>
        <v>1</v>
      </c>
      <c r="P50" s="12" t="str">
        <f t="shared" si="10"/>
        <v>pack -6</v>
      </c>
      <c r="Q50" s="17" t="str">
        <f t="shared" si="5"/>
        <v>S00390
P037</v>
      </c>
      <c r="R50" s="12" t="b">
        <f t="shared" si="6"/>
        <v>0</v>
      </c>
      <c r="S50" s="12" t="str">
        <f t="shared" si="7"/>
        <v>775</v>
      </c>
      <c r="T50" s="12" t="str">
        <f t="shared" si="8"/>
        <v>PACK</v>
      </c>
      <c r="U50" s="12" t="str">
        <f t="shared" si="9"/>
        <v>pack</v>
      </c>
      <c r="V50" s="12">
        <f t="shared" si="13"/>
        <v>1</v>
      </c>
      <c r="W50" s="12" t="str">
        <f t="shared" si="14"/>
        <v>60 I00249</v>
      </c>
      <c r="X50" s="12" t="str">
        <f t="shared" si="15"/>
        <v>TRUI</v>
      </c>
      <c r="Y50" s="12" t="str">
        <f t="shared" si="16"/>
        <v>7</v>
      </c>
      <c r="Z50" s="12" t="str">
        <f t="shared" si="17"/>
        <v>8</v>
      </c>
      <c r="AA50" s="12">
        <f t="shared" si="18"/>
        <v>2</v>
      </c>
      <c r="AB50" s="12">
        <f t="shared" si="19"/>
        <v>9</v>
      </c>
    </row>
    <row r="51" spans="1:28" ht="30" x14ac:dyDescent="0.25">
      <c r="A51" s="34" t="s">
        <v>209</v>
      </c>
      <c r="B51" s="34" t="s">
        <v>1997</v>
      </c>
      <c r="C51" s="34" t="s">
        <v>1998</v>
      </c>
      <c r="D51" s="34" t="s">
        <v>1774</v>
      </c>
      <c r="E51" s="34" t="s">
        <v>1999</v>
      </c>
      <c r="F51" s="34">
        <v>7</v>
      </c>
      <c r="G51" s="34" t="s">
        <v>60</v>
      </c>
      <c r="H51" s="34">
        <v>15</v>
      </c>
      <c r="I51" s="12">
        <f t="shared" si="1"/>
        <v>105</v>
      </c>
      <c r="J51" s="12">
        <f t="shared" si="2"/>
        <v>66</v>
      </c>
      <c r="K51" s="12">
        <f t="shared" si="3"/>
        <v>50</v>
      </c>
      <c r="L51" s="12">
        <f t="shared" si="20"/>
        <v>333.5</v>
      </c>
      <c r="M51" s="12">
        <f t="shared" si="4"/>
        <v>18</v>
      </c>
      <c r="N51" s="12" t="b">
        <f t="shared" si="11"/>
        <v>0</v>
      </c>
      <c r="O51" s="12" t="b">
        <f t="shared" si="12"/>
        <v>1</v>
      </c>
      <c r="P51" s="12" t="str">
        <f t="shared" si="10"/>
        <v>bottles -7</v>
      </c>
      <c r="Q51" s="17" t="str">
        <f t="shared" si="5"/>
        <v>S00268
P021</v>
      </c>
      <c r="R51" s="12" t="b">
        <f t="shared" si="6"/>
        <v>0</v>
      </c>
      <c r="S51" s="12" t="str">
        <f t="shared" si="7"/>
        <v>794</v>
      </c>
      <c r="T51" s="12" t="str">
        <f t="shared" si="8"/>
        <v>BOTTLES</v>
      </c>
      <c r="U51" s="12" t="str">
        <f t="shared" si="9"/>
        <v>bottles</v>
      </c>
      <c r="V51" s="12">
        <f t="shared" si="13"/>
        <v>1</v>
      </c>
      <c r="W51" s="12" t="str">
        <f t="shared" si="14"/>
        <v>60 I00087</v>
      </c>
      <c r="X51" s="12" t="str">
        <f t="shared" si="15"/>
        <v>TRUI</v>
      </c>
      <c r="Y51" s="12" t="str">
        <f t="shared" si="16"/>
        <v>3</v>
      </c>
      <c r="Z51" s="12" t="str">
        <f t="shared" si="17"/>
        <v>5</v>
      </c>
      <c r="AA51" s="12">
        <f t="shared" si="18"/>
        <v>2</v>
      </c>
      <c r="AB51" s="12">
        <f t="shared" si="19"/>
        <v>9</v>
      </c>
    </row>
    <row r="52" spans="1:28" ht="30" x14ac:dyDescent="0.25">
      <c r="A52" s="34" t="s">
        <v>200</v>
      </c>
      <c r="B52" s="34" t="s">
        <v>2000</v>
      </c>
      <c r="C52" s="34" t="s">
        <v>2001</v>
      </c>
      <c r="D52" s="34" t="s">
        <v>719</v>
      </c>
      <c r="E52" s="34" t="s">
        <v>538</v>
      </c>
      <c r="F52" s="34">
        <v>1</v>
      </c>
      <c r="G52" s="34" t="s">
        <v>178</v>
      </c>
      <c r="H52" s="34">
        <v>15</v>
      </c>
      <c r="I52" s="12">
        <f t="shared" si="1"/>
        <v>15</v>
      </c>
      <c r="J52" s="12">
        <f t="shared" si="2"/>
        <v>150.5</v>
      </c>
      <c r="K52" s="12">
        <f t="shared" si="3"/>
        <v>105</v>
      </c>
      <c r="L52" s="12">
        <f t="shared" si="20"/>
        <v>31</v>
      </c>
      <c r="M52" s="12">
        <f t="shared" si="4"/>
        <v>2</v>
      </c>
      <c r="N52" s="12" t="b">
        <f t="shared" si="11"/>
        <v>0</v>
      </c>
      <c r="O52" s="12" t="b">
        <f t="shared" si="12"/>
        <v>1</v>
      </c>
      <c r="P52" s="12" t="str">
        <f t="shared" si="10"/>
        <v>tubs -1</v>
      </c>
      <c r="Q52" s="17" t="str">
        <f t="shared" si="5"/>
        <v>S00289
P036</v>
      </c>
      <c r="R52" s="12" t="b">
        <f t="shared" si="6"/>
        <v>0</v>
      </c>
      <c r="S52" s="12" t="str">
        <f t="shared" si="7"/>
        <v>534</v>
      </c>
      <c r="T52" s="12" t="str">
        <f t="shared" si="8"/>
        <v>TUBS</v>
      </c>
      <c r="U52" s="12" t="str">
        <f t="shared" si="9"/>
        <v>tubs</v>
      </c>
      <c r="V52" s="12">
        <f t="shared" si="13"/>
        <v>1</v>
      </c>
      <c r="W52" s="12" t="str">
        <f t="shared" si="14"/>
        <v>33 I00101</v>
      </c>
      <c r="X52" s="12" t="str">
        <f t="shared" si="15"/>
        <v>TRUI</v>
      </c>
      <c r="Y52" s="12" t="str">
        <f t="shared" si="16"/>
        <v>3</v>
      </c>
      <c r="Z52" s="12" t="str">
        <f t="shared" si="17"/>
        <v>1</v>
      </c>
      <c r="AA52" s="12">
        <f t="shared" si="18"/>
        <v>2</v>
      </c>
      <c r="AB52" s="12">
        <f t="shared" si="19"/>
        <v>9</v>
      </c>
    </row>
    <row r="53" spans="1:28" ht="30" x14ac:dyDescent="0.25">
      <c r="A53" s="34" t="s">
        <v>76</v>
      </c>
      <c r="B53" s="34" t="s">
        <v>1885</v>
      </c>
      <c r="C53" s="34" t="s">
        <v>2002</v>
      </c>
      <c r="D53" s="34" t="s">
        <v>1424</v>
      </c>
      <c r="E53" s="34" t="s">
        <v>1866</v>
      </c>
      <c r="F53" s="34">
        <v>8</v>
      </c>
      <c r="G53" s="34" t="s">
        <v>35</v>
      </c>
      <c r="H53" s="34">
        <v>6.75</v>
      </c>
      <c r="I53" s="12">
        <f t="shared" si="1"/>
        <v>54</v>
      </c>
      <c r="J53" s="12">
        <f t="shared" si="2"/>
        <v>111.5</v>
      </c>
      <c r="K53" s="12">
        <f t="shared" si="3"/>
        <v>76</v>
      </c>
      <c r="L53" s="12">
        <f t="shared" si="20"/>
        <v>435.75</v>
      </c>
      <c r="M53" s="12">
        <f t="shared" si="4"/>
        <v>33</v>
      </c>
      <c r="N53" s="12" t="b">
        <f t="shared" si="11"/>
        <v>0</v>
      </c>
      <c r="O53" s="12" t="b">
        <f t="shared" si="12"/>
        <v>1</v>
      </c>
      <c r="P53" s="12" t="str">
        <f t="shared" si="10"/>
        <v>cans -8</v>
      </c>
      <c r="Q53" s="17" t="str">
        <f t="shared" si="5"/>
        <v>S00386
P019</v>
      </c>
      <c r="R53" s="12" t="b">
        <f t="shared" si="6"/>
        <v>0</v>
      </c>
      <c r="S53" s="12" t="str">
        <f t="shared" si="7"/>
        <v>182</v>
      </c>
      <c r="T53" s="12" t="str">
        <f t="shared" si="8"/>
        <v>CANS</v>
      </c>
      <c r="U53" s="12" t="str">
        <f t="shared" si="9"/>
        <v>cans</v>
      </c>
      <c r="V53" s="12">
        <f t="shared" si="13"/>
        <v>1</v>
      </c>
      <c r="W53" s="12" t="str">
        <f t="shared" si="14"/>
        <v>12 I00026</v>
      </c>
      <c r="X53" s="12" t="str">
        <f t="shared" si="15"/>
        <v>TRUI</v>
      </c>
      <c r="Y53" s="12" t="str">
        <f t="shared" si="16"/>
        <v>4</v>
      </c>
      <c r="Z53" s="12" t="str">
        <f t="shared" si="17"/>
        <v>5</v>
      </c>
      <c r="AA53" s="12">
        <f t="shared" si="18"/>
        <v>2</v>
      </c>
      <c r="AB53" s="12">
        <f t="shared" si="19"/>
        <v>9</v>
      </c>
    </row>
    <row r="54" spans="1:28" ht="30" x14ac:dyDescent="0.25">
      <c r="A54" s="34" t="s">
        <v>459</v>
      </c>
      <c r="B54" s="34" t="s">
        <v>1856</v>
      </c>
      <c r="C54" s="34" t="s">
        <v>2003</v>
      </c>
      <c r="D54" s="34" t="s">
        <v>741</v>
      </c>
      <c r="E54" s="34" t="s">
        <v>1982</v>
      </c>
      <c r="F54" s="34">
        <v>11</v>
      </c>
      <c r="G54" s="34" t="s">
        <v>13</v>
      </c>
      <c r="H54" s="34">
        <v>16</v>
      </c>
      <c r="I54" s="12">
        <f t="shared" si="1"/>
        <v>176</v>
      </c>
      <c r="J54" s="12">
        <f t="shared" si="2"/>
        <v>18</v>
      </c>
      <c r="K54" s="12">
        <f t="shared" si="3"/>
        <v>16</v>
      </c>
      <c r="L54" s="12">
        <f t="shared" si="20"/>
        <v>1195.5</v>
      </c>
      <c r="M54" s="12">
        <f t="shared" si="4"/>
        <v>60</v>
      </c>
      <c r="N54" s="12" t="b">
        <f t="shared" si="11"/>
        <v>1</v>
      </c>
      <c r="O54" s="12" t="b">
        <f t="shared" si="12"/>
        <v>1</v>
      </c>
      <c r="P54" s="12" t="str">
        <f t="shared" si="10"/>
        <v>ct -11</v>
      </c>
      <c r="Q54" s="17" t="str">
        <f t="shared" si="5"/>
        <v>S00241
P038</v>
      </c>
      <c r="R54" s="12" t="b">
        <f t="shared" si="6"/>
        <v>0</v>
      </c>
      <c r="S54" s="12" t="str">
        <f t="shared" si="7"/>
        <v>488</v>
      </c>
      <c r="T54" s="12" t="str">
        <f t="shared" si="8"/>
        <v>CT</v>
      </c>
      <c r="U54" s="12" t="str">
        <f t="shared" si="9"/>
        <v>ct</v>
      </c>
      <c r="V54" s="12">
        <f t="shared" si="13"/>
        <v>1</v>
      </c>
      <c r="W54" s="12" t="str">
        <f t="shared" si="14"/>
        <v>18 I00171</v>
      </c>
      <c r="X54" s="12" t="str">
        <f t="shared" si="15"/>
        <v>TRUI</v>
      </c>
      <c r="Y54" s="12" t="str">
        <f t="shared" si="16"/>
        <v>1</v>
      </c>
      <c r="Z54" s="12" t="str">
        <f t="shared" si="17"/>
        <v>5</v>
      </c>
      <c r="AA54" s="12">
        <f t="shared" si="18"/>
        <v>2</v>
      </c>
      <c r="AB54" s="12">
        <f t="shared" si="19"/>
        <v>9</v>
      </c>
    </row>
    <row r="55" spans="1:28" ht="30" x14ac:dyDescent="0.25">
      <c r="A55" s="34" t="s">
        <v>274</v>
      </c>
      <c r="B55" s="34" t="s">
        <v>2004</v>
      </c>
      <c r="C55" s="34" t="s">
        <v>2005</v>
      </c>
      <c r="D55" s="34" t="s">
        <v>465</v>
      </c>
      <c r="E55" s="34" t="s">
        <v>2006</v>
      </c>
      <c r="F55" s="34">
        <v>9</v>
      </c>
      <c r="G55" s="34" t="s">
        <v>167</v>
      </c>
      <c r="H55" s="34">
        <v>20</v>
      </c>
      <c r="I55" s="12">
        <f t="shared" si="1"/>
        <v>180</v>
      </c>
      <c r="J55" s="12">
        <f t="shared" si="2"/>
        <v>16</v>
      </c>
      <c r="K55" s="12">
        <f t="shared" si="3"/>
        <v>15</v>
      </c>
      <c r="L55" s="12">
        <f t="shared" si="20"/>
        <v>195.5</v>
      </c>
      <c r="M55" s="12">
        <f t="shared" si="4"/>
        <v>12</v>
      </c>
      <c r="N55" s="12" t="b">
        <f t="shared" si="11"/>
        <v>1</v>
      </c>
      <c r="O55" s="12" t="b">
        <f t="shared" si="12"/>
        <v>1</v>
      </c>
      <c r="P55" s="12" t="str">
        <f t="shared" si="10"/>
        <v>oz -9</v>
      </c>
      <c r="Q55" s="17" t="str">
        <f t="shared" si="5"/>
        <v>S00262
P034</v>
      </c>
      <c r="R55" s="12" t="b">
        <f t="shared" si="6"/>
        <v>0</v>
      </c>
      <c r="S55" s="12" t="str">
        <f t="shared" si="7"/>
        <v>337</v>
      </c>
      <c r="T55" s="12" t="str">
        <f t="shared" si="8"/>
        <v>OZ</v>
      </c>
      <c r="U55" s="12" t="str">
        <f t="shared" si="9"/>
        <v>oz</v>
      </c>
      <c r="V55" s="12">
        <f t="shared" si="13"/>
        <v>1</v>
      </c>
      <c r="W55" s="12" t="str">
        <f t="shared" si="14"/>
        <v>6 I00107</v>
      </c>
      <c r="X55" s="12" t="str">
        <f t="shared" si="15"/>
        <v>TRUI</v>
      </c>
      <c r="Y55" s="12" t="str">
        <f t="shared" si="16"/>
        <v>1</v>
      </c>
      <c r="Z55" s="12" t="str">
        <f t="shared" si="17"/>
        <v>5</v>
      </c>
      <c r="AA55" s="12">
        <f t="shared" si="18"/>
        <v>2</v>
      </c>
      <c r="AB55" s="12">
        <f t="shared" si="19"/>
        <v>8</v>
      </c>
    </row>
    <row r="56" spans="1:28" ht="30" x14ac:dyDescent="0.25">
      <c r="A56" s="34" t="s">
        <v>82</v>
      </c>
      <c r="B56" s="34" t="s">
        <v>1317</v>
      </c>
      <c r="C56" s="34" t="s">
        <v>2007</v>
      </c>
      <c r="D56" s="34" t="s">
        <v>1544</v>
      </c>
      <c r="E56" s="34" t="s">
        <v>1051</v>
      </c>
      <c r="F56" s="34">
        <v>8</v>
      </c>
      <c r="G56" s="34" t="s">
        <v>35</v>
      </c>
      <c r="H56" s="34">
        <v>6.75</v>
      </c>
      <c r="I56" s="12">
        <f t="shared" si="1"/>
        <v>54</v>
      </c>
      <c r="J56" s="12">
        <f t="shared" si="2"/>
        <v>111.5</v>
      </c>
      <c r="K56" s="12">
        <f t="shared" si="3"/>
        <v>74</v>
      </c>
      <c r="L56" s="12">
        <f t="shared" si="20"/>
        <v>435.75</v>
      </c>
      <c r="M56" s="12">
        <f t="shared" si="4"/>
        <v>33</v>
      </c>
      <c r="N56" s="12" t="b">
        <f t="shared" si="11"/>
        <v>0</v>
      </c>
      <c r="O56" s="12" t="b">
        <f t="shared" si="12"/>
        <v>1</v>
      </c>
      <c r="P56" s="12" t="str">
        <f t="shared" si="10"/>
        <v>cans -8</v>
      </c>
      <c r="Q56" s="17" t="str">
        <f t="shared" si="5"/>
        <v>S00586
P018</v>
      </c>
      <c r="R56" s="12" t="b">
        <f t="shared" si="6"/>
        <v>0</v>
      </c>
      <c r="S56" s="12" t="str">
        <f t="shared" si="7"/>
        <v>669</v>
      </c>
      <c r="T56" s="12" t="str">
        <f t="shared" si="8"/>
        <v>CANS</v>
      </c>
      <c r="U56" s="12" t="str">
        <f t="shared" si="9"/>
        <v>cans</v>
      </c>
      <c r="V56" s="12">
        <f t="shared" si="13"/>
        <v>1</v>
      </c>
      <c r="W56" s="12" t="str">
        <f t="shared" si="14"/>
        <v>60 I00002</v>
      </c>
      <c r="X56" s="12" t="str">
        <f t="shared" si="15"/>
        <v>TRUI</v>
      </c>
      <c r="Y56" s="12" t="str">
        <f t="shared" si="16"/>
        <v>4</v>
      </c>
      <c r="Z56" s="12" t="str">
        <f t="shared" si="17"/>
        <v>5</v>
      </c>
      <c r="AA56" s="12">
        <f t="shared" si="18"/>
        <v>2</v>
      </c>
      <c r="AB56" s="12">
        <f t="shared" si="19"/>
        <v>9</v>
      </c>
    </row>
    <row r="57" spans="1:28" ht="30" x14ac:dyDescent="0.25">
      <c r="A57" s="34" t="s">
        <v>218</v>
      </c>
      <c r="B57" s="34" t="s">
        <v>2008</v>
      </c>
      <c r="C57" s="34" t="s">
        <v>2009</v>
      </c>
      <c r="D57" s="34" t="s">
        <v>1766</v>
      </c>
      <c r="E57" s="34" t="s">
        <v>1824</v>
      </c>
      <c r="F57" s="34">
        <v>5</v>
      </c>
      <c r="G57" s="34" t="s">
        <v>60</v>
      </c>
      <c r="H57" s="34">
        <v>29</v>
      </c>
      <c r="I57" s="12">
        <f t="shared" si="1"/>
        <v>145</v>
      </c>
      <c r="J57" s="12">
        <f t="shared" si="2"/>
        <v>38</v>
      </c>
      <c r="K57" s="12">
        <f t="shared" si="3"/>
        <v>31</v>
      </c>
      <c r="L57" s="12">
        <f t="shared" si="20"/>
        <v>333.5</v>
      </c>
      <c r="M57" s="12">
        <f t="shared" si="4"/>
        <v>18</v>
      </c>
      <c r="N57" s="12" t="b">
        <f t="shared" si="11"/>
        <v>1</v>
      </c>
      <c r="O57" s="12" t="b">
        <f t="shared" si="12"/>
        <v>1</v>
      </c>
      <c r="P57" s="12" t="str">
        <f t="shared" si="10"/>
        <v>bottles -5</v>
      </c>
      <c r="Q57" s="17" t="str">
        <f t="shared" si="5"/>
        <v>S00522
P002</v>
      </c>
      <c r="R57" s="12" t="b">
        <f t="shared" si="6"/>
        <v>0</v>
      </c>
      <c r="S57" s="12" t="str">
        <f t="shared" si="7"/>
        <v>259</v>
      </c>
      <c r="T57" s="12" t="str">
        <f t="shared" si="8"/>
        <v>BOTTLES</v>
      </c>
      <c r="U57" s="12" t="str">
        <f t="shared" si="9"/>
        <v>bottles</v>
      </c>
      <c r="V57" s="12">
        <f t="shared" si="13"/>
        <v>1</v>
      </c>
      <c r="W57" s="12" t="str">
        <f t="shared" si="14"/>
        <v>5 I00081</v>
      </c>
      <c r="X57" s="12" t="str">
        <f t="shared" si="15"/>
        <v>TRUI</v>
      </c>
      <c r="Y57" s="12" t="str">
        <f t="shared" si="16"/>
        <v>3</v>
      </c>
      <c r="Z57" s="12" t="str">
        <f t="shared" si="17"/>
        <v>5</v>
      </c>
      <c r="AA57" s="12">
        <f t="shared" si="18"/>
        <v>2</v>
      </c>
      <c r="AB57" s="12">
        <f t="shared" si="19"/>
        <v>8</v>
      </c>
    </row>
    <row r="58" spans="1:28" ht="30" x14ac:dyDescent="0.25">
      <c r="A58" s="34" t="s">
        <v>359</v>
      </c>
      <c r="B58" s="34" t="s">
        <v>2010</v>
      </c>
      <c r="C58" s="34" t="s">
        <v>2011</v>
      </c>
      <c r="D58" s="34" t="s">
        <v>286</v>
      </c>
      <c r="E58" s="34" t="s">
        <v>2012</v>
      </c>
      <c r="F58" s="34">
        <v>8</v>
      </c>
      <c r="G58" s="34" t="s">
        <v>106</v>
      </c>
      <c r="H58" s="34">
        <v>16</v>
      </c>
      <c r="I58" s="12">
        <f t="shared" si="1"/>
        <v>128</v>
      </c>
      <c r="J58" s="12">
        <f t="shared" si="2"/>
        <v>51.5</v>
      </c>
      <c r="K58" s="12">
        <f t="shared" si="3"/>
        <v>40</v>
      </c>
      <c r="L58" s="12">
        <f t="shared" si="20"/>
        <v>163</v>
      </c>
      <c r="M58" s="12">
        <f t="shared" si="4"/>
        <v>10</v>
      </c>
      <c r="N58" s="12" t="b">
        <f t="shared" si="11"/>
        <v>1</v>
      </c>
      <c r="O58" s="12" t="b">
        <f t="shared" si="12"/>
        <v>1</v>
      </c>
      <c r="P58" s="12" t="str">
        <f t="shared" si="10"/>
        <v>bags -8</v>
      </c>
      <c r="Q58" s="17" t="str">
        <f t="shared" si="5"/>
        <v>S00261
P004</v>
      </c>
      <c r="R58" s="12" t="b">
        <f t="shared" si="6"/>
        <v>0</v>
      </c>
      <c r="S58" s="12" t="str">
        <f t="shared" si="7"/>
        <v>600</v>
      </c>
      <c r="T58" s="12" t="str">
        <f t="shared" si="8"/>
        <v>BAGS</v>
      </c>
      <c r="U58" s="12" t="str">
        <f t="shared" si="9"/>
        <v>bags</v>
      </c>
      <c r="V58" s="12">
        <f t="shared" si="13"/>
        <v>1</v>
      </c>
      <c r="W58" s="12" t="str">
        <f t="shared" si="14"/>
        <v>33 I00165</v>
      </c>
      <c r="X58" s="12" t="str">
        <f t="shared" si="15"/>
        <v>TRUI</v>
      </c>
      <c r="Y58" s="12" t="str">
        <f t="shared" si="16"/>
        <v>1</v>
      </c>
      <c r="Z58" s="12" t="str">
        <f t="shared" si="17"/>
        <v>3</v>
      </c>
      <c r="AA58" s="12">
        <f t="shared" si="18"/>
        <v>2</v>
      </c>
      <c r="AB58" s="12">
        <f t="shared" si="19"/>
        <v>9</v>
      </c>
    </row>
    <row r="59" spans="1:28" ht="30" x14ac:dyDescent="0.25">
      <c r="A59" s="34" t="s">
        <v>218</v>
      </c>
      <c r="B59" s="34" t="s">
        <v>2013</v>
      </c>
      <c r="C59" s="34" t="s">
        <v>2014</v>
      </c>
      <c r="D59" s="34" t="s">
        <v>1880</v>
      </c>
      <c r="E59" s="34" t="s">
        <v>1217</v>
      </c>
      <c r="F59" s="34">
        <v>1</v>
      </c>
      <c r="G59" s="34" t="s">
        <v>106</v>
      </c>
      <c r="H59" s="34">
        <v>15</v>
      </c>
      <c r="I59" s="12">
        <f t="shared" si="1"/>
        <v>15</v>
      </c>
      <c r="J59" s="12">
        <f t="shared" si="2"/>
        <v>150.5</v>
      </c>
      <c r="K59" s="12">
        <f t="shared" si="3"/>
        <v>99</v>
      </c>
      <c r="L59" s="12">
        <f t="shared" si="20"/>
        <v>163</v>
      </c>
      <c r="M59" s="12">
        <f t="shared" si="4"/>
        <v>10</v>
      </c>
      <c r="N59" s="12" t="b">
        <f t="shared" si="11"/>
        <v>0</v>
      </c>
      <c r="O59" s="12" t="b">
        <f t="shared" si="12"/>
        <v>1</v>
      </c>
      <c r="P59" s="12" t="str">
        <f t="shared" si="10"/>
        <v>bags -1</v>
      </c>
      <c r="Q59" s="17" t="str">
        <f t="shared" si="5"/>
        <v>S00230
P002</v>
      </c>
      <c r="R59" s="12" t="b">
        <f t="shared" si="6"/>
        <v>0</v>
      </c>
      <c r="S59" s="12" t="str">
        <f t="shared" si="7"/>
        <v>833</v>
      </c>
      <c r="T59" s="12" t="str">
        <f t="shared" si="8"/>
        <v>BAGS</v>
      </c>
      <c r="U59" s="12" t="str">
        <f t="shared" si="9"/>
        <v>bags</v>
      </c>
      <c r="V59" s="12">
        <f t="shared" si="13"/>
        <v>1</v>
      </c>
      <c r="W59" s="12" t="str">
        <f t="shared" si="14"/>
        <v>60 I00152</v>
      </c>
      <c r="X59" s="12" t="str">
        <f t="shared" si="15"/>
        <v>TRUI</v>
      </c>
      <c r="Y59" s="12" t="str">
        <f t="shared" si="16"/>
        <v>1</v>
      </c>
      <c r="Z59" s="12" t="str">
        <f t="shared" si="17"/>
        <v>3</v>
      </c>
      <c r="AA59" s="12">
        <f t="shared" si="18"/>
        <v>2</v>
      </c>
      <c r="AB59" s="12">
        <f t="shared" si="19"/>
        <v>9</v>
      </c>
    </row>
    <row r="60" spans="1:28" ht="30" x14ac:dyDescent="0.25">
      <c r="A60" s="34" t="s">
        <v>224</v>
      </c>
      <c r="B60" s="34" t="s">
        <v>2015</v>
      </c>
      <c r="C60" s="34" t="s">
        <v>2016</v>
      </c>
      <c r="D60" s="34" t="s">
        <v>476</v>
      </c>
      <c r="E60" s="34" t="s">
        <v>2017</v>
      </c>
      <c r="F60" s="34">
        <v>4</v>
      </c>
      <c r="G60" s="34" t="s">
        <v>13</v>
      </c>
      <c r="H60" s="34">
        <v>32</v>
      </c>
      <c r="I60" s="12">
        <f t="shared" si="1"/>
        <v>128</v>
      </c>
      <c r="J60" s="12">
        <f t="shared" si="2"/>
        <v>51.5</v>
      </c>
      <c r="K60" s="12">
        <f t="shared" si="3"/>
        <v>40</v>
      </c>
      <c r="L60" s="12">
        <f t="shared" si="20"/>
        <v>1195.5</v>
      </c>
      <c r="M60" s="12">
        <f t="shared" si="4"/>
        <v>60</v>
      </c>
      <c r="N60" s="12" t="b">
        <f t="shared" si="11"/>
        <v>1</v>
      </c>
      <c r="O60" s="12" t="b">
        <f t="shared" si="12"/>
        <v>1</v>
      </c>
      <c r="P60" s="12" t="str">
        <f t="shared" si="10"/>
        <v>ct -4</v>
      </c>
      <c r="Q60" s="17" t="str">
        <f t="shared" si="5"/>
        <v>S0078
P035</v>
      </c>
      <c r="R60" s="12" t="b">
        <f t="shared" si="6"/>
        <v>0</v>
      </c>
      <c r="S60" s="12" t="str">
        <f t="shared" si="7"/>
        <v>509</v>
      </c>
      <c r="T60" s="12" t="str">
        <f t="shared" si="8"/>
        <v>CT</v>
      </c>
      <c r="U60" s="12" t="str">
        <f t="shared" si="9"/>
        <v>ct</v>
      </c>
      <c r="V60" s="12">
        <f t="shared" si="13"/>
        <v>1</v>
      </c>
      <c r="W60" s="12" t="str">
        <f t="shared" si="14"/>
        <v>2 I00138</v>
      </c>
      <c r="X60" s="12" t="str">
        <f t="shared" si="15"/>
        <v>TRUI</v>
      </c>
      <c r="Y60" s="12" t="str">
        <f t="shared" si="16"/>
        <v>1</v>
      </c>
      <c r="Z60" s="12" t="str">
        <f t="shared" si="17"/>
        <v>5</v>
      </c>
      <c r="AA60" s="12">
        <f t="shared" si="18"/>
        <v>2</v>
      </c>
      <c r="AB60" s="12">
        <f t="shared" si="19"/>
        <v>8</v>
      </c>
    </row>
    <row r="61" spans="1:28" ht="30" x14ac:dyDescent="0.25">
      <c r="A61" s="34" t="s">
        <v>743</v>
      </c>
      <c r="B61" s="34" t="s">
        <v>2018</v>
      </c>
      <c r="C61" s="34" t="s">
        <v>2019</v>
      </c>
      <c r="D61" s="34" t="s">
        <v>198</v>
      </c>
      <c r="E61" s="34" t="s">
        <v>1940</v>
      </c>
      <c r="F61" s="34">
        <v>8</v>
      </c>
      <c r="G61" s="34" t="s">
        <v>60</v>
      </c>
      <c r="H61" s="34">
        <v>20</v>
      </c>
      <c r="I61" s="12">
        <f t="shared" si="1"/>
        <v>160</v>
      </c>
      <c r="J61" s="12">
        <f t="shared" si="2"/>
        <v>25</v>
      </c>
      <c r="K61" s="12">
        <f t="shared" si="3"/>
        <v>20</v>
      </c>
      <c r="L61" s="12">
        <f t="shared" si="20"/>
        <v>333.5</v>
      </c>
      <c r="M61" s="12">
        <f t="shared" si="4"/>
        <v>18</v>
      </c>
      <c r="N61" s="12" t="b">
        <f t="shared" si="11"/>
        <v>1</v>
      </c>
      <c r="O61" s="12" t="b">
        <f t="shared" si="12"/>
        <v>1</v>
      </c>
      <c r="P61" s="12" t="str">
        <f t="shared" si="10"/>
        <v>bottles -8</v>
      </c>
      <c r="Q61" s="17" t="str">
        <f t="shared" si="5"/>
        <v>S00217
P007</v>
      </c>
      <c r="R61" s="12" t="b">
        <f t="shared" si="6"/>
        <v>0</v>
      </c>
      <c r="S61" s="12" t="str">
        <f t="shared" si="7"/>
        <v>748</v>
      </c>
      <c r="T61" s="12" t="str">
        <f t="shared" si="8"/>
        <v>BOTTLES</v>
      </c>
      <c r="U61" s="12" t="str">
        <f t="shared" si="9"/>
        <v>bottles</v>
      </c>
      <c r="V61" s="12">
        <f t="shared" si="13"/>
        <v>1</v>
      </c>
      <c r="W61" s="12" t="str">
        <f t="shared" si="14"/>
        <v>60 I00068</v>
      </c>
      <c r="X61" s="12" t="str">
        <f t="shared" si="15"/>
        <v>TRUI</v>
      </c>
      <c r="Y61" s="12" t="str">
        <f t="shared" si="16"/>
        <v>3</v>
      </c>
      <c r="Z61" s="12" t="str">
        <f t="shared" si="17"/>
        <v>5</v>
      </c>
      <c r="AA61" s="12">
        <f t="shared" si="18"/>
        <v>2</v>
      </c>
      <c r="AB61" s="12">
        <f t="shared" si="19"/>
        <v>9</v>
      </c>
    </row>
    <row r="62" spans="1:28" ht="30" x14ac:dyDescent="0.25">
      <c r="A62" s="34" t="s">
        <v>218</v>
      </c>
      <c r="B62" s="34" t="s">
        <v>2020</v>
      </c>
      <c r="C62" s="34" t="s">
        <v>2021</v>
      </c>
      <c r="D62" s="34" t="s">
        <v>1250</v>
      </c>
      <c r="E62" s="34" t="s">
        <v>141</v>
      </c>
      <c r="F62" s="34">
        <v>8</v>
      </c>
      <c r="G62" s="34" t="s">
        <v>60</v>
      </c>
      <c r="H62" s="34">
        <v>18</v>
      </c>
      <c r="I62" s="12">
        <f t="shared" si="1"/>
        <v>144</v>
      </c>
      <c r="J62" s="12">
        <f t="shared" si="2"/>
        <v>39.5</v>
      </c>
      <c r="K62" s="12">
        <f t="shared" si="3"/>
        <v>30</v>
      </c>
      <c r="L62" s="12">
        <f t="shared" si="20"/>
        <v>333.5</v>
      </c>
      <c r="M62" s="12">
        <f t="shared" si="4"/>
        <v>18</v>
      </c>
      <c r="N62" s="12" t="b">
        <f t="shared" si="11"/>
        <v>1</v>
      </c>
      <c r="O62" s="12" t="b">
        <f t="shared" si="12"/>
        <v>1</v>
      </c>
      <c r="P62" s="12" t="str">
        <f t="shared" si="10"/>
        <v>bottles -8</v>
      </c>
      <c r="Q62" s="17" t="str">
        <f t="shared" si="5"/>
        <v>S00172
P002</v>
      </c>
      <c r="R62" s="12" t="b">
        <f t="shared" si="6"/>
        <v>0</v>
      </c>
      <c r="S62" s="12" t="str">
        <f t="shared" si="7"/>
        <v>100</v>
      </c>
      <c r="T62" s="12" t="str">
        <f t="shared" si="8"/>
        <v>BOTTLES</v>
      </c>
      <c r="U62" s="12" t="str">
        <f t="shared" si="9"/>
        <v>bottles</v>
      </c>
      <c r="V62" s="12">
        <f t="shared" si="13"/>
        <v>1</v>
      </c>
      <c r="W62" s="12" t="str">
        <f t="shared" si="14"/>
        <v>60 I00085</v>
      </c>
      <c r="X62" s="12" t="str">
        <f t="shared" si="15"/>
        <v>TRUI</v>
      </c>
      <c r="Y62" s="12" t="str">
        <f t="shared" si="16"/>
        <v>3</v>
      </c>
      <c r="Z62" s="12" t="str">
        <f t="shared" si="17"/>
        <v>5</v>
      </c>
      <c r="AA62" s="12">
        <f t="shared" si="18"/>
        <v>2</v>
      </c>
      <c r="AB62" s="12">
        <f t="shared" si="19"/>
        <v>9</v>
      </c>
    </row>
    <row r="63" spans="1:28" ht="30" x14ac:dyDescent="0.25">
      <c r="A63" s="34" t="s">
        <v>274</v>
      </c>
      <c r="B63" s="34" t="s">
        <v>2022</v>
      </c>
      <c r="C63" s="34" t="s">
        <v>2023</v>
      </c>
      <c r="D63" s="34" t="s">
        <v>1752</v>
      </c>
      <c r="E63" s="34" t="s">
        <v>1801</v>
      </c>
      <c r="F63" s="34">
        <v>6</v>
      </c>
      <c r="G63" s="34" t="s">
        <v>60</v>
      </c>
      <c r="H63" s="34">
        <v>17.5</v>
      </c>
      <c r="I63" s="12">
        <f t="shared" si="1"/>
        <v>105</v>
      </c>
      <c r="J63" s="12">
        <f t="shared" si="2"/>
        <v>66</v>
      </c>
      <c r="K63" s="12">
        <f t="shared" si="3"/>
        <v>43</v>
      </c>
      <c r="L63" s="12">
        <f t="shared" si="20"/>
        <v>333.5</v>
      </c>
      <c r="M63" s="12">
        <f t="shared" si="4"/>
        <v>18</v>
      </c>
      <c r="N63" s="12" t="b">
        <f t="shared" si="11"/>
        <v>1</v>
      </c>
      <c r="O63" s="12" t="b">
        <f t="shared" si="12"/>
        <v>1</v>
      </c>
      <c r="P63" s="12" t="str">
        <f t="shared" si="10"/>
        <v>bottles -6</v>
      </c>
      <c r="Q63" s="17" t="str">
        <f t="shared" si="5"/>
        <v>S00448
P034</v>
      </c>
      <c r="R63" s="12" t="b">
        <f t="shared" si="6"/>
        <v>0</v>
      </c>
      <c r="S63" s="12" t="str">
        <f t="shared" si="7"/>
        <v>411</v>
      </c>
      <c r="T63" s="12" t="str">
        <f t="shared" si="8"/>
        <v>BOTTLES</v>
      </c>
      <c r="U63" s="12" t="str">
        <f t="shared" si="9"/>
        <v>bottles</v>
      </c>
      <c r="V63" s="12">
        <f t="shared" si="13"/>
        <v>1</v>
      </c>
      <c r="W63" s="12" t="str">
        <f t="shared" si="14"/>
        <v>18 I00070</v>
      </c>
      <c r="X63" s="12" t="str">
        <f t="shared" si="15"/>
        <v>TRUI</v>
      </c>
      <c r="Y63" s="12" t="str">
        <f t="shared" si="16"/>
        <v>3</v>
      </c>
      <c r="Z63" s="12" t="str">
        <f t="shared" si="17"/>
        <v>5</v>
      </c>
      <c r="AA63" s="12">
        <f t="shared" si="18"/>
        <v>2</v>
      </c>
      <c r="AB63" s="12">
        <f t="shared" si="19"/>
        <v>9</v>
      </c>
    </row>
    <row r="64" spans="1:28" ht="30" x14ac:dyDescent="0.25">
      <c r="A64" s="34" t="s">
        <v>162</v>
      </c>
      <c r="B64" s="34" t="s">
        <v>2024</v>
      </c>
      <c r="C64" s="34" t="s">
        <v>2025</v>
      </c>
      <c r="D64" s="34" t="s">
        <v>476</v>
      </c>
      <c r="E64" s="34" t="s">
        <v>2026</v>
      </c>
      <c r="F64" s="34">
        <v>3</v>
      </c>
      <c r="G64" s="34" t="s">
        <v>13</v>
      </c>
      <c r="H64" s="34">
        <v>32</v>
      </c>
      <c r="I64" s="12">
        <f t="shared" si="1"/>
        <v>96</v>
      </c>
      <c r="J64" s="12">
        <f t="shared" si="2"/>
        <v>74.5</v>
      </c>
      <c r="K64" s="12">
        <f t="shared" si="3"/>
        <v>48</v>
      </c>
      <c r="L64" s="12">
        <f t="shared" si="20"/>
        <v>1195.5</v>
      </c>
      <c r="M64" s="12">
        <f t="shared" si="4"/>
        <v>60</v>
      </c>
      <c r="N64" s="12" t="b">
        <f t="shared" si="11"/>
        <v>1</v>
      </c>
      <c r="O64" s="12" t="b">
        <f t="shared" si="12"/>
        <v>1</v>
      </c>
      <c r="P64" s="12" t="str">
        <f t="shared" si="10"/>
        <v>ct -3</v>
      </c>
      <c r="Q64" s="17" t="str">
        <f t="shared" si="5"/>
        <v>S00130
P012</v>
      </c>
      <c r="R64" s="12" t="b">
        <f t="shared" si="6"/>
        <v>0</v>
      </c>
      <c r="S64" s="12" t="str">
        <f t="shared" si="7"/>
        <v>300</v>
      </c>
      <c r="T64" s="12" t="str">
        <f t="shared" si="8"/>
        <v>CT</v>
      </c>
      <c r="U64" s="12" t="str">
        <f t="shared" si="9"/>
        <v>ct</v>
      </c>
      <c r="V64" s="12">
        <f t="shared" si="13"/>
        <v>1</v>
      </c>
      <c r="W64" s="12" t="str">
        <f t="shared" si="14"/>
        <v>6 I00138</v>
      </c>
      <c r="X64" s="12" t="str">
        <f t="shared" si="15"/>
        <v>TRUI</v>
      </c>
      <c r="Y64" s="12" t="str">
        <f t="shared" si="16"/>
        <v>1</v>
      </c>
      <c r="Z64" s="12" t="str">
        <f t="shared" si="17"/>
        <v>5</v>
      </c>
      <c r="AA64" s="12">
        <f t="shared" si="18"/>
        <v>2</v>
      </c>
      <c r="AB64" s="12">
        <f t="shared" si="19"/>
        <v>8</v>
      </c>
    </row>
    <row r="65" spans="1:28" ht="30" x14ac:dyDescent="0.25">
      <c r="A65" s="34" t="s">
        <v>76</v>
      </c>
      <c r="B65" s="34" t="s">
        <v>1835</v>
      </c>
      <c r="C65" s="34" t="s">
        <v>2027</v>
      </c>
      <c r="D65" s="34" t="s">
        <v>58</v>
      </c>
      <c r="E65" s="34" t="s">
        <v>2028</v>
      </c>
      <c r="F65" s="34">
        <v>6</v>
      </c>
      <c r="G65" s="34" t="s">
        <v>60</v>
      </c>
      <c r="H65" s="34">
        <v>22</v>
      </c>
      <c r="I65" s="12">
        <f t="shared" si="1"/>
        <v>132</v>
      </c>
      <c r="J65" s="12">
        <f t="shared" si="2"/>
        <v>46.5</v>
      </c>
      <c r="K65" s="12">
        <f t="shared" si="3"/>
        <v>34</v>
      </c>
      <c r="L65" s="12">
        <f t="shared" si="20"/>
        <v>333.5</v>
      </c>
      <c r="M65" s="12">
        <f t="shared" si="4"/>
        <v>18</v>
      </c>
      <c r="N65" s="12" t="b">
        <f t="shared" si="11"/>
        <v>1</v>
      </c>
      <c r="O65" s="12" t="b">
        <f t="shared" si="12"/>
        <v>1</v>
      </c>
      <c r="P65" s="12" t="str">
        <f t="shared" si="10"/>
        <v>bottles -6</v>
      </c>
      <c r="Q65" s="17" t="str">
        <f t="shared" si="5"/>
        <v>S00266
P019</v>
      </c>
      <c r="R65" s="12" t="b">
        <f t="shared" si="6"/>
        <v>0</v>
      </c>
      <c r="S65" s="12" t="str">
        <f t="shared" si="7"/>
        <v>276</v>
      </c>
      <c r="T65" s="12" t="str">
        <f t="shared" si="8"/>
        <v>BOTTLES</v>
      </c>
      <c r="U65" s="12" t="str">
        <f t="shared" si="9"/>
        <v>bottles</v>
      </c>
      <c r="V65" s="12">
        <f t="shared" si="13"/>
        <v>1</v>
      </c>
      <c r="W65" s="12" t="str">
        <f t="shared" si="14"/>
        <v>33 I00058</v>
      </c>
      <c r="X65" s="12" t="str">
        <f t="shared" si="15"/>
        <v>TRUI</v>
      </c>
      <c r="Y65" s="12" t="str">
        <f t="shared" si="16"/>
        <v>3</v>
      </c>
      <c r="Z65" s="12" t="str">
        <f t="shared" si="17"/>
        <v>5</v>
      </c>
      <c r="AA65" s="12">
        <f t="shared" si="18"/>
        <v>2</v>
      </c>
      <c r="AB65" s="12">
        <f t="shared" si="19"/>
        <v>9</v>
      </c>
    </row>
    <row r="66" spans="1:28" ht="30" x14ac:dyDescent="0.25">
      <c r="A66" s="34" t="s">
        <v>96</v>
      </c>
      <c r="B66" s="34" t="s">
        <v>2029</v>
      </c>
      <c r="C66" s="34" t="s">
        <v>2030</v>
      </c>
      <c r="D66" s="34" t="s">
        <v>668</v>
      </c>
      <c r="E66" s="34" t="s">
        <v>1831</v>
      </c>
      <c r="F66" s="34">
        <v>1</v>
      </c>
      <c r="G66" s="34" t="s">
        <v>19</v>
      </c>
      <c r="H66" s="34">
        <v>26</v>
      </c>
      <c r="I66" s="12">
        <f t="shared" si="1"/>
        <v>26</v>
      </c>
      <c r="J66" s="12">
        <f t="shared" si="2"/>
        <v>140</v>
      </c>
      <c r="K66" s="12">
        <f t="shared" si="3"/>
        <v>84</v>
      </c>
      <c r="L66" s="12">
        <f t="shared" si="20"/>
        <v>78</v>
      </c>
      <c r="M66" s="12">
        <f t="shared" si="4"/>
        <v>3</v>
      </c>
      <c r="N66" s="12" t="b">
        <f t="shared" si="11"/>
        <v>0</v>
      </c>
      <c r="O66" s="12" t="b">
        <f t="shared" si="12"/>
        <v>1</v>
      </c>
      <c r="P66" s="12" t="str">
        <f t="shared" si="10"/>
        <v>rolls -1</v>
      </c>
      <c r="Q66" s="17" t="str">
        <f t="shared" si="5"/>
        <v>S00542
P016</v>
      </c>
      <c r="R66" s="12" t="b">
        <f t="shared" si="6"/>
        <v>0</v>
      </c>
      <c r="S66" s="12" t="str">
        <f t="shared" si="7"/>
        <v>976</v>
      </c>
      <c r="T66" s="12" t="str">
        <f t="shared" si="8"/>
        <v>ROLLS</v>
      </c>
      <c r="U66" s="12" t="str">
        <f t="shared" si="9"/>
        <v>rolls</v>
      </c>
      <c r="V66" s="12">
        <f t="shared" si="13"/>
        <v>1</v>
      </c>
      <c r="W66" s="12" t="str">
        <f t="shared" si="14"/>
        <v>60 I00245</v>
      </c>
      <c r="X66" s="12" t="str">
        <f t="shared" si="15"/>
        <v>TRUI</v>
      </c>
      <c r="Y66" s="12" t="str">
        <f t="shared" si="16"/>
        <v>7</v>
      </c>
      <c r="Z66" s="12" t="str">
        <f t="shared" si="17"/>
        <v>8</v>
      </c>
      <c r="AA66" s="12">
        <f t="shared" si="18"/>
        <v>2</v>
      </c>
      <c r="AB66" s="12">
        <f t="shared" si="19"/>
        <v>9</v>
      </c>
    </row>
    <row r="67" spans="1:28" ht="30" x14ac:dyDescent="0.25">
      <c r="A67" s="34" t="s">
        <v>137</v>
      </c>
      <c r="B67" s="34" t="s">
        <v>2031</v>
      </c>
      <c r="C67" s="34" t="s">
        <v>2032</v>
      </c>
      <c r="D67" s="34" t="s">
        <v>956</v>
      </c>
      <c r="E67" s="34" t="s">
        <v>1869</v>
      </c>
      <c r="F67" s="34">
        <v>7</v>
      </c>
      <c r="G67" s="34" t="s">
        <v>13</v>
      </c>
      <c r="H67" s="34">
        <v>12</v>
      </c>
      <c r="I67" s="12">
        <f t="shared" si="1"/>
        <v>84</v>
      </c>
      <c r="J67" s="12">
        <f t="shared" si="2"/>
        <v>80.5</v>
      </c>
      <c r="K67" s="12">
        <f t="shared" si="3"/>
        <v>49</v>
      </c>
      <c r="L67" s="12">
        <f t="shared" ref="L67:L98" si="21">SUMIF(G$3:G$166,G67,H$3:H$166)</f>
        <v>1195.5</v>
      </c>
      <c r="M67" s="12">
        <f t="shared" si="4"/>
        <v>60</v>
      </c>
      <c r="N67" s="12" t="b">
        <f t="shared" si="11"/>
        <v>1</v>
      </c>
      <c r="O67" s="12" t="b">
        <f t="shared" si="12"/>
        <v>1</v>
      </c>
      <c r="P67" s="12" t="str">
        <f t="shared" si="10"/>
        <v>ct -7</v>
      </c>
      <c r="Q67" s="17" t="str">
        <f t="shared" si="5"/>
        <v>S00398
P020</v>
      </c>
      <c r="R67" s="12" t="b">
        <f t="shared" si="6"/>
        <v>0</v>
      </c>
      <c r="S67" s="12" t="str">
        <f t="shared" si="7"/>
        <v>621</v>
      </c>
      <c r="T67" s="12" t="str">
        <f t="shared" si="8"/>
        <v>CT</v>
      </c>
      <c r="U67" s="12" t="str">
        <f t="shared" si="9"/>
        <v>ct</v>
      </c>
      <c r="V67" s="12">
        <f t="shared" si="13"/>
        <v>1</v>
      </c>
      <c r="W67" s="12" t="str">
        <f t="shared" si="14"/>
        <v>33 I00184</v>
      </c>
      <c r="X67" s="12" t="str">
        <f t="shared" si="15"/>
        <v>TRUI</v>
      </c>
      <c r="Y67" s="12" t="str">
        <f t="shared" si="16"/>
        <v>1</v>
      </c>
      <c r="Z67" s="12" t="str">
        <f t="shared" si="17"/>
        <v>5</v>
      </c>
      <c r="AA67" s="12">
        <f t="shared" si="18"/>
        <v>2</v>
      </c>
      <c r="AB67" s="12">
        <f t="shared" si="19"/>
        <v>9</v>
      </c>
    </row>
    <row r="68" spans="1:28" ht="30" x14ac:dyDescent="0.25">
      <c r="A68" s="34" t="s">
        <v>187</v>
      </c>
      <c r="B68" s="34" t="s">
        <v>2033</v>
      </c>
      <c r="C68" s="34" t="s">
        <v>2034</v>
      </c>
      <c r="D68" s="34" t="s">
        <v>23</v>
      </c>
      <c r="E68" s="34" t="s">
        <v>903</v>
      </c>
      <c r="F68" s="34">
        <v>7</v>
      </c>
      <c r="G68" s="34" t="s">
        <v>13</v>
      </c>
      <c r="H68" s="34">
        <v>12.5</v>
      </c>
      <c r="I68" s="12">
        <f t="shared" ref="I68:I131" si="22">H68*F68</f>
        <v>87.5</v>
      </c>
      <c r="J68" s="12">
        <f t="shared" ref="J68:J131" si="23">_xlfn.RANK.AVG(I68,$I$3:$I$160)</f>
        <v>79</v>
      </c>
      <c r="K68" s="12">
        <f t="shared" ref="K68:K131" si="24">_xlfn.RANK.EQ(I68,I68:I225)</f>
        <v>48</v>
      </c>
      <c r="L68" s="12">
        <f t="shared" si="21"/>
        <v>1195.5</v>
      </c>
      <c r="M68" s="12">
        <f t="shared" ref="M68:M131" si="25">COUNTIF(G$3:G$160,G68)</f>
        <v>60</v>
      </c>
      <c r="N68" s="12" t="b">
        <f t="shared" si="11"/>
        <v>1</v>
      </c>
      <c r="O68" s="12" t="b">
        <f t="shared" si="12"/>
        <v>1</v>
      </c>
      <c r="P68" s="12" t="str">
        <f t="shared" ref="P68:P131" si="26">_xlfn.CONCAT(G68," -",F68)</f>
        <v>ct -7</v>
      </c>
      <c r="Q68" s="17" t="str">
        <f t="shared" ref="Q68:Q131" si="27">_xlfn.CONCAT(E68,CHAR(10),A68)</f>
        <v>S00649
P029</v>
      </c>
      <c r="R68" s="12" t="b">
        <f t="shared" ref="R68:R131" si="28">EXACT(B68,C68)</f>
        <v>0</v>
      </c>
      <c r="S68" s="12" t="str">
        <f t="shared" ref="S68:S131" si="29">MID(C68,3,3)</f>
        <v>267</v>
      </c>
      <c r="T68" s="12" t="str">
        <f t="shared" ref="T68:T131" si="30">UPPER(G68)</f>
        <v>CT</v>
      </c>
      <c r="U68" s="12" t="str">
        <f t="shared" ref="U68:U131" si="31">LOWER(G68)</f>
        <v>ct</v>
      </c>
      <c r="V68" s="12">
        <f t="shared" si="13"/>
        <v>1</v>
      </c>
      <c r="W68" s="12" t="str">
        <f t="shared" si="14"/>
        <v>6 I00195</v>
      </c>
      <c r="X68" s="12" t="str">
        <f t="shared" si="15"/>
        <v>TRUI</v>
      </c>
      <c r="Y68" s="12" t="str">
        <f t="shared" si="16"/>
        <v>1</v>
      </c>
      <c r="Z68" s="12" t="str">
        <f t="shared" si="17"/>
        <v>5</v>
      </c>
      <c r="AA68" s="12">
        <f t="shared" si="18"/>
        <v>2</v>
      </c>
      <c r="AB68" s="12">
        <f t="shared" si="19"/>
        <v>8</v>
      </c>
    </row>
    <row r="69" spans="1:28" ht="30" x14ac:dyDescent="0.25">
      <c r="A69" s="34" t="s">
        <v>91</v>
      </c>
      <c r="B69" s="34" t="s">
        <v>2035</v>
      </c>
      <c r="C69" s="34" t="s">
        <v>2036</v>
      </c>
      <c r="D69" s="34" t="s">
        <v>1181</v>
      </c>
      <c r="E69" s="34" t="s">
        <v>2037</v>
      </c>
      <c r="F69" s="34">
        <v>1</v>
      </c>
      <c r="G69" s="34" t="s">
        <v>13</v>
      </c>
      <c r="H69" s="34">
        <v>14</v>
      </c>
      <c r="I69" s="12">
        <f t="shared" si="22"/>
        <v>14</v>
      </c>
      <c r="J69" s="12">
        <f t="shared" si="23"/>
        <v>152.5</v>
      </c>
      <c r="K69" s="12">
        <f t="shared" si="24"/>
        <v>90</v>
      </c>
      <c r="L69" s="12">
        <f t="shared" si="21"/>
        <v>1195.5</v>
      </c>
      <c r="M69" s="12">
        <f t="shared" si="25"/>
        <v>60</v>
      </c>
      <c r="N69" s="12" t="b">
        <f t="shared" si="11"/>
        <v>0</v>
      </c>
      <c r="O69" s="12" t="b">
        <f t="shared" si="12"/>
        <v>1</v>
      </c>
      <c r="P69" s="12" t="str">
        <f t="shared" si="26"/>
        <v>ct -1</v>
      </c>
      <c r="Q69" s="17" t="str">
        <f t="shared" si="27"/>
        <v>S0076
P003</v>
      </c>
      <c r="R69" s="12" t="b">
        <f t="shared" si="28"/>
        <v>0</v>
      </c>
      <c r="S69" s="12" t="str">
        <f t="shared" si="29"/>
        <v>490</v>
      </c>
      <c r="T69" s="12" t="str">
        <f t="shared" si="30"/>
        <v>CT</v>
      </c>
      <c r="U69" s="12" t="str">
        <f t="shared" si="31"/>
        <v>ct</v>
      </c>
      <c r="V69" s="12">
        <f t="shared" si="13"/>
        <v>1</v>
      </c>
      <c r="W69" s="12" t="str">
        <f t="shared" si="14"/>
        <v>33 I00104</v>
      </c>
      <c r="X69" s="12" t="str">
        <f t="shared" si="15"/>
        <v>TRUI</v>
      </c>
      <c r="Y69" s="12" t="str">
        <f t="shared" si="16"/>
        <v>1</v>
      </c>
      <c r="Z69" s="12" t="str">
        <f t="shared" si="17"/>
        <v>5</v>
      </c>
      <c r="AA69" s="12">
        <f t="shared" si="18"/>
        <v>2</v>
      </c>
      <c r="AB69" s="12">
        <f t="shared" si="19"/>
        <v>9</v>
      </c>
    </row>
    <row r="70" spans="1:28" ht="30" x14ac:dyDescent="0.25">
      <c r="A70" s="34" t="s">
        <v>209</v>
      </c>
      <c r="B70" s="34" t="s">
        <v>2038</v>
      </c>
      <c r="C70" s="34" t="s">
        <v>2039</v>
      </c>
      <c r="D70" s="34" t="s">
        <v>1351</v>
      </c>
      <c r="E70" s="34" t="s">
        <v>264</v>
      </c>
      <c r="F70" s="34">
        <v>1</v>
      </c>
      <c r="G70" s="34" t="s">
        <v>35</v>
      </c>
      <c r="H70" s="34">
        <v>6.75</v>
      </c>
      <c r="I70" s="12">
        <f t="shared" si="22"/>
        <v>6.75</v>
      </c>
      <c r="J70" s="12">
        <f t="shared" si="23"/>
        <v>157</v>
      </c>
      <c r="K70" s="12">
        <f t="shared" si="24"/>
        <v>94</v>
      </c>
      <c r="L70" s="12">
        <f t="shared" si="21"/>
        <v>435.75</v>
      </c>
      <c r="M70" s="12">
        <f t="shared" si="25"/>
        <v>33</v>
      </c>
      <c r="N70" s="12" t="b">
        <f t="shared" si="11"/>
        <v>0</v>
      </c>
      <c r="O70" s="12" t="b">
        <f t="shared" si="12"/>
        <v>1</v>
      </c>
      <c r="P70" s="12" t="str">
        <f t="shared" si="26"/>
        <v>cans -1</v>
      </c>
      <c r="Q70" s="17" t="str">
        <f t="shared" si="27"/>
        <v>S00483
P021</v>
      </c>
      <c r="R70" s="12" t="b">
        <f t="shared" si="28"/>
        <v>0</v>
      </c>
      <c r="S70" s="12" t="str">
        <f t="shared" si="29"/>
        <v>511</v>
      </c>
      <c r="T70" s="12" t="str">
        <f t="shared" si="30"/>
        <v>CANS</v>
      </c>
      <c r="U70" s="12" t="str">
        <f t="shared" si="31"/>
        <v>cans</v>
      </c>
      <c r="V70" s="12">
        <f t="shared" si="13"/>
        <v>1</v>
      </c>
      <c r="W70" s="12" t="str">
        <f t="shared" si="14"/>
        <v>33 I00021</v>
      </c>
      <c r="X70" s="12" t="str">
        <f t="shared" si="15"/>
        <v>TRUI</v>
      </c>
      <c r="Y70" s="12" t="str">
        <f t="shared" si="16"/>
        <v>4</v>
      </c>
      <c r="Z70" s="12" t="str">
        <f t="shared" si="17"/>
        <v>5</v>
      </c>
      <c r="AA70" s="12">
        <f t="shared" si="18"/>
        <v>2</v>
      </c>
      <c r="AB70" s="12">
        <f t="shared" si="19"/>
        <v>9</v>
      </c>
    </row>
    <row r="71" spans="1:28" ht="30" x14ac:dyDescent="0.25">
      <c r="A71" s="34" t="s">
        <v>82</v>
      </c>
      <c r="B71" s="34" t="s">
        <v>1001</v>
      </c>
      <c r="C71" s="34" t="s">
        <v>2040</v>
      </c>
      <c r="D71" s="34" t="s">
        <v>465</v>
      </c>
      <c r="E71" s="34" t="s">
        <v>1161</v>
      </c>
      <c r="F71" s="34">
        <v>2</v>
      </c>
      <c r="G71" s="34" t="s">
        <v>167</v>
      </c>
      <c r="H71" s="34">
        <v>20</v>
      </c>
      <c r="I71" s="12">
        <f t="shared" si="22"/>
        <v>40</v>
      </c>
      <c r="J71" s="12">
        <f t="shared" si="23"/>
        <v>126</v>
      </c>
      <c r="K71" s="12">
        <f t="shared" si="24"/>
        <v>72</v>
      </c>
      <c r="L71" s="12">
        <f t="shared" si="21"/>
        <v>195.5</v>
      </c>
      <c r="M71" s="12">
        <f t="shared" si="25"/>
        <v>12</v>
      </c>
      <c r="N71" s="12" t="b">
        <f t="shared" si="11"/>
        <v>0</v>
      </c>
      <c r="O71" s="12" t="b">
        <f t="shared" si="12"/>
        <v>1</v>
      </c>
      <c r="P71" s="12" t="str">
        <f t="shared" si="26"/>
        <v>oz -2</v>
      </c>
      <c r="Q71" s="17" t="str">
        <f t="shared" si="27"/>
        <v>S00309
P018</v>
      </c>
      <c r="R71" s="12" t="b">
        <f t="shared" si="28"/>
        <v>0</v>
      </c>
      <c r="S71" s="12" t="str">
        <f t="shared" si="29"/>
        <v>915</v>
      </c>
      <c r="T71" s="12" t="str">
        <f t="shared" si="30"/>
        <v>OZ</v>
      </c>
      <c r="U71" s="12" t="str">
        <f t="shared" si="31"/>
        <v>oz</v>
      </c>
      <c r="V71" s="12">
        <f t="shared" si="13"/>
        <v>1</v>
      </c>
      <c r="W71" s="12" t="str">
        <f t="shared" si="14"/>
        <v>60 I00107</v>
      </c>
      <c r="X71" s="12" t="str">
        <f t="shared" si="15"/>
        <v>TRUI</v>
      </c>
      <c r="Y71" s="12" t="str">
        <f t="shared" si="16"/>
        <v>1</v>
      </c>
      <c r="Z71" s="12" t="str">
        <f t="shared" si="17"/>
        <v>5</v>
      </c>
      <c r="AA71" s="12">
        <f t="shared" si="18"/>
        <v>2</v>
      </c>
      <c r="AB71" s="12">
        <f t="shared" si="19"/>
        <v>9</v>
      </c>
    </row>
    <row r="72" spans="1:28" ht="30" x14ac:dyDescent="0.25">
      <c r="A72" s="34" t="s">
        <v>209</v>
      </c>
      <c r="B72" s="34" t="s">
        <v>2041</v>
      </c>
      <c r="C72" s="34" t="s">
        <v>2042</v>
      </c>
      <c r="D72" s="34" t="s">
        <v>567</v>
      </c>
      <c r="E72" s="34" t="s">
        <v>1514</v>
      </c>
      <c r="F72" s="34">
        <v>2</v>
      </c>
      <c r="G72" s="34" t="s">
        <v>60</v>
      </c>
      <c r="H72" s="34">
        <v>20</v>
      </c>
      <c r="I72" s="12">
        <f t="shared" si="22"/>
        <v>40</v>
      </c>
      <c r="J72" s="12">
        <f t="shared" si="23"/>
        <v>126</v>
      </c>
      <c r="K72" s="12">
        <f t="shared" si="24"/>
        <v>72</v>
      </c>
      <c r="L72" s="12">
        <f t="shared" si="21"/>
        <v>333.5</v>
      </c>
      <c r="M72" s="12">
        <f t="shared" si="25"/>
        <v>18</v>
      </c>
      <c r="N72" s="12" t="b">
        <f t="shared" si="11"/>
        <v>0</v>
      </c>
      <c r="O72" s="12" t="b">
        <f t="shared" si="12"/>
        <v>1</v>
      </c>
      <c r="P72" s="12" t="str">
        <f t="shared" si="26"/>
        <v>bottles -2</v>
      </c>
      <c r="Q72" s="17" t="str">
        <f t="shared" si="27"/>
        <v>S00415
P021</v>
      </c>
      <c r="R72" s="12" t="b">
        <f t="shared" si="28"/>
        <v>0</v>
      </c>
      <c r="S72" s="12" t="str">
        <f t="shared" si="29"/>
        <v>786</v>
      </c>
      <c r="T72" s="12" t="str">
        <f t="shared" si="30"/>
        <v>BOTTLES</v>
      </c>
      <c r="U72" s="12" t="str">
        <f t="shared" si="31"/>
        <v>bottles</v>
      </c>
      <c r="V72" s="12">
        <f t="shared" si="13"/>
        <v>1</v>
      </c>
      <c r="W72" s="12" t="str">
        <f t="shared" si="14"/>
        <v>60 I00096</v>
      </c>
      <c r="X72" s="12" t="str">
        <f t="shared" si="15"/>
        <v>TRUI</v>
      </c>
      <c r="Y72" s="12" t="str">
        <f t="shared" si="16"/>
        <v>3</v>
      </c>
      <c r="Z72" s="12" t="str">
        <f t="shared" si="17"/>
        <v>5</v>
      </c>
      <c r="AA72" s="12">
        <f t="shared" si="18"/>
        <v>2</v>
      </c>
      <c r="AB72" s="12">
        <f t="shared" si="19"/>
        <v>9</v>
      </c>
    </row>
    <row r="73" spans="1:28" ht="30" x14ac:dyDescent="0.25">
      <c r="A73" s="34" t="s">
        <v>339</v>
      </c>
      <c r="B73" s="34" t="s">
        <v>2043</v>
      </c>
      <c r="C73" s="34" t="s">
        <v>2044</v>
      </c>
      <c r="D73" s="34" t="s">
        <v>449</v>
      </c>
      <c r="E73" s="34" t="s">
        <v>545</v>
      </c>
      <c r="F73" s="34">
        <v>4</v>
      </c>
      <c r="G73" s="34" t="s">
        <v>269</v>
      </c>
      <c r="H73" s="34">
        <v>13</v>
      </c>
      <c r="I73" s="12">
        <f t="shared" si="22"/>
        <v>52</v>
      </c>
      <c r="J73" s="12">
        <f t="shared" si="23"/>
        <v>115.5</v>
      </c>
      <c r="K73" s="12">
        <f t="shared" si="24"/>
        <v>66</v>
      </c>
      <c r="L73" s="12">
        <f t="shared" si="21"/>
        <v>81</v>
      </c>
      <c r="M73" s="12">
        <f t="shared" si="25"/>
        <v>6</v>
      </c>
      <c r="N73" s="12" t="b">
        <f t="shared" si="11"/>
        <v>0</v>
      </c>
      <c r="O73" s="12" t="b">
        <f t="shared" si="12"/>
        <v>1</v>
      </c>
      <c r="P73" s="12" t="str">
        <f t="shared" si="26"/>
        <v>ct. -4</v>
      </c>
      <c r="Q73" s="17" t="str">
        <f t="shared" si="27"/>
        <v>S00495
P037</v>
      </c>
      <c r="R73" s="12" t="b">
        <f t="shared" si="28"/>
        <v>0</v>
      </c>
      <c r="S73" s="12" t="str">
        <f t="shared" si="29"/>
        <v>592</v>
      </c>
      <c r="T73" s="12" t="str">
        <f t="shared" si="30"/>
        <v>CT.</v>
      </c>
      <c r="U73" s="12" t="str">
        <f t="shared" si="31"/>
        <v>ct.</v>
      </c>
      <c r="V73" s="12">
        <f t="shared" si="13"/>
        <v>1</v>
      </c>
      <c r="W73" s="12" t="str">
        <f t="shared" si="14"/>
        <v>60 I00189</v>
      </c>
      <c r="X73" s="12" t="str">
        <f t="shared" si="15"/>
        <v>TRUI</v>
      </c>
      <c r="Y73" s="12" t="str">
        <f t="shared" si="16"/>
        <v>8</v>
      </c>
      <c r="Z73" s="12" t="str">
        <f t="shared" si="17"/>
        <v>1</v>
      </c>
      <c r="AA73" s="12">
        <f t="shared" si="18"/>
        <v>2</v>
      </c>
      <c r="AB73" s="12">
        <f t="shared" si="19"/>
        <v>9</v>
      </c>
    </row>
    <row r="74" spans="1:28" ht="30" x14ac:dyDescent="0.25">
      <c r="A74" s="34" t="s">
        <v>116</v>
      </c>
      <c r="B74" s="34" t="s">
        <v>2045</v>
      </c>
      <c r="C74" s="34" t="s">
        <v>2046</v>
      </c>
      <c r="D74" s="34" t="s">
        <v>1876</v>
      </c>
      <c r="E74" s="34" t="s">
        <v>2047</v>
      </c>
      <c r="F74" s="34">
        <v>1</v>
      </c>
      <c r="G74" s="34" t="s">
        <v>13</v>
      </c>
      <c r="H74" s="34">
        <v>42</v>
      </c>
      <c r="I74" s="12">
        <f t="shared" si="22"/>
        <v>42</v>
      </c>
      <c r="J74" s="12">
        <f t="shared" si="23"/>
        <v>122.5</v>
      </c>
      <c r="K74" s="12">
        <f t="shared" si="24"/>
        <v>68</v>
      </c>
      <c r="L74" s="12">
        <f t="shared" si="21"/>
        <v>1195.5</v>
      </c>
      <c r="M74" s="12">
        <f t="shared" si="25"/>
        <v>60</v>
      </c>
      <c r="N74" s="12" t="b">
        <f t="shared" si="11"/>
        <v>0</v>
      </c>
      <c r="O74" s="12" t="b">
        <f t="shared" si="12"/>
        <v>1</v>
      </c>
      <c r="P74" s="12" t="str">
        <f t="shared" si="26"/>
        <v>ct -1</v>
      </c>
      <c r="Q74" s="17" t="str">
        <f t="shared" si="27"/>
        <v>S00657
P013</v>
      </c>
      <c r="R74" s="12" t="b">
        <f t="shared" si="28"/>
        <v>0</v>
      </c>
      <c r="S74" s="12" t="str">
        <f t="shared" si="29"/>
        <v>179</v>
      </c>
      <c r="T74" s="12" t="str">
        <f t="shared" si="30"/>
        <v>CT</v>
      </c>
      <c r="U74" s="12" t="str">
        <f t="shared" si="31"/>
        <v>ct</v>
      </c>
      <c r="V74" s="12">
        <f t="shared" si="13"/>
        <v>1</v>
      </c>
      <c r="W74" s="12" t="str">
        <f t="shared" si="14"/>
        <v>60 I00118</v>
      </c>
      <c r="X74" s="12" t="str">
        <f t="shared" si="15"/>
        <v>TRUI</v>
      </c>
      <c r="Y74" s="12" t="str">
        <f t="shared" si="16"/>
        <v>1</v>
      </c>
      <c r="Z74" s="12" t="str">
        <f t="shared" si="17"/>
        <v>5</v>
      </c>
      <c r="AA74" s="12">
        <f t="shared" si="18"/>
        <v>2</v>
      </c>
      <c r="AB74" s="12">
        <f t="shared" si="19"/>
        <v>9</v>
      </c>
    </row>
    <row r="75" spans="1:28" ht="30" x14ac:dyDescent="0.25">
      <c r="A75" s="34" t="s">
        <v>283</v>
      </c>
      <c r="B75" s="34" t="s">
        <v>2048</v>
      </c>
      <c r="C75" s="34" t="s">
        <v>2049</v>
      </c>
      <c r="D75" s="34" t="s">
        <v>414</v>
      </c>
      <c r="E75" s="34" t="s">
        <v>1434</v>
      </c>
      <c r="F75" s="34">
        <v>4</v>
      </c>
      <c r="G75" s="34" t="s">
        <v>407</v>
      </c>
      <c r="H75" s="34">
        <v>15</v>
      </c>
      <c r="I75" s="12">
        <f t="shared" si="22"/>
        <v>60</v>
      </c>
      <c r="J75" s="12">
        <f t="shared" si="23"/>
        <v>105.5</v>
      </c>
      <c r="K75" s="12">
        <f t="shared" si="24"/>
        <v>61</v>
      </c>
      <c r="L75" s="12">
        <f t="shared" si="21"/>
        <v>85</v>
      </c>
      <c r="M75" s="12">
        <f t="shared" si="25"/>
        <v>5</v>
      </c>
      <c r="N75" s="12" t="b">
        <f t="shared" si="11"/>
        <v>0</v>
      </c>
      <c r="O75" s="12" t="b">
        <f t="shared" si="12"/>
        <v>1</v>
      </c>
      <c r="P75" s="12" t="str">
        <f t="shared" si="26"/>
        <v>pk -4</v>
      </c>
      <c r="Q75" s="17" t="str">
        <f t="shared" si="27"/>
        <v>S00585
P039</v>
      </c>
      <c r="R75" s="12" t="b">
        <f t="shared" si="28"/>
        <v>0</v>
      </c>
      <c r="S75" s="12" t="str">
        <f t="shared" si="29"/>
        <v>730</v>
      </c>
      <c r="T75" s="12" t="str">
        <f t="shared" si="30"/>
        <v>PK</v>
      </c>
      <c r="U75" s="12" t="str">
        <f t="shared" si="31"/>
        <v>pk</v>
      </c>
      <c r="V75" s="12">
        <f t="shared" si="13"/>
        <v>1</v>
      </c>
      <c r="W75" s="12" t="str">
        <f t="shared" si="14"/>
        <v>33 I00230</v>
      </c>
      <c r="X75" s="12" t="str">
        <f t="shared" si="15"/>
        <v>TRUI</v>
      </c>
      <c r="Y75" s="12" t="str">
        <f t="shared" si="16"/>
        <v>8</v>
      </c>
      <c r="Z75" s="12" t="str">
        <f t="shared" si="17"/>
        <v>5</v>
      </c>
      <c r="AA75" s="12">
        <f t="shared" si="18"/>
        <v>2</v>
      </c>
      <c r="AB75" s="12">
        <f t="shared" si="19"/>
        <v>9</v>
      </c>
    </row>
    <row r="76" spans="1:28" ht="30" x14ac:dyDescent="0.25">
      <c r="A76" s="34" t="s">
        <v>283</v>
      </c>
      <c r="B76" s="34" t="s">
        <v>2050</v>
      </c>
      <c r="C76" s="34" t="s">
        <v>2051</v>
      </c>
      <c r="D76" s="34" t="s">
        <v>89</v>
      </c>
      <c r="E76" s="34" t="s">
        <v>545</v>
      </c>
      <c r="F76" s="34">
        <v>11</v>
      </c>
      <c r="G76" s="34" t="s">
        <v>35</v>
      </c>
      <c r="H76" s="34">
        <v>6.75</v>
      </c>
      <c r="I76" s="12">
        <f t="shared" si="22"/>
        <v>74.25</v>
      </c>
      <c r="J76" s="12">
        <f t="shared" si="23"/>
        <v>91</v>
      </c>
      <c r="K76" s="12">
        <f t="shared" si="24"/>
        <v>52</v>
      </c>
      <c r="L76" s="12">
        <f t="shared" si="21"/>
        <v>435.75</v>
      </c>
      <c r="M76" s="12">
        <f t="shared" si="25"/>
        <v>33</v>
      </c>
      <c r="N76" s="12" t="b">
        <f t="shared" si="11"/>
        <v>0</v>
      </c>
      <c r="O76" s="12" t="b">
        <f t="shared" si="12"/>
        <v>1</v>
      </c>
      <c r="P76" s="12" t="str">
        <f t="shared" si="26"/>
        <v>cans -11</v>
      </c>
      <c r="Q76" s="17" t="str">
        <f t="shared" si="27"/>
        <v>S00495
P039</v>
      </c>
      <c r="R76" s="12" t="b">
        <f t="shared" si="28"/>
        <v>0</v>
      </c>
      <c r="S76" s="12" t="str">
        <f t="shared" si="29"/>
        <v>687</v>
      </c>
      <c r="T76" s="12" t="str">
        <f t="shared" si="30"/>
        <v>CANS</v>
      </c>
      <c r="U76" s="12" t="str">
        <f t="shared" si="31"/>
        <v>cans</v>
      </c>
      <c r="V76" s="12">
        <f t="shared" si="13"/>
        <v>1</v>
      </c>
      <c r="W76" s="12" t="str">
        <f t="shared" si="14"/>
        <v>33 I00023</v>
      </c>
      <c r="X76" s="12" t="str">
        <f t="shared" si="15"/>
        <v>TRUI</v>
      </c>
      <c r="Y76" s="12" t="str">
        <f t="shared" si="16"/>
        <v>4</v>
      </c>
      <c r="Z76" s="12" t="str">
        <f t="shared" si="17"/>
        <v>5</v>
      </c>
      <c r="AA76" s="12">
        <f t="shared" si="18"/>
        <v>2</v>
      </c>
      <c r="AB76" s="12">
        <f t="shared" si="19"/>
        <v>9</v>
      </c>
    </row>
    <row r="77" spans="1:28" ht="30" x14ac:dyDescent="0.25">
      <c r="A77" s="34" t="s">
        <v>61</v>
      </c>
      <c r="B77" s="34" t="s">
        <v>2052</v>
      </c>
      <c r="C77" s="34" t="s">
        <v>2053</v>
      </c>
      <c r="D77" s="34" t="s">
        <v>476</v>
      </c>
      <c r="E77" s="34" t="s">
        <v>2054</v>
      </c>
      <c r="F77" s="34">
        <v>1</v>
      </c>
      <c r="G77" s="34" t="s">
        <v>13</v>
      </c>
      <c r="H77" s="34">
        <v>32</v>
      </c>
      <c r="I77" s="12">
        <f t="shared" si="22"/>
        <v>32</v>
      </c>
      <c r="J77" s="12">
        <f t="shared" si="23"/>
        <v>133.5</v>
      </c>
      <c r="K77" s="12">
        <f t="shared" si="24"/>
        <v>71</v>
      </c>
      <c r="L77" s="12">
        <f t="shared" si="21"/>
        <v>1195.5</v>
      </c>
      <c r="M77" s="12">
        <f t="shared" si="25"/>
        <v>60</v>
      </c>
      <c r="N77" s="12" t="b">
        <f t="shared" si="11"/>
        <v>0</v>
      </c>
      <c r="O77" s="12" t="b">
        <f t="shared" si="12"/>
        <v>1</v>
      </c>
      <c r="P77" s="12" t="str">
        <f t="shared" si="26"/>
        <v>ct -1</v>
      </c>
      <c r="Q77" s="17" t="str">
        <f t="shared" si="27"/>
        <v>S0097
P023</v>
      </c>
      <c r="R77" s="12" t="b">
        <f t="shared" si="28"/>
        <v>0</v>
      </c>
      <c r="S77" s="12" t="str">
        <f t="shared" si="29"/>
        <v>212</v>
      </c>
      <c r="T77" s="12" t="str">
        <f t="shared" si="30"/>
        <v>CT</v>
      </c>
      <c r="U77" s="12" t="str">
        <f t="shared" si="31"/>
        <v>ct</v>
      </c>
      <c r="V77" s="12">
        <f t="shared" si="13"/>
        <v>1</v>
      </c>
      <c r="W77" s="12" t="str">
        <f t="shared" si="14"/>
        <v>33 I00138</v>
      </c>
      <c r="X77" s="12" t="str">
        <f t="shared" si="15"/>
        <v>TRUI</v>
      </c>
      <c r="Y77" s="12" t="str">
        <f t="shared" si="16"/>
        <v>1</v>
      </c>
      <c r="Z77" s="12" t="str">
        <f t="shared" si="17"/>
        <v>5</v>
      </c>
      <c r="AA77" s="12">
        <f t="shared" si="18"/>
        <v>2</v>
      </c>
      <c r="AB77" s="12">
        <f t="shared" si="19"/>
        <v>9</v>
      </c>
    </row>
    <row r="78" spans="1:28" ht="30" x14ac:dyDescent="0.25">
      <c r="A78" s="34" t="s">
        <v>107</v>
      </c>
      <c r="B78" s="34" t="s">
        <v>2055</v>
      </c>
      <c r="C78" s="34" t="s">
        <v>2056</v>
      </c>
      <c r="D78" s="34" t="s">
        <v>596</v>
      </c>
      <c r="E78" s="34" t="s">
        <v>120</v>
      </c>
      <c r="F78" s="34">
        <v>5</v>
      </c>
      <c r="G78" s="34" t="s">
        <v>178</v>
      </c>
      <c r="H78" s="34">
        <v>16</v>
      </c>
      <c r="I78" s="12">
        <f t="shared" si="22"/>
        <v>80</v>
      </c>
      <c r="J78" s="12">
        <f t="shared" si="23"/>
        <v>83</v>
      </c>
      <c r="K78" s="12">
        <f t="shared" si="24"/>
        <v>48</v>
      </c>
      <c r="L78" s="12">
        <f t="shared" si="21"/>
        <v>31</v>
      </c>
      <c r="M78" s="12">
        <f t="shared" si="25"/>
        <v>2</v>
      </c>
      <c r="N78" s="12" t="b">
        <f t="shared" si="11"/>
        <v>1</v>
      </c>
      <c r="O78" s="12" t="b">
        <f t="shared" si="12"/>
        <v>1</v>
      </c>
      <c r="P78" s="12" t="str">
        <f t="shared" si="26"/>
        <v>tubs -5</v>
      </c>
      <c r="Q78" s="17" t="str">
        <f t="shared" si="27"/>
        <v>S00616
P015</v>
      </c>
      <c r="R78" s="12" t="b">
        <f t="shared" si="28"/>
        <v>0</v>
      </c>
      <c r="S78" s="12" t="str">
        <f t="shared" si="29"/>
        <v>210</v>
      </c>
      <c r="T78" s="12" t="str">
        <f t="shared" si="30"/>
        <v>TUBS</v>
      </c>
      <c r="U78" s="12" t="str">
        <f t="shared" si="31"/>
        <v>tubs</v>
      </c>
      <c r="V78" s="12">
        <f t="shared" si="13"/>
        <v>1</v>
      </c>
      <c r="W78" s="12" t="str">
        <f t="shared" si="14"/>
        <v>33 I00102</v>
      </c>
      <c r="X78" s="12" t="str">
        <f t="shared" si="15"/>
        <v>TRUI</v>
      </c>
      <c r="Y78" s="12" t="str">
        <f t="shared" si="16"/>
        <v>3</v>
      </c>
      <c r="Z78" s="12" t="str">
        <f t="shared" si="17"/>
        <v>1</v>
      </c>
      <c r="AA78" s="12">
        <f t="shared" si="18"/>
        <v>2</v>
      </c>
      <c r="AB78" s="12">
        <f t="shared" si="19"/>
        <v>9</v>
      </c>
    </row>
    <row r="79" spans="1:28" ht="30" x14ac:dyDescent="0.25">
      <c r="A79" s="34" t="s">
        <v>274</v>
      </c>
      <c r="B79" s="34" t="s">
        <v>2057</v>
      </c>
      <c r="C79" s="34" t="s">
        <v>2058</v>
      </c>
      <c r="D79" s="34" t="s">
        <v>807</v>
      </c>
      <c r="E79" s="34" t="s">
        <v>355</v>
      </c>
      <c r="F79" s="34">
        <v>7</v>
      </c>
      <c r="G79" s="34" t="s">
        <v>13</v>
      </c>
      <c r="H79" s="34">
        <v>21</v>
      </c>
      <c r="I79" s="12">
        <f t="shared" si="22"/>
        <v>147</v>
      </c>
      <c r="J79" s="12">
        <f t="shared" si="23"/>
        <v>37</v>
      </c>
      <c r="K79" s="12">
        <f t="shared" si="24"/>
        <v>29</v>
      </c>
      <c r="L79" s="12">
        <f t="shared" si="21"/>
        <v>1195.5</v>
      </c>
      <c r="M79" s="12">
        <f t="shared" si="25"/>
        <v>60</v>
      </c>
      <c r="N79" s="12" t="b">
        <f t="shared" si="11"/>
        <v>1</v>
      </c>
      <c r="O79" s="12" t="b">
        <f t="shared" si="12"/>
        <v>1</v>
      </c>
      <c r="P79" s="12" t="str">
        <f t="shared" si="26"/>
        <v>ct -7</v>
      </c>
      <c r="Q79" s="17" t="str">
        <f t="shared" si="27"/>
        <v>S00630
P034</v>
      </c>
      <c r="R79" s="12" t="b">
        <f t="shared" si="28"/>
        <v>0</v>
      </c>
      <c r="S79" s="12" t="str">
        <f t="shared" si="29"/>
        <v>458</v>
      </c>
      <c r="T79" s="12" t="str">
        <f t="shared" si="30"/>
        <v>CT</v>
      </c>
      <c r="U79" s="12" t="str">
        <f t="shared" si="31"/>
        <v>ct</v>
      </c>
      <c r="V79" s="12">
        <f t="shared" si="13"/>
        <v>1</v>
      </c>
      <c r="W79" s="12" t="str">
        <f t="shared" si="14"/>
        <v>18 I00257</v>
      </c>
      <c r="X79" s="12" t="str">
        <f t="shared" si="15"/>
        <v>TRUI</v>
      </c>
      <c r="Y79" s="12" t="str">
        <f t="shared" si="16"/>
        <v>1</v>
      </c>
      <c r="Z79" s="12" t="str">
        <f t="shared" si="17"/>
        <v>5</v>
      </c>
      <c r="AA79" s="12">
        <f t="shared" si="18"/>
        <v>2</v>
      </c>
      <c r="AB79" s="12">
        <f t="shared" si="19"/>
        <v>9</v>
      </c>
    </row>
    <row r="80" spans="1:28" ht="30" x14ac:dyDescent="0.25">
      <c r="A80" s="34" t="s">
        <v>137</v>
      </c>
      <c r="B80" s="34" t="s">
        <v>2059</v>
      </c>
      <c r="C80" s="34" t="s">
        <v>2060</v>
      </c>
      <c r="D80" s="34" t="s">
        <v>785</v>
      </c>
      <c r="E80" s="34" t="s">
        <v>1057</v>
      </c>
      <c r="F80" s="34">
        <v>7</v>
      </c>
      <c r="G80" s="34" t="s">
        <v>13</v>
      </c>
      <c r="H80" s="34">
        <v>29</v>
      </c>
      <c r="I80" s="12">
        <f t="shared" si="22"/>
        <v>203</v>
      </c>
      <c r="J80" s="12">
        <f t="shared" si="23"/>
        <v>13</v>
      </c>
      <c r="K80" s="12">
        <f t="shared" si="24"/>
        <v>13</v>
      </c>
      <c r="L80" s="12">
        <f t="shared" si="21"/>
        <v>1195.5</v>
      </c>
      <c r="M80" s="12">
        <f t="shared" si="25"/>
        <v>60</v>
      </c>
      <c r="N80" s="12" t="b">
        <f t="shared" si="11"/>
        <v>1</v>
      </c>
      <c r="O80" s="12" t="b">
        <f t="shared" si="12"/>
        <v>1</v>
      </c>
      <c r="P80" s="12" t="str">
        <f t="shared" si="26"/>
        <v>ct -7</v>
      </c>
      <c r="Q80" s="17" t="str">
        <f t="shared" si="27"/>
        <v>S00368
P020</v>
      </c>
      <c r="R80" s="12" t="b">
        <f t="shared" si="28"/>
        <v>0</v>
      </c>
      <c r="S80" s="12" t="str">
        <f t="shared" si="29"/>
        <v>791</v>
      </c>
      <c r="T80" s="12" t="str">
        <f t="shared" si="30"/>
        <v>CT</v>
      </c>
      <c r="U80" s="12" t="str">
        <f t="shared" si="31"/>
        <v>ct</v>
      </c>
      <c r="V80" s="12">
        <f t="shared" si="13"/>
        <v>1</v>
      </c>
      <c r="W80" s="12" t="str">
        <f t="shared" si="14"/>
        <v>60 I00140</v>
      </c>
      <c r="X80" s="12" t="str">
        <f t="shared" si="15"/>
        <v>TRUI</v>
      </c>
      <c r="Y80" s="12" t="str">
        <f t="shared" si="16"/>
        <v>1</v>
      </c>
      <c r="Z80" s="12" t="str">
        <f t="shared" si="17"/>
        <v>5</v>
      </c>
      <c r="AA80" s="12">
        <f t="shared" si="18"/>
        <v>2</v>
      </c>
      <c r="AB80" s="12">
        <f t="shared" si="19"/>
        <v>9</v>
      </c>
    </row>
    <row r="81" spans="1:28" ht="30" x14ac:dyDescent="0.25">
      <c r="A81" s="34" t="s">
        <v>55</v>
      </c>
      <c r="B81" s="34" t="s">
        <v>2061</v>
      </c>
      <c r="C81" s="34" t="s">
        <v>2062</v>
      </c>
      <c r="D81" s="34" t="s">
        <v>1054</v>
      </c>
      <c r="E81" s="34" t="s">
        <v>12</v>
      </c>
      <c r="F81" s="34">
        <v>11</v>
      </c>
      <c r="G81" s="34" t="s">
        <v>60</v>
      </c>
      <c r="H81" s="34">
        <v>23</v>
      </c>
      <c r="I81" s="12">
        <f t="shared" si="22"/>
        <v>253</v>
      </c>
      <c r="J81" s="12">
        <f t="shared" si="23"/>
        <v>10</v>
      </c>
      <c r="K81" s="12">
        <f t="shared" si="24"/>
        <v>11</v>
      </c>
      <c r="L81" s="12">
        <f t="shared" si="21"/>
        <v>333.5</v>
      </c>
      <c r="M81" s="12">
        <f t="shared" si="25"/>
        <v>18</v>
      </c>
      <c r="N81" s="12" t="b">
        <f t="shared" si="11"/>
        <v>0</v>
      </c>
      <c r="O81" s="12" t="b">
        <f t="shared" si="12"/>
        <v>1</v>
      </c>
      <c r="P81" s="12" t="str">
        <f t="shared" si="26"/>
        <v>bottles -11</v>
      </c>
      <c r="Q81" s="17" t="str">
        <f t="shared" si="27"/>
        <v>S00307
P006</v>
      </c>
      <c r="R81" s="12" t="b">
        <f t="shared" si="28"/>
        <v>0</v>
      </c>
      <c r="S81" s="12" t="str">
        <f t="shared" si="29"/>
        <v>614</v>
      </c>
      <c r="T81" s="12" t="str">
        <f t="shared" si="30"/>
        <v>BOTTLES</v>
      </c>
      <c r="U81" s="12" t="str">
        <f t="shared" si="31"/>
        <v>bottles</v>
      </c>
      <c r="V81" s="12">
        <f t="shared" si="13"/>
        <v>1</v>
      </c>
      <c r="W81" s="12" t="str">
        <f t="shared" si="14"/>
        <v>33 I00038</v>
      </c>
      <c r="X81" s="12" t="str">
        <f t="shared" si="15"/>
        <v>TRUI</v>
      </c>
      <c r="Y81" s="12" t="str">
        <f t="shared" si="16"/>
        <v>3</v>
      </c>
      <c r="Z81" s="12" t="str">
        <f t="shared" si="17"/>
        <v>5</v>
      </c>
      <c r="AA81" s="12">
        <f t="shared" si="18"/>
        <v>2</v>
      </c>
      <c r="AB81" s="12">
        <f t="shared" si="19"/>
        <v>9</v>
      </c>
    </row>
    <row r="82" spans="1:28" ht="30" x14ac:dyDescent="0.25">
      <c r="A82" s="34" t="s">
        <v>307</v>
      </c>
      <c r="B82" s="34" t="s">
        <v>2063</v>
      </c>
      <c r="C82" s="34" t="s">
        <v>2064</v>
      </c>
      <c r="D82" s="34" t="s">
        <v>778</v>
      </c>
      <c r="E82" s="34" t="s">
        <v>1808</v>
      </c>
      <c r="F82" s="34">
        <v>7</v>
      </c>
      <c r="G82" s="34" t="s">
        <v>269</v>
      </c>
      <c r="H82" s="34">
        <v>15</v>
      </c>
      <c r="I82" s="12">
        <f t="shared" si="22"/>
        <v>105</v>
      </c>
      <c r="J82" s="12">
        <f t="shared" si="23"/>
        <v>66</v>
      </c>
      <c r="K82" s="12">
        <f t="shared" si="24"/>
        <v>39</v>
      </c>
      <c r="L82" s="12">
        <f t="shared" si="21"/>
        <v>81</v>
      </c>
      <c r="M82" s="12">
        <f t="shared" si="25"/>
        <v>6</v>
      </c>
      <c r="N82" s="12" t="b">
        <f t="shared" si="11"/>
        <v>1</v>
      </c>
      <c r="O82" s="12" t="b">
        <f t="shared" si="12"/>
        <v>1</v>
      </c>
      <c r="P82" s="12" t="str">
        <f t="shared" si="26"/>
        <v>ct. -7</v>
      </c>
      <c r="Q82" s="17" t="str">
        <f t="shared" si="27"/>
        <v>S00480
P031</v>
      </c>
      <c r="R82" s="12" t="b">
        <f t="shared" si="28"/>
        <v>0</v>
      </c>
      <c r="S82" s="12" t="str">
        <f t="shared" si="29"/>
        <v>205</v>
      </c>
      <c r="T82" s="12" t="str">
        <f t="shared" si="30"/>
        <v>CT.</v>
      </c>
      <c r="U82" s="12" t="str">
        <f t="shared" si="31"/>
        <v>ct.</v>
      </c>
      <c r="V82" s="12">
        <f t="shared" si="13"/>
        <v>1</v>
      </c>
      <c r="W82" s="12" t="str">
        <f t="shared" si="14"/>
        <v>33 I00170</v>
      </c>
      <c r="X82" s="12" t="str">
        <f t="shared" si="15"/>
        <v>TRUI</v>
      </c>
      <c r="Y82" s="12" t="str">
        <f t="shared" si="16"/>
        <v>8</v>
      </c>
      <c r="Z82" s="12" t="str">
        <f t="shared" si="17"/>
        <v>1</v>
      </c>
      <c r="AA82" s="12">
        <f t="shared" si="18"/>
        <v>2</v>
      </c>
      <c r="AB82" s="12">
        <f t="shared" si="19"/>
        <v>9</v>
      </c>
    </row>
    <row r="83" spans="1:28" ht="30" x14ac:dyDescent="0.25">
      <c r="A83" s="34" t="s">
        <v>96</v>
      </c>
      <c r="B83" s="34" t="s">
        <v>2065</v>
      </c>
      <c r="C83" s="34" t="s">
        <v>2066</v>
      </c>
      <c r="D83" s="34" t="s">
        <v>1037</v>
      </c>
      <c r="E83" s="34" t="s">
        <v>496</v>
      </c>
      <c r="F83" s="34">
        <v>2</v>
      </c>
      <c r="G83" s="34" t="s">
        <v>35</v>
      </c>
      <c r="H83" s="34">
        <v>6.75</v>
      </c>
      <c r="I83" s="12">
        <f t="shared" si="22"/>
        <v>13.5</v>
      </c>
      <c r="J83" s="12">
        <f t="shared" si="23"/>
        <v>154.5</v>
      </c>
      <c r="K83" s="12">
        <f t="shared" si="24"/>
        <v>79</v>
      </c>
      <c r="L83" s="12">
        <f t="shared" si="21"/>
        <v>435.75</v>
      </c>
      <c r="M83" s="12">
        <f t="shared" si="25"/>
        <v>33</v>
      </c>
      <c r="N83" s="12" t="b">
        <f t="shared" si="11"/>
        <v>0</v>
      </c>
      <c r="O83" s="12" t="b">
        <f t="shared" si="12"/>
        <v>1</v>
      </c>
      <c r="P83" s="12" t="str">
        <f t="shared" si="26"/>
        <v>cans -2</v>
      </c>
      <c r="Q83" s="17" t="str">
        <f t="shared" si="27"/>
        <v>S00698
P016</v>
      </c>
      <c r="R83" s="12" t="b">
        <f t="shared" si="28"/>
        <v>0</v>
      </c>
      <c r="S83" s="12" t="str">
        <f t="shared" si="29"/>
        <v>749</v>
      </c>
      <c r="T83" s="12" t="str">
        <f t="shared" si="30"/>
        <v>CANS</v>
      </c>
      <c r="U83" s="12" t="str">
        <f t="shared" si="31"/>
        <v>cans</v>
      </c>
      <c r="V83" s="12">
        <f t="shared" si="13"/>
        <v>1</v>
      </c>
      <c r="W83" s="12" t="str">
        <f t="shared" si="14"/>
        <v>60 I00005</v>
      </c>
      <c r="X83" s="12" t="str">
        <f t="shared" si="15"/>
        <v>TRUI</v>
      </c>
      <c r="Y83" s="12" t="str">
        <f t="shared" si="16"/>
        <v>4</v>
      </c>
      <c r="Z83" s="12" t="str">
        <f t="shared" si="17"/>
        <v>5</v>
      </c>
      <c r="AA83" s="12">
        <f t="shared" si="18"/>
        <v>2</v>
      </c>
      <c r="AB83" s="12">
        <f t="shared" si="19"/>
        <v>9</v>
      </c>
    </row>
    <row r="84" spans="1:28" ht="30" x14ac:dyDescent="0.25">
      <c r="A84" s="34" t="s">
        <v>61</v>
      </c>
      <c r="B84" s="34" t="s">
        <v>2067</v>
      </c>
      <c r="C84" s="34" t="s">
        <v>2068</v>
      </c>
      <c r="D84" s="34" t="s">
        <v>741</v>
      </c>
      <c r="E84" s="34" t="s">
        <v>1394</v>
      </c>
      <c r="F84" s="34">
        <v>2</v>
      </c>
      <c r="G84" s="34" t="s">
        <v>13</v>
      </c>
      <c r="H84" s="34">
        <v>16</v>
      </c>
      <c r="I84" s="12">
        <f t="shared" si="22"/>
        <v>32</v>
      </c>
      <c r="J84" s="12">
        <f t="shared" si="23"/>
        <v>133.5</v>
      </c>
      <c r="K84" s="12">
        <f t="shared" si="24"/>
        <v>66</v>
      </c>
      <c r="L84" s="12">
        <f t="shared" si="21"/>
        <v>1195.5</v>
      </c>
      <c r="M84" s="12">
        <f t="shared" si="25"/>
        <v>60</v>
      </c>
      <c r="N84" s="12" t="b">
        <f t="shared" si="11"/>
        <v>0</v>
      </c>
      <c r="O84" s="12" t="b">
        <f t="shared" si="12"/>
        <v>1</v>
      </c>
      <c r="P84" s="12" t="str">
        <f t="shared" si="26"/>
        <v>ct -2</v>
      </c>
      <c r="Q84" s="17" t="str">
        <f t="shared" si="27"/>
        <v>S0023
P023</v>
      </c>
      <c r="R84" s="12" t="b">
        <f t="shared" si="28"/>
        <v>0</v>
      </c>
      <c r="S84" s="12" t="str">
        <f t="shared" si="29"/>
        <v>406</v>
      </c>
      <c r="T84" s="12" t="str">
        <f t="shared" si="30"/>
        <v>CT</v>
      </c>
      <c r="U84" s="12" t="str">
        <f t="shared" si="31"/>
        <v>ct</v>
      </c>
      <c r="V84" s="12">
        <f t="shared" si="13"/>
        <v>1</v>
      </c>
      <c r="W84" s="12" t="str">
        <f t="shared" si="14"/>
        <v>60 I00171</v>
      </c>
      <c r="X84" s="12" t="str">
        <f t="shared" si="15"/>
        <v>TRUI</v>
      </c>
      <c r="Y84" s="12" t="str">
        <f t="shared" si="16"/>
        <v>1</v>
      </c>
      <c r="Z84" s="12" t="str">
        <f t="shared" si="17"/>
        <v>5</v>
      </c>
      <c r="AA84" s="12">
        <f t="shared" si="18"/>
        <v>2</v>
      </c>
      <c r="AB84" s="12">
        <f t="shared" si="19"/>
        <v>9</v>
      </c>
    </row>
    <row r="85" spans="1:28" ht="30" x14ac:dyDescent="0.25">
      <c r="A85" s="34" t="s">
        <v>20</v>
      </c>
      <c r="B85" s="34" t="s">
        <v>2069</v>
      </c>
      <c r="C85" s="34" t="s">
        <v>2070</v>
      </c>
      <c r="D85" s="34" t="s">
        <v>33</v>
      </c>
      <c r="E85" s="34" t="s">
        <v>991</v>
      </c>
      <c r="F85" s="34">
        <v>5</v>
      </c>
      <c r="G85" s="34" t="s">
        <v>35</v>
      </c>
      <c r="H85" s="34">
        <v>8</v>
      </c>
      <c r="I85" s="12">
        <f t="shared" si="22"/>
        <v>40</v>
      </c>
      <c r="J85" s="12">
        <f t="shared" si="23"/>
        <v>126</v>
      </c>
      <c r="K85" s="12">
        <f t="shared" si="24"/>
        <v>63</v>
      </c>
      <c r="L85" s="12">
        <f t="shared" si="21"/>
        <v>435.75</v>
      </c>
      <c r="M85" s="12">
        <f t="shared" si="25"/>
        <v>33</v>
      </c>
      <c r="N85" s="12" t="b">
        <f t="shared" si="11"/>
        <v>0</v>
      </c>
      <c r="O85" s="12" t="b">
        <f t="shared" si="12"/>
        <v>1</v>
      </c>
      <c r="P85" s="12" t="str">
        <f t="shared" si="26"/>
        <v>cans -5</v>
      </c>
      <c r="Q85" s="17" t="str">
        <f t="shared" si="27"/>
        <v>S00465
P030</v>
      </c>
      <c r="R85" s="12" t="b">
        <f t="shared" si="28"/>
        <v>0</v>
      </c>
      <c r="S85" s="12" t="str">
        <f t="shared" si="29"/>
        <v>935</v>
      </c>
      <c r="T85" s="12" t="str">
        <f t="shared" si="30"/>
        <v>CANS</v>
      </c>
      <c r="U85" s="12" t="str">
        <f t="shared" si="31"/>
        <v>cans</v>
      </c>
      <c r="V85" s="12">
        <f t="shared" si="13"/>
        <v>1</v>
      </c>
      <c r="W85" s="12" t="str">
        <f t="shared" si="14"/>
        <v>60 I00050</v>
      </c>
      <c r="X85" s="12" t="str">
        <f t="shared" si="15"/>
        <v>TRUI</v>
      </c>
      <c r="Y85" s="12" t="str">
        <f t="shared" si="16"/>
        <v>4</v>
      </c>
      <c r="Z85" s="12" t="str">
        <f t="shared" si="17"/>
        <v>5</v>
      </c>
      <c r="AA85" s="12">
        <f t="shared" si="18"/>
        <v>2</v>
      </c>
      <c r="AB85" s="12">
        <f t="shared" si="19"/>
        <v>9</v>
      </c>
    </row>
    <row r="86" spans="1:28" ht="30" x14ac:dyDescent="0.25">
      <c r="A86" s="34" t="s">
        <v>459</v>
      </c>
      <c r="B86" s="34" t="s">
        <v>1545</v>
      </c>
      <c r="C86" s="34" t="s">
        <v>2071</v>
      </c>
      <c r="D86" s="34" t="s">
        <v>267</v>
      </c>
      <c r="E86" s="34" t="s">
        <v>2072</v>
      </c>
      <c r="F86" s="34">
        <v>10</v>
      </c>
      <c r="G86" s="34" t="s">
        <v>269</v>
      </c>
      <c r="H86" s="34">
        <v>13</v>
      </c>
      <c r="I86" s="12">
        <f t="shared" si="22"/>
        <v>130</v>
      </c>
      <c r="J86" s="12">
        <f t="shared" si="23"/>
        <v>49</v>
      </c>
      <c r="K86" s="12">
        <f t="shared" si="24"/>
        <v>32</v>
      </c>
      <c r="L86" s="12">
        <f t="shared" si="21"/>
        <v>81</v>
      </c>
      <c r="M86" s="12">
        <f t="shared" si="25"/>
        <v>6</v>
      </c>
      <c r="N86" s="12" t="b">
        <f t="shared" si="11"/>
        <v>1</v>
      </c>
      <c r="O86" s="12" t="b">
        <f t="shared" si="12"/>
        <v>1</v>
      </c>
      <c r="P86" s="12" t="str">
        <f t="shared" si="26"/>
        <v>ct. -10</v>
      </c>
      <c r="Q86" s="17" t="str">
        <f t="shared" si="27"/>
        <v>S00697
P038</v>
      </c>
      <c r="R86" s="12" t="b">
        <f t="shared" si="28"/>
        <v>0</v>
      </c>
      <c r="S86" s="12" t="str">
        <f t="shared" si="29"/>
        <v>770</v>
      </c>
      <c r="T86" s="12" t="str">
        <f t="shared" si="30"/>
        <v>CT.</v>
      </c>
      <c r="U86" s="12" t="str">
        <f t="shared" si="31"/>
        <v>ct.</v>
      </c>
      <c r="V86" s="12">
        <f t="shared" si="13"/>
        <v>1</v>
      </c>
      <c r="W86" s="12" t="str">
        <f t="shared" si="14"/>
        <v>33 I00187</v>
      </c>
      <c r="X86" s="12" t="str">
        <f t="shared" si="15"/>
        <v>TRUI</v>
      </c>
      <c r="Y86" s="12" t="str">
        <f t="shared" si="16"/>
        <v>8</v>
      </c>
      <c r="Z86" s="12" t="str">
        <f t="shared" si="17"/>
        <v>1</v>
      </c>
      <c r="AA86" s="12">
        <f t="shared" si="18"/>
        <v>2</v>
      </c>
      <c r="AB86" s="12">
        <f t="shared" si="19"/>
        <v>9</v>
      </c>
    </row>
    <row r="87" spans="1:28" ht="30" x14ac:dyDescent="0.25">
      <c r="A87" s="34" t="s">
        <v>76</v>
      </c>
      <c r="B87" s="34" t="s">
        <v>2073</v>
      </c>
      <c r="C87" s="34" t="s">
        <v>2074</v>
      </c>
      <c r="D87" s="34" t="s">
        <v>337</v>
      </c>
      <c r="E87" s="34" t="s">
        <v>2075</v>
      </c>
      <c r="F87" s="34">
        <v>9</v>
      </c>
      <c r="G87" s="34" t="s">
        <v>35</v>
      </c>
      <c r="H87" s="34">
        <v>6.75</v>
      </c>
      <c r="I87" s="12">
        <f t="shared" si="22"/>
        <v>60.75</v>
      </c>
      <c r="J87" s="12">
        <f t="shared" si="23"/>
        <v>101.5</v>
      </c>
      <c r="K87" s="12">
        <f t="shared" si="24"/>
        <v>52</v>
      </c>
      <c r="L87" s="12">
        <f t="shared" si="21"/>
        <v>435.75</v>
      </c>
      <c r="M87" s="12">
        <f t="shared" si="25"/>
        <v>33</v>
      </c>
      <c r="N87" s="12" t="b">
        <f t="shared" ref="N87:N150" si="32">AND(K87&lt;50,J87&gt;10)</f>
        <v>0</v>
      </c>
      <c r="O87" s="12" t="b">
        <f t="shared" ref="O87:O150" si="33">OR(K87&lt;50,J87&gt;10)</f>
        <v>1</v>
      </c>
      <c r="P87" s="12" t="str">
        <f t="shared" si="26"/>
        <v>cans -9</v>
      </c>
      <c r="Q87" s="17" t="str">
        <f t="shared" si="27"/>
        <v>S0096
P019</v>
      </c>
      <c r="R87" s="12" t="b">
        <f t="shared" si="28"/>
        <v>0</v>
      </c>
      <c r="S87" s="12" t="str">
        <f t="shared" si="29"/>
        <v>956</v>
      </c>
      <c r="T87" s="12" t="str">
        <f t="shared" si="30"/>
        <v>CANS</v>
      </c>
      <c r="U87" s="12" t="str">
        <f t="shared" si="31"/>
        <v>cans</v>
      </c>
      <c r="V87" s="12">
        <f t="shared" ref="V87:V150" si="34">SEARCH("S",E87)</f>
        <v>1</v>
      </c>
      <c r="W87" s="12" t="str">
        <f t="shared" ref="W87:W150" si="35">_xlfn.TEXTJOIN(" ",FALSE,M105,D87)</f>
        <v>18 I00028</v>
      </c>
      <c r="X87" s="12" t="str">
        <f t="shared" ref="X87:X150" si="36">SUBSTITUTE(O87,"E","I")</f>
        <v>TRUI</v>
      </c>
      <c r="Y87" s="12" t="str">
        <f t="shared" ref="Y87:Y150" si="37">LEFT(L87)</f>
        <v>4</v>
      </c>
      <c r="Z87" s="12" t="str">
        <f t="shared" ref="Z87:Z150" si="38">RIGHT(L87)</f>
        <v>5</v>
      </c>
      <c r="AA87" s="12">
        <f t="shared" ref="AA87:AA150" si="39">FIND("0",B87)</f>
        <v>2</v>
      </c>
      <c r="AB87" s="12">
        <f t="shared" ref="AB87:AB150" si="40">LEN(W87)</f>
        <v>9</v>
      </c>
    </row>
    <row r="88" spans="1:28" ht="30" x14ac:dyDescent="0.25">
      <c r="A88" s="34" t="s">
        <v>288</v>
      </c>
      <c r="B88" s="34" t="s">
        <v>1843</v>
      </c>
      <c r="C88" s="34" t="s">
        <v>2076</v>
      </c>
      <c r="D88" s="34" t="s">
        <v>1216</v>
      </c>
      <c r="E88" s="34" t="s">
        <v>514</v>
      </c>
      <c r="F88" s="34">
        <v>7</v>
      </c>
      <c r="G88" s="34" t="s">
        <v>35</v>
      </c>
      <c r="H88" s="34">
        <v>37</v>
      </c>
      <c r="I88" s="12">
        <f t="shared" si="22"/>
        <v>259</v>
      </c>
      <c r="J88" s="12">
        <f t="shared" si="23"/>
        <v>9</v>
      </c>
      <c r="K88" s="12">
        <f t="shared" si="24"/>
        <v>10</v>
      </c>
      <c r="L88" s="12">
        <f t="shared" si="21"/>
        <v>435.75</v>
      </c>
      <c r="M88" s="12">
        <f t="shared" si="25"/>
        <v>33</v>
      </c>
      <c r="N88" s="12" t="b">
        <f t="shared" si="32"/>
        <v>0</v>
      </c>
      <c r="O88" s="12" t="b">
        <f t="shared" si="33"/>
        <v>1</v>
      </c>
      <c r="P88" s="12" t="str">
        <f t="shared" si="26"/>
        <v>cans -7</v>
      </c>
      <c r="Q88" s="17" t="str">
        <f t="shared" si="27"/>
        <v>S00271
P009</v>
      </c>
      <c r="R88" s="12" t="b">
        <f t="shared" si="28"/>
        <v>0</v>
      </c>
      <c r="S88" s="12" t="str">
        <f t="shared" si="29"/>
        <v>560</v>
      </c>
      <c r="T88" s="12" t="str">
        <f t="shared" si="30"/>
        <v>CANS</v>
      </c>
      <c r="U88" s="12" t="str">
        <f t="shared" si="31"/>
        <v>cans</v>
      </c>
      <c r="V88" s="12">
        <f t="shared" si="34"/>
        <v>1</v>
      </c>
      <c r="W88" s="12" t="str">
        <f t="shared" si="35"/>
        <v>6 I00062</v>
      </c>
      <c r="X88" s="12" t="str">
        <f t="shared" si="36"/>
        <v>TRUI</v>
      </c>
      <c r="Y88" s="12" t="str">
        <f t="shared" si="37"/>
        <v>4</v>
      </c>
      <c r="Z88" s="12" t="str">
        <f t="shared" si="38"/>
        <v>5</v>
      </c>
      <c r="AA88" s="12">
        <f t="shared" si="39"/>
        <v>2</v>
      </c>
      <c r="AB88" s="12">
        <f t="shared" si="40"/>
        <v>8</v>
      </c>
    </row>
    <row r="89" spans="1:28" ht="30" x14ac:dyDescent="0.25">
      <c r="A89" s="34" t="s">
        <v>82</v>
      </c>
      <c r="B89" s="34" t="s">
        <v>2077</v>
      </c>
      <c r="C89" s="34" t="s">
        <v>2078</v>
      </c>
      <c r="D89" s="34" t="s">
        <v>1796</v>
      </c>
      <c r="E89" s="34" t="s">
        <v>754</v>
      </c>
      <c r="F89" s="34">
        <v>5</v>
      </c>
      <c r="G89" s="34" t="s">
        <v>13</v>
      </c>
      <c r="H89" s="34">
        <v>15</v>
      </c>
      <c r="I89" s="12">
        <f t="shared" si="22"/>
        <v>75</v>
      </c>
      <c r="J89" s="12">
        <f t="shared" si="23"/>
        <v>89.5</v>
      </c>
      <c r="K89" s="12">
        <f t="shared" si="24"/>
        <v>43</v>
      </c>
      <c r="L89" s="12">
        <f t="shared" si="21"/>
        <v>1195.5</v>
      </c>
      <c r="M89" s="12">
        <f t="shared" si="25"/>
        <v>60</v>
      </c>
      <c r="N89" s="12" t="b">
        <f t="shared" si="32"/>
        <v>1</v>
      </c>
      <c r="O89" s="12" t="b">
        <f t="shared" si="33"/>
        <v>1</v>
      </c>
      <c r="P89" s="12" t="str">
        <f t="shared" si="26"/>
        <v>ct -5</v>
      </c>
      <c r="Q89" s="17" t="str">
        <f t="shared" si="27"/>
        <v>S00242
P018</v>
      </c>
      <c r="R89" s="12" t="b">
        <f t="shared" si="28"/>
        <v>0</v>
      </c>
      <c r="S89" s="12" t="str">
        <f t="shared" si="29"/>
        <v>504</v>
      </c>
      <c r="T89" s="12" t="str">
        <f t="shared" si="30"/>
        <v>CT</v>
      </c>
      <c r="U89" s="12" t="str">
        <f t="shared" si="31"/>
        <v>ct</v>
      </c>
      <c r="V89" s="12">
        <f t="shared" si="34"/>
        <v>1</v>
      </c>
      <c r="W89" s="12" t="str">
        <f t="shared" si="35"/>
        <v>18 I00260</v>
      </c>
      <c r="X89" s="12" t="str">
        <f t="shared" si="36"/>
        <v>TRUI</v>
      </c>
      <c r="Y89" s="12" t="str">
        <f t="shared" si="37"/>
        <v>1</v>
      </c>
      <c r="Z89" s="12" t="str">
        <f t="shared" si="38"/>
        <v>5</v>
      </c>
      <c r="AA89" s="12">
        <f t="shared" si="39"/>
        <v>2</v>
      </c>
      <c r="AB89" s="12">
        <f t="shared" si="40"/>
        <v>9</v>
      </c>
    </row>
    <row r="90" spans="1:28" ht="30" x14ac:dyDescent="0.25">
      <c r="A90" s="34" t="s">
        <v>76</v>
      </c>
      <c r="B90" s="34" t="s">
        <v>2079</v>
      </c>
      <c r="C90" s="34" t="s">
        <v>2080</v>
      </c>
      <c r="D90" s="34" t="s">
        <v>578</v>
      </c>
      <c r="E90" s="34" t="s">
        <v>1874</v>
      </c>
      <c r="F90" s="34">
        <v>8</v>
      </c>
      <c r="G90" s="34" t="s">
        <v>13</v>
      </c>
      <c r="H90" s="34">
        <v>22</v>
      </c>
      <c r="I90" s="12">
        <f t="shared" si="22"/>
        <v>176</v>
      </c>
      <c r="J90" s="12">
        <f t="shared" si="23"/>
        <v>18</v>
      </c>
      <c r="K90" s="12">
        <f t="shared" si="24"/>
        <v>12</v>
      </c>
      <c r="L90" s="12">
        <f t="shared" si="21"/>
        <v>1195.5</v>
      </c>
      <c r="M90" s="12">
        <f t="shared" si="25"/>
        <v>60</v>
      </c>
      <c r="N90" s="12" t="b">
        <f t="shared" si="32"/>
        <v>1</v>
      </c>
      <c r="O90" s="12" t="b">
        <f t="shared" si="33"/>
        <v>1</v>
      </c>
      <c r="P90" s="12" t="str">
        <f t="shared" si="26"/>
        <v>ct -8</v>
      </c>
      <c r="Q90" s="17" t="str">
        <f t="shared" si="27"/>
        <v>S00424
P019</v>
      </c>
      <c r="R90" s="12" t="b">
        <f t="shared" si="28"/>
        <v>0</v>
      </c>
      <c r="S90" s="12" t="str">
        <f t="shared" si="29"/>
        <v>296</v>
      </c>
      <c r="T90" s="12" t="str">
        <f t="shared" si="30"/>
        <v>CT</v>
      </c>
      <c r="U90" s="12" t="str">
        <f t="shared" si="31"/>
        <v>ct</v>
      </c>
      <c r="V90" s="12">
        <f t="shared" si="34"/>
        <v>1</v>
      </c>
      <c r="W90" s="12" t="str">
        <f t="shared" si="35"/>
        <v>60 I00219</v>
      </c>
      <c r="X90" s="12" t="str">
        <f t="shared" si="36"/>
        <v>TRUI</v>
      </c>
      <c r="Y90" s="12" t="str">
        <f t="shared" si="37"/>
        <v>1</v>
      </c>
      <c r="Z90" s="12" t="str">
        <f t="shared" si="38"/>
        <v>5</v>
      </c>
      <c r="AA90" s="12">
        <f t="shared" si="39"/>
        <v>2</v>
      </c>
      <c r="AB90" s="12">
        <f t="shared" si="40"/>
        <v>9</v>
      </c>
    </row>
    <row r="91" spans="1:28" ht="30" x14ac:dyDescent="0.25">
      <c r="A91" s="34" t="s">
        <v>8</v>
      </c>
      <c r="B91" s="34" t="s">
        <v>2081</v>
      </c>
      <c r="C91" s="34" t="s">
        <v>2082</v>
      </c>
      <c r="D91" s="34" t="s">
        <v>194</v>
      </c>
      <c r="E91" s="34" t="s">
        <v>2083</v>
      </c>
      <c r="F91" s="34">
        <v>11</v>
      </c>
      <c r="G91" s="34" t="s">
        <v>13</v>
      </c>
      <c r="H91" s="34">
        <v>9</v>
      </c>
      <c r="I91" s="12">
        <f t="shared" si="22"/>
        <v>99</v>
      </c>
      <c r="J91" s="12">
        <f t="shared" si="23"/>
        <v>71</v>
      </c>
      <c r="K91" s="12">
        <f t="shared" si="24"/>
        <v>39</v>
      </c>
      <c r="L91" s="12">
        <f t="shared" si="21"/>
        <v>1195.5</v>
      </c>
      <c r="M91" s="12">
        <f t="shared" si="25"/>
        <v>60</v>
      </c>
      <c r="N91" s="12" t="b">
        <f t="shared" si="32"/>
        <v>1</v>
      </c>
      <c r="O91" s="12" t="b">
        <f t="shared" si="33"/>
        <v>1</v>
      </c>
      <c r="P91" s="12" t="str">
        <f t="shared" si="26"/>
        <v>ct -11</v>
      </c>
      <c r="Q91" s="17" t="str">
        <f t="shared" si="27"/>
        <v>S00166
P026</v>
      </c>
      <c r="R91" s="12" t="b">
        <f t="shared" si="28"/>
        <v>0</v>
      </c>
      <c r="S91" s="12" t="str">
        <f t="shared" si="29"/>
        <v>866</v>
      </c>
      <c r="T91" s="12" t="str">
        <f t="shared" si="30"/>
        <v>CT</v>
      </c>
      <c r="U91" s="12" t="str">
        <f t="shared" si="31"/>
        <v>ct</v>
      </c>
      <c r="V91" s="12">
        <f t="shared" si="34"/>
        <v>1</v>
      </c>
      <c r="W91" s="12" t="str">
        <f t="shared" si="35"/>
        <v>60 I00120</v>
      </c>
      <c r="X91" s="12" t="str">
        <f t="shared" si="36"/>
        <v>TRUI</v>
      </c>
      <c r="Y91" s="12" t="str">
        <f t="shared" si="37"/>
        <v>1</v>
      </c>
      <c r="Z91" s="12" t="str">
        <f t="shared" si="38"/>
        <v>5</v>
      </c>
      <c r="AA91" s="12">
        <f t="shared" si="39"/>
        <v>2</v>
      </c>
      <c r="AB91" s="12">
        <f t="shared" si="40"/>
        <v>9</v>
      </c>
    </row>
    <row r="92" spans="1:28" ht="30" x14ac:dyDescent="0.25">
      <c r="A92" s="34" t="s">
        <v>168</v>
      </c>
      <c r="B92" s="34" t="s">
        <v>2084</v>
      </c>
      <c r="C92" s="34" t="s">
        <v>2085</v>
      </c>
      <c r="D92" s="34" t="s">
        <v>1372</v>
      </c>
      <c r="E92" s="34" t="s">
        <v>1155</v>
      </c>
      <c r="F92" s="34">
        <v>8</v>
      </c>
      <c r="G92" s="34" t="s">
        <v>13</v>
      </c>
      <c r="H92" s="34">
        <v>15</v>
      </c>
      <c r="I92" s="12">
        <f t="shared" si="22"/>
        <v>120</v>
      </c>
      <c r="J92" s="12">
        <f t="shared" si="23"/>
        <v>60</v>
      </c>
      <c r="K92" s="12">
        <f t="shared" si="24"/>
        <v>32</v>
      </c>
      <c r="L92" s="12">
        <f t="shared" si="21"/>
        <v>1195.5</v>
      </c>
      <c r="M92" s="12">
        <f t="shared" si="25"/>
        <v>60</v>
      </c>
      <c r="N92" s="12" t="b">
        <f t="shared" si="32"/>
        <v>1</v>
      </c>
      <c r="O92" s="12" t="b">
        <f t="shared" si="33"/>
        <v>1</v>
      </c>
      <c r="P92" s="12" t="str">
        <f t="shared" si="26"/>
        <v>ct -8</v>
      </c>
      <c r="Q92" s="17" t="str">
        <f t="shared" si="27"/>
        <v>S0085
P017</v>
      </c>
      <c r="R92" s="12" t="b">
        <f t="shared" si="28"/>
        <v>0</v>
      </c>
      <c r="S92" s="12" t="str">
        <f t="shared" si="29"/>
        <v>962</v>
      </c>
      <c r="T92" s="12" t="str">
        <f t="shared" si="30"/>
        <v>CT</v>
      </c>
      <c r="U92" s="12" t="str">
        <f t="shared" si="31"/>
        <v>ct</v>
      </c>
      <c r="V92" s="12">
        <f t="shared" si="34"/>
        <v>1</v>
      </c>
      <c r="W92" s="12" t="str">
        <f t="shared" si="35"/>
        <v>10 I00149</v>
      </c>
      <c r="X92" s="12" t="str">
        <f t="shared" si="36"/>
        <v>TRUI</v>
      </c>
      <c r="Y92" s="12" t="str">
        <f t="shared" si="37"/>
        <v>1</v>
      </c>
      <c r="Z92" s="12" t="str">
        <f t="shared" si="38"/>
        <v>5</v>
      </c>
      <c r="AA92" s="12">
        <f t="shared" si="39"/>
        <v>2</v>
      </c>
      <c r="AB92" s="12">
        <f t="shared" si="40"/>
        <v>9</v>
      </c>
    </row>
    <row r="93" spans="1:28" ht="30" x14ac:dyDescent="0.25">
      <c r="A93" s="34" t="s">
        <v>71</v>
      </c>
      <c r="B93" s="34" t="s">
        <v>2086</v>
      </c>
      <c r="C93" s="34" t="s">
        <v>2087</v>
      </c>
      <c r="D93" s="34" t="s">
        <v>859</v>
      </c>
      <c r="E93" s="34" t="s">
        <v>1523</v>
      </c>
      <c r="F93" s="34">
        <v>2</v>
      </c>
      <c r="G93" s="34" t="s">
        <v>35</v>
      </c>
      <c r="H93" s="34">
        <v>16</v>
      </c>
      <c r="I93" s="12">
        <f t="shared" si="22"/>
        <v>32</v>
      </c>
      <c r="J93" s="12">
        <f t="shared" si="23"/>
        <v>133.5</v>
      </c>
      <c r="K93" s="12">
        <f t="shared" si="24"/>
        <v>58</v>
      </c>
      <c r="L93" s="12">
        <f t="shared" si="21"/>
        <v>435.75</v>
      </c>
      <c r="M93" s="12">
        <f t="shared" si="25"/>
        <v>33</v>
      </c>
      <c r="N93" s="12" t="b">
        <f t="shared" si="32"/>
        <v>0</v>
      </c>
      <c r="O93" s="12" t="b">
        <f t="shared" si="33"/>
        <v>1</v>
      </c>
      <c r="P93" s="12" t="str">
        <f t="shared" si="26"/>
        <v>cans -2</v>
      </c>
      <c r="Q93" s="17" t="str">
        <f t="shared" si="27"/>
        <v>S00331
P025</v>
      </c>
      <c r="R93" s="12" t="b">
        <f t="shared" si="28"/>
        <v>0</v>
      </c>
      <c r="S93" s="12" t="str">
        <f t="shared" si="29"/>
        <v>942</v>
      </c>
      <c r="T93" s="12" t="str">
        <f t="shared" si="30"/>
        <v>CANS</v>
      </c>
      <c r="U93" s="12" t="str">
        <f t="shared" si="31"/>
        <v>cans</v>
      </c>
      <c r="V93" s="12">
        <f t="shared" si="34"/>
        <v>1</v>
      </c>
      <c r="W93" s="12" t="str">
        <f t="shared" si="35"/>
        <v>33 I00036</v>
      </c>
      <c r="X93" s="12" t="str">
        <f t="shared" si="36"/>
        <v>TRUI</v>
      </c>
      <c r="Y93" s="12" t="str">
        <f t="shared" si="37"/>
        <v>4</v>
      </c>
      <c r="Z93" s="12" t="str">
        <f t="shared" si="38"/>
        <v>5</v>
      </c>
      <c r="AA93" s="12">
        <f t="shared" si="39"/>
        <v>2</v>
      </c>
      <c r="AB93" s="12">
        <f t="shared" si="40"/>
        <v>9</v>
      </c>
    </row>
    <row r="94" spans="1:28" ht="30" x14ac:dyDescent="0.25">
      <c r="A94" s="34" t="s">
        <v>173</v>
      </c>
      <c r="B94" s="34" t="s">
        <v>2088</v>
      </c>
      <c r="C94" s="34" t="s">
        <v>2089</v>
      </c>
      <c r="D94" s="34" t="s">
        <v>322</v>
      </c>
      <c r="E94" s="34" t="s">
        <v>182</v>
      </c>
      <c r="F94" s="34">
        <v>3</v>
      </c>
      <c r="G94" s="34" t="s">
        <v>35</v>
      </c>
      <c r="H94" s="34">
        <v>8</v>
      </c>
      <c r="I94" s="12">
        <f t="shared" si="22"/>
        <v>24</v>
      </c>
      <c r="J94" s="12">
        <f t="shared" si="23"/>
        <v>142</v>
      </c>
      <c r="K94" s="12">
        <f t="shared" si="24"/>
        <v>60</v>
      </c>
      <c r="L94" s="12">
        <f t="shared" si="21"/>
        <v>435.75</v>
      </c>
      <c r="M94" s="12">
        <f t="shared" si="25"/>
        <v>33</v>
      </c>
      <c r="N94" s="12" t="b">
        <f t="shared" si="32"/>
        <v>0</v>
      </c>
      <c r="O94" s="12" t="b">
        <f t="shared" si="33"/>
        <v>1</v>
      </c>
      <c r="P94" s="12" t="str">
        <f t="shared" si="26"/>
        <v>cans -3</v>
      </c>
      <c r="Q94" s="17" t="str">
        <f t="shared" si="27"/>
        <v>S00395
P033</v>
      </c>
      <c r="R94" s="12" t="b">
        <f t="shared" si="28"/>
        <v>0</v>
      </c>
      <c r="S94" s="12" t="str">
        <f t="shared" si="29"/>
        <v>344</v>
      </c>
      <c r="T94" s="12" t="str">
        <f t="shared" si="30"/>
        <v>CANS</v>
      </c>
      <c r="U94" s="12" t="str">
        <f t="shared" si="31"/>
        <v>cans</v>
      </c>
      <c r="V94" s="12">
        <f t="shared" si="34"/>
        <v>1</v>
      </c>
      <c r="W94" s="12" t="str">
        <f t="shared" si="35"/>
        <v>33 I00045</v>
      </c>
      <c r="X94" s="12" t="str">
        <f t="shared" si="36"/>
        <v>TRUI</v>
      </c>
      <c r="Y94" s="12" t="str">
        <f t="shared" si="37"/>
        <v>4</v>
      </c>
      <c r="Z94" s="12" t="str">
        <f t="shared" si="38"/>
        <v>5</v>
      </c>
      <c r="AA94" s="12">
        <f t="shared" si="39"/>
        <v>2</v>
      </c>
      <c r="AB94" s="12">
        <f t="shared" si="40"/>
        <v>9</v>
      </c>
    </row>
    <row r="95" spans="1:28" ht="30" x14ac:dyDescent="0.25">
      <c r="A95" s="34" t="s">
        <v>224</v>
      </c>
      <c r="B95" s="34" t="s">
        <v>2090</v>
      </c>
      <c r="C95" s="34" t="s">
        <v>2091</v>
      </c>
      <c r="D95" s="34" t="s">
        <v>337</v>
      </c>
      <c r="E95" s="34" t="s">
        <v>2006</v>
      </c>
      <c r="F95" s="34">
        <v>10</v>
      </c>
      <c r="G95" s="34" t="s">
        <v>35</v>
      </c>
      <c r="H95" s="34">
        <v>6.75</v>
      </c>
      <c r="I95" s="12">
        <f t="shared" si="22"/>
        <v>67.5</v>
      </c>
      <c r="J95" s="12">
        <f t="shared" si="23"/>
        <v>95</v>
      </c>
      <c r="K95" s="12">
        <f t="shared" si="24"/>
        <v>43</v>
      </c>
      <c r="L95" s="12">
        <f t="shared" si="21"/>
        <v>435.75</v>
      </c>
      <c r="M95" s="12">
        <f t="shared" si="25"/>
        <v>33</v>
      </c>
      <c r="N95" s="12" t="b">
        <f t="shared" si="32"/>
        <v>1</v>
      </c>
      <c r="O95" s="12" t="b">
        <f t="shared" si="33"/>
        <v>1</v>
      </c>
      <c r="P95" s="12" t="str">
        <f t="shared" si="26"/>
        <v>cans -10</v>
      </c>
      <c r="Q95" s="17" t="str">
        <f t="shared" si="27"/>
        <v>S00262
P035</v>
      </c>
      <c r="R95" s="12" t="b">
        <f t="shared" si="28"/>
        <v>0</v>
      </c>
      <c r="S95" s="12" t="str">
        <f t="shared" si="29"/>
        <v>254</v>
      </c>
      <c r="T95" s="12" t="str">
        <f t="shared" si="30"/>
        <v>CANS</v>
      </c>
      <c r="U95" s="12" t="str">
        <f t="shared" si="31"/>
        <v>cans</v>
      </c>
      <c r="V95" s="12">
        <f t="shared" si="34"/>
        <v>1</v>
      </c>
      <c r="W95" s="12" t="str">
        <f t="shared" si="35"/>
        <v>18 I00028</v>
      </c>
      <c r="X95" s="12" t="str">
        <f t="shared" si="36"/>
        <v>TRUI</v>
      </c>
      <c r="Y95" s="12" t="str">
        <f t="shared" si="37"/>
        <v>4</v>
      </c>
      <c r="Z95" s="12" t="str">
        <f t="shared" si="38"/>
        <v>5</v>
      </c>
      <c r="AA95" s="12">
        <f t="shared" si="39"/>
        <v>2</v>
      </c>
      <c r="AB95" s="12">
        <f t="shared" si="40"/>
        <v>9</v>
      </c>
    </row>
    <row r="96" spans="1:28" ht="30" x14ac:dyDescent="0.25">
      <c r="A96" s="34" t="s">
        <v>91</v>
      </c>
      <c r="B96" s="34" t="s">
        <v>2092</v>
      </c>
      <c r="C96" s="34" t="s">
        <v>2093</v>
      </c>
      <c r="D96" s="34" t="s">
        <v>305</v>
      </c>
      <c r="E96" s="34" t="s">
        <v>786</v>
      </c>
      <c r="F96" s="34">
        <v>4</v>
      </c>
      <c r="G96" s="34" t="s">
        <v>35</v>
      </c>
      <c r="H96" s="34">
        <v>8</v>
      </c>
      <c r="I96" s="12">
        <f t="shared" si="22"/>
        <v>32</v>
      </c>
      <c r="J96" s="12">
        <f t="shared" si="23"/>
        <v>133.5</v>
      </c>
      <c r="K96" s="12">
        <f t="shared" si="24"/>
        <v>57</v>
      </c>
      <c r="L96" s="12">
        <f t="shared" si="21"/>
        <v>435.75</v>
      </c>
      <c r="M96" s="12">
        <f t="shared" si="25"/>
        <v>33</v>
      </c>
      <c r="N96" s="12" t="b">
        <f t="shared" si="32"/>
        <v>0</v>
      </c>
      <c r="O96" s="12" t="b">
        <f t="shared" si="33"/>
        <v>1</v>
      </c>
      <c r="P96" s="12" t="str">
        <f t="shared" si="26"/>
        <v>cans -4</v>
      </c>
      <c r="Q96" s="17" t="str">
        <f t="shared" si="27"/>
        <v>S00177
P003</v>
      </c>
      <c r="R96" s="12" t="b">
        <f t="shared" si="28"/>
        <v>0</v>
      </c>
      <c r="S96" s="12" t="str">
        <f t="shared" si="29"/>
        <v>944</v>
      </c>
      <c r="T96" s="12" t="str">
        <f t="shared" si="30"/>
        <v>CANS</v>
      </c>
      <c r="U96" s="12" t="str">
        <f t="shared" si="31"/>
        <v>cans</v>
      </c>
      <c r="V96" s="12">
        <f t="shared" si="34"/>
        <v>1</v>
      </c>
      <c r="W96" s="12" t="str">
        <f t="shared" si="35"/>
        <v>33 I00049</v>
      </c>
      <c r="X96" s="12" t="str">
        <f t="shared" si="36"/>
        <v>TRUI</v>
      </c>
      <c r="Y96" s="12" t="str">
        <f t="shared" si="37"/>
        <v>4</v>
      </c>
      <c r="Z96" s="12" t="str">
        <f t="shared" si="38"/>
        <v>5</v>
      </c>
      <c r="AA96" s="12">
        <f t="shared" si="39"/>
        <v>2</v>
      </c>
      <c r="AB96" s="12">
        <f t="shared" si="40"/>
        <v>9</v>
      </c>
    </row>
    <row r="97" spans="1:28" ht="30" x14ac:dyDescent="0.25">
      <c r="A97" s="34" t="s">
        <v>121</v>
      </c>
      <c r="B97" s="34" t="s">
        <v>2094</v>
      </c>
      <c r="C97" s="34" t="s">
        <v>2095</v>
      </c>
      <c r="D97" s="34" t="s">
        <v>374</v>
      </c>
      <c r="E97" s="34" t="s">
        <v>2096</v>
      </c>
      <c r="F97" s="34">
        <v>3</v>
      </c>
      <c r="G97" s="34" t="s">
        <v>60</v>
      </c>
      <c r="H97" s="34">
        <v>20</v>
      </c>
      <c r="I97" s="12">
        <f t="shared" si="22"/>
        <v>60</v>
      </c>
      <c r="J97" s="12">
        <f t="shared" si="23"/>
        <v>105.5</v>
      </c>
      <c r="K97" s="12">
        <f t="shared" si="24"/>
        <v>47</v>
      </c>
      <c r="L97" s="12">
        <f t="shared" si="21"/>
        <v>333.5</v>
      </c>
      <c r="M97" s="12">
        <f t="shared" si="25"/>
        <v>18</v>
      </c>
      <c r="N97" s="12" t="b">
        <f t="shared" si="32"/>
        <v>1</v>
      </c>
      <c r="O97" s="12" t="b">
        <f t="shared" si="33"/>
        <v>1</v>
      </c>
      <c r="P97" s="12" t="str">
        <f t="shared" si="26"/>
        <v>bottles -3</v>
      </c>
      <c r="Q97" s="17" t="str">
        <f t="shared" si="27"/>
        <v>S0062
P001</v>
      </c>
      <c r="R97" s="12" t="b">
        <f t="shared" si="28"/>
        <v>0</v>
      </c>
      <c r="S97" s="12" t="str">
        <f t="shared" si="29"/>
        <v>728</v>
      </c>
      <c r="T97" s="12" t="str">
        <f t="shared" si="30"/>
        <v>BOTTLES</v>
      </c>
      <c r="U97" s="12" t="str">
        <f t="shared" si="31"/>
        <v>bottles</v>
      </c>
      <c r="V97" s="12">
        <f t="shared" si="34"/>
        <v>1</v>
      </c>
      <c r="W97" s="12" t="str">
        <f t="shared" si="35"/>
        <v>60 I00073</v>
      </c>
      <c r="X97" s="12" t="str">
        <f t="shared" si="36"/>
        <v>TRUI</v>
      </c>
      <c r="Y97" s="12" t="str">
        <f t="shared" si="37"/>
        <v>3</v>
      </c>
      <c r="Z97" s="12" t="str">
        <f t="shared" si="38"/>
        <v>5</v>
      </c>
      <c r="AA97" s="12">
        <f t="shared" si="39"/>
        <v>2</v>
      </c>
      <c r="AB97" s="12">
        <f t="shared" si="40"/>
        <v>9</v>
      </c>
    </row>
    <row r="98" spans="1:28" ht="30" x14ac:dyDescent="0.25">
      <c r="A98" s="34" t="s">
        <v>168</v>
      </c>
      <c r="B98" s="34" t="s">
        <v>2097</v>
      </c>
      <c r="C98" s="34" t="s">
        <v>2098</v>
      </c>
      <c r="D98" s="34" t="s">
        <v>757</v>
      </c>
      <c r="E98" s="34" t="s">
        <v>2099</v>
      </c>
      <c r="F98" s="34">
        <v>1</v>
      </c>
      <c r="G98" s="34" t="s">
        <v>13</v>
      </c>
      <c r="H98" s="34">
        <v>19.5</v>
      </c>
      <c r="I98" s="12">
        <f t="shared" si="22"/>
        <v>19.5</v>
      </c>
      <c r="J98" s="12">
        <f t="shared" si="23"/>
        <v>147</v>
      </c>
      <c r="K98" s="12">
        <f t="shared" si="24"/>
        <v>61</v>
      </c>
      <c r="L98" s="12">
        <f t="shared" si="21"/>
        <v>1195.5</v>
      </c>
      <c r="M98" s="12">
        <f t="shared" si="25"/>
        <v>60</v>
      </c>
      <c r="N98" s="12" t="b">
        <f t="shared" si="32"/>
        <v>0</v>
      </c>
      <c r="O98" s="12" t="b">
        <f t="shared" si="33"/>
        <v>1</v>
      </c>
      <c r="P98" s="12" t="str">
        <f t="shared" si="26"/>
        <v>ct -1</v>
      </c>
      <c r="Q98" s="17" t="str">
        <f t="shared" si="27"/>
        <v>S00303
P017</v>
      </c>
      <c r="R98" s="12" t="b">
        <f t="shared" si="28"/>
        <v>0</v>
      </c>
      <c r="S98" s="12" t="str">
        <f t="shared" si="29"/>
        <v>743</v>
      </c>
      <c r="T98" s="12" t="str">
        <f t="shared" si="30"/>
        <v>CT</v>
      </c>
      <c r="U98" s="12" t="str">
        <f t="shared" si="31"/>
        <v>ct</v>
      </c>
      <c r="V98" s="12">
        <f t="shared" si="34"/>
        <v>1</v>
      </c>
      <c r="W98" s="12" t="str">
        <f t="shared" si="35"/>
        <v>60 I00136</v>
      </c>
      <c r="X98" s="12" t="str">
        <f t="shared" si="36"/>
        <v>TRUI</v>
      </c>
      <c r="Y98" s="12" t="str">
        <f t="shared" si="37"/>
        <v>1</v>
      </c>
      <c r="Z98" s="12" t="str">
        <f t="shared" si="38"/>
        <v>5</v>
      </c>
      <c r="AA98" s="12">
        <f t="shared" si="39"/>
        <v>2</v>
      </c>
      <c r="AB98" s="12">
        <f t="shared" si="40"/>
        <v>9</v>
      </c>
    </row>
    <row r="99" spans="1:28" ht="30" x14ac:dyDescent="0.25">
      <c r="A99" s="34" t="s">
        <v>146</v>
      </c>
      <c r="B99" s="34" t="s">
        <v>2100</v>
      </c>
      <c r="C99" s="34" t="s">
        <v>2101</v>
      </c>
      <c r="D99" s="34" t="s">
        <v>1544</v>
      </c>
      <c r="E99" s="34" t="s">
        <v>808</v>
      </c>
      <c r="F99" s="34">
        <v>8</v>
      </c>
      <c r="G99" s="34" t="s">
        <v>35</v>
      </c>
      <c r="H99" s="34">
        <v>6.75</v>
      </c>
      <c r="I99" s="12">
        <f t="shared" si="22"/>
        <v>54</v>
      </c>
      <c r="J99" s="12">
        <f t="shared" si="23"/>
        <v>111.5</v>
      </c>
      <c r="K99" s="12">
        <f t="shared" si="24"/>
        <v>48</v>
      </c>
      <c r="L99" s="12">
        <f t="shared" ref="L99:L130" si="41">SUMIF(G$3:G$166,G99,H$3:H$166)</f>
        <v>435.75</v>
      </c>
      <c r="M99" s="12">
        <f t="shared" si="25"/>
        <v>33</v>
      </c>
      <c r="N99" s="12" t="b">
        <f t="shared" si="32"/>
        <v>1</v>
      </c>
      <c r="O99" s="12" t="b">
        <f t="shared" si="33"/>
        <v>1</v>
      </c>
      <c r="P99" s="12" t="str">
        <f t="shared" si="26"/>
        <v>cans -8</v>
      </c>
      <c r="Q99" s="17" t="str">
        <f t="shared" si="27"/>
        <v>S00451
P010</v>
      </c>
      <c r="R99" s="12" t="b">
        <f t="shared" si="28"/>
        <v>0</v>
      </c>
      <c r="S99" s="12" t="str">
        <f t="shared" si="29"/>
        <v>441</v>
      </c>
      <c r="T99" s="12" t="str">
        <f t="shared" si="30"/>
        <v>CANS</v>
      </c>
      <c r="U99" s="12" t="str">
        <f t="shared" si="31"/>
        <v>cans</v>
      </c>
      <c r="V99" s="12">
        <f t="shared" si="34"/>
        <v>1</v>
      </c>
      <c r="W99" s="12" t="str">
        <f t="shared" si="35"/>
        <v>10 I00002</v>
      </c>
      <c r="X99" s="12" t="str">
        <f t="shared" si="36"/>
        <v>TRUI</v>
      </c>
      <c r="Y99" s="12" t="str">
        <f t="shared" si="37"/>
        <v>4</v>
      </c>
      <c r="Z99" s="12" t="str">
        <f t="shared" si="38"/>
        <v>5</v>
      </c>
      <c r="AA99" s="12">
        <f t="shared" si="39"/>
        <v>2</v>
      </c>
      <c r="AB99" s="12">
        <f t="shared" si="40"/>
        <v>9</v>
      </c>
    </row>
    <row r="100" spans="1:28" ht="30" x14ac:dyDescent="0.25">
      <c r="A100" s="34" t="s">
        <v>743</v>
      </c>
      <c r="B100" s="34" t="s">
        <v>543</v>
      </c>
      <c r="C100" s="34" t="s">
        <v>2102</v>
      </c>
      <c r="D100" s="34" t="s">
        <v>939</v>
      </c>
      <c r="E100" s="34" t="s">
        <v>1804</v>
      </c>
      <c r="F100" s="34">
        <v>4</v>
      </c>
      <c r="G100" s="34" t="s">
        <v>35</v>
      </c>
      <c r="H100" s="34">
        <v>11.5</v>
      </c>
      <c r="I100" s="12">
        <f t="shared" si="22"/>
        <v>46</v>
      </c>
      <c r="J100" s="12">
        <f t="shared" si="23"/>
        <v>121</v>
      </c>
      <c r="K100" s="12">
        <f t="shared" si="24"/>
        <v>50</v>
      </c>
      <c r="L100" s="12">
        <f t="shared" si="41"/>
        <v>435.75</v>
      </c>
      <c r="M100" s="12">
        <f t="shared" si="25"/>
        <v>33</v>
      </c>
      <c r="N100" s="12" t="b">
        <f t="shared" si="32"/>
        <v>0</v>
      </c>
      <c r="O100" s="12" t="b">
        <f t="shared" si="33"/>
        <v>1</v>
      </c>
      <c r="P100" s="12" t="str">
        <f t="shared" si="26"/>
        <v>cans -4</v>
      </c>
      <c r="Q100" s="17" t="str">
        <f t="shared" si="27"/>
        <v>S00471
P007</v>
      </c>
      <c r="R100" s="12" t="b">
        <f t="shared" si="28"/>
        <v>0</v>
      </c>
      <c r="S100" s="12" t="str">
        <f t="shared" si="29"/>
        <v>863</v>
      </c>
      <c r="T100" s="12" t="str">
        <f t="shared" si="30"/>
        <v>CANS</v>
      </c>
      <c r="U100" s="12" t="str">
        <f t="shared" si="31"/>
        <v>cans</v>
      </c>
      <c r="V100" s="12">
        <f t="shared" si="34"/>
        <v>1</v>
      </c>
      <c r="W100" s="12" t="str">
        <f t="shared" si="35"/>
        <v>60 I00025</v>
      </c>
      <c r="X100" s="12" t="str">
        <f t="shared" si="36"/>
        <v>TRUI</v>
      </c>
      <c r="Y100" s="12" t="str">
        <f t="shared" si="37"/>
        <v>4</v>
      </c>
      <c r="Z100" s="12" t="str">
        <f t="shared" si="38"/>
        <v>5</v>
      </c>
      <c r="AA100" s="12">
        <f t="shared" si="39"/>
        <v>2</v>
      </c>
      <c r="AB100" s="12">
        <f t="shared" si="40"/>
        <v>9</v>
      </c>
    </row>
    <row r="101" spans="1:28" ht="30" x14ac:dyDescent="0.25">
      <c r="A101" s="34" t="s">
        <v>30</v>
      </c>
      <c r="B101" s="34" t="s">
        <v>670</v>
      </c>
      <c r="C101" s="34" t="s">
        <v>2103</v>
      </c>
      <c r="D101" s="34" t="s">
        <v>1171</v>
      </c>
      <c r="E101" s="34" t="s">
        <v>662</v>
      </c>
      <c r="F101" s="34">
        <v>10</v>
      </c>
      <c r="G101" s="34" t="s">
        <v>13</v>
      </c>
      <c r="H101" s="34">
        <v>44</v>
      </c>
      <c r="I101" s="12">
        <f t="shared" si="22"/>
        <v>440</v>
      </c>
      <c r="J101" s="12">
        <f t="shared" si="23"/>
        <v>3</v>
      </c>
      <c r="K101" s="12">
        <f t="shared" si="24"/>
        <v>4</v>
      </c>
      <c r="L101" s="12">
        <f t="shared" si="41"/>
        <v>1195.5</v>
      </c>
      <c r="M101" s="12">
        <f t="shared" si="25"/>
        <v>60</v>
      </c>
      <c r="N101" s="12" t="b">
        <f t="shared" si="32"/>
        <v>0</v>
      </c>
      <c r="O101" s="12" t="b">
        <f t="shared" si="33"/>
        <v>1</v>
      </c>
      <c r="P101" s="12" t="str">
        <f t="shared" si="26"/>
        <v>ct -10</v>
      </c>
      <c r="Q101" s="17" t="str">
        <f t="shared" si="27"/>
        <v>S00274
P014</v>
      </c>
      <c r="R101" s="12" t="b">
        <f t="shared" si="28"/>
        <v>0</v>
      </c>
      <c r="S101" s="12" t="str">
        <f t="shared" si="29"/>
        <v>844</v>
      </c>
      <c r="T101" s="12" t="str">
        <f t="shared" si="30"/>
        <v>CT</v>
      </c>
      <c r="U101" s="12" t="str">
        <f t="shared" si="31"/>
        <v>ct</v>
      </c>
      <c r="V101" s="12">
        <f t="shared" si="34"/>
        <v>1</v>
      </c>
      <c r="W101" s="12" t="str">
        <f t="shared" si="35"/>
        <v>33 I00114</v>
      </c>
      <c r="X101" s="12" t="str">
        <f t="shared" si="36"/>
        <v>TRUI</v>
      </c>
      <c r="Y101" s="12" t="str">
        <f t="shared" si="37"/>
        <v>1</v>
      </c>
      <c r="Z101" s="12" t="str">
        <f t="shared" si="38"/>
        <v>5</v>
      </c>
      <c r="AA101" s="12">
        <f t="shared" si="39"/>
        <v>2</v>
      </c>
      <c r="AB101" s="12">
        <f t="shared" si="40"/>
        <v>9</v>
      </c>
    </row>
    <row r="102" spans="1:28" ht="30" x14ac:dyDescent="0.25">
      <c r="A102" s="34" t="s">
        <v>66</v>
      </c>
      <c r="B102" s="34" t="s">
        <v>2104</v>
      </c>
      <c r="C102" s="34" t="s">
        <v>2105</v>
      </c>
      <c r="D102" s="34" t="s">
        <v>782</v>
      </c>
      <c r="E102" s="34" t="s">
        <v>462</v>
      </c>
      <c r="F102" s="34">
        <v>11</v>
      </c>
      <c r="G102" s="34" t="s">
        <v>13</v>
      </c>
      <c r="H102" s="34">
        <v>26</v>
      </c>
      <c r="I102" s="12">
        <f t="shared" si="22"/>
        <v>286</v>
      </c>
      <c r="J102" s="12">
        <f t="shared" si="23"/>
        <v>6.5</v>
      </c>
      <c r="K102" s="12">
        <f t="shared" si="24"/>
        <v>6</v>
      </c>
      <c r="L102" s="12">
        <f t="shared" si="41"/>
        <v>1195.5</v>
      </c>
      <c r="M102" s="12">
        <f t="shared" si="25"/>
        <v>60</v>
      </c>
      <c r="N102" s="12" t="b">
        <f t="shared" si="32"/>
        <v>0</v>
      </c>
      <c r="O102" s="12" t="b">
        <f t="shared" si="33"/>
        <v>1</v>
      </c>
      <c r="P102" s="12" t="str">
        <f t="shared" si="26"/>
        <v>ct -11</v>
      </c>
      <c r="Q102" s="17" t="str">
        <f t="shared" si="27"/>
        <v>S00113
P027</v>
      </c>
      <c r="R102" s="12" t="b">
        <f t="shared" si="28"/>
        <v>0</v>
      </c>
      <c r="S102" s="12" t="str">
        <f t="shared" si="29"/>
        <v>440</v>
      </c>
      <c r="T102" s="12" t="str">
        <f t="shared" si="30"/>
        <v>CT</v>
      </c>
      <c r="U102" s="12" t="str">
        <f t="shared" si="31"/>
        <v>ct</v>
      </c>
      <c r="V102" s="12">
        <f t="shared" si="34"/>
        <v>1</v>
      </c>
      <c r="W102" s="12" t="str">
        <f t="shared" si="35"/>
        <v>4 I00181</v>
      </c>
      <c r="X102" s="12" t="str">
        <f t="shared" si="36"/>
        <v>TRUI</v>
      </c>
      <c r="Y102" s="12" t="str">
        <f t="shared" si="37"/>
        <v>1</v>
      </c>
      <c r="Z102" s="12" t="str">
        <f t="shared" si="38"/>
        <v>5</v>
      </c>
      <c r="AA102" s="12">
        <f t="shared" si="39"/>
        <v>2</v>
      </c>
      <c r="AB102" s="12">
        <f t="shared" si="40"/>
        <v>8</v>
      </c>
    </row>
    <row r="103" spans="1:28" ht="30" x14ac:dyDescent="0.25">
      <c r="A103" s="34" t="s">
        <v>8</v>
      </c>
      <c r="B103" s="34" t="s">
        <v>2106</v>
      </c>
      <c r="C103" s="34" t="s">
        <v>2107</v>
      </c>
      <c r="D103" s="34" t="s">
        <v>1878</v>
      </c>
      <c r="E103" s="34" t="s">
        <v>2108</v>
      </c>
      <c r="F103" s="34">
        <v>11</v>
      </c>
      <c r="G103" s="34" t="s">
        <v>13</v>
      </c>
      <c r="H103" s="34">
        <v>14</v>
      </c>
      <c r="I103" s="12">
        <f t="shared" si="22"/>
        <v>154</v>
      </c>
      <c r="J103" s="12">
        <f t="shared" si="23"/>
        <v>28.5</v>
      </c>
      <c r="K103" s="12">
        <f t="shared" si="24"/>
        <v>17</v>
      </c>
      <c r="L103" s="12">
        <f t="shared" si="41"/>
        <v>1195.5</v>
      </c>
      <c r="M103" s="12">
        <f t="shared" si="25"/>
        <v>60</v>
      </c>
      <c r="N103" s="12" t="b">
        <f t="shared" si="32"/>
        <v>1</v>
      </c>
      <c r="O103" s="12" t="b">
        <f t="shared" si="33"/>
        <v>1</v>
      </c>
      <c r="P103" s="12" t="str">
        <f t="shared" si="26"/>
        <v>ct -11</v>
      </c>
      <c r="Q103" s="17" t="str">
        <f t="shared" si="27"/>
        <v>S00701
P026</v>
      </c>
      <c r="R103" s="12" t="b">
        <f t="shared" si="28"/>
        <v>0</v>
      </c>
      <c r="S103" s="12" t="str">
        <f t="shared" si="29"/>
        <v>817</v>
      </c>
      <c r="T103" s="12" t="str">
        <f t="shared" si="30"/>
        <v>CT</v>
      </c>
      <c r="U103" s="12" t="str">
        <f t="shared" si="31"/>
        <v>ct</v>
      </c>
      <c r="V103" s="12">
        <f t="shared" si="34"/>
        <v>1</v>
      </c>
      <c r="W103" s="12" t="str">
        <f t="shared" si="35"/>
        <v>60 I00130</v>
      </c>
      <c r="X103" s="12" t="str">
        <f t="shared" si="36"/>
        <v>TRUI</v>
      </c>
      <c r="Y103" s="12" t="str">
        <f t="shared" si="37"/>
        <v>1</v>
      </c>
      <c r="Z103" s="12" t="str">
        <f t="shared" si="38"/>
        <v>5</v>
      </c>
      <c r="AA103" s="12">
        <f t="shared" si="39"/>
        <v>2</v>
      </c>
      <c r="AB103" s="12">
        <f t="shared" si="40"/>
        <v>9</v>
      </c>
    </row>
    <row r="104" spans="1:28" ht="30" x14ac:dyDescent="0.25">
      <c r="A104" s="34" t="s">
        <v>359</v>
      </c>
      <c r="B104" s="34" t="s">
        <v>512</v>
      </c>
      <c r="C104" s="34" t="s">
        <v>2109</v>
      </c>
      <c r="D104" s="34" t="s">
        <v>89</v>
      </c>
      <c r="E104" s="34" t="s">
        <v>191</v>
      </c>
      <c r="F104" s="34">
        <v>3</v>
      </c>
      <c r="G104" s="34" t="s">
        <v>35</v>
      </c>
      <c r="H104" s="34">
        <v>6.75</v>
      </c>
      <c r="I104" s="12">
        <f t="shared" si="22"/>
        <v>20.25</v>
      </c>
      <c r="J104" s="12">
        <f t="shared" si="23"/>
        <v>145.5</v>
      </c>
      <c r="K104" s="12">
        <f t="shared" si="24"/>
        <v>55</v>
      </c>
      <c r="L104" s="12">
        <f t="shared" si="41"/>
        <v>435.75</v>
      </c>
      <c r="M104" s="12">
        <f t="shared" si="25"/>
        <v>33</v>
      </c>
      <c r="N104" s="12" t="b">
        <f t="shared" si="32"/>
        <v>0</v>
      </c>
      <c r="O104" s="12" t="b">
        <f t="shared" si="33"/>
        <v>1</v>
      </c>
      <c r="P104" s="12" t="str">
        <f t="shared" si="26"/>
        <v>cans -3</v>
      </c>
      <c r="Q104" s="17" t="str">
        <f t="shared" si="27"/>
        <v>S0037
P004</v>
      </c>
      <c r="R104" s="12" t="b">
        <f t="shared" si="28"/>
        <v>0</v>
      </c>
      <c r="S104" s="12" t="str">
        <f t="shared" si="29"/>
        <v>593</v>
      </c>
      <c r="T104" s="12" t="str">
        <f t="shared" si="30"/>
        <v>CANS</v>
      </c>
      <c r="U104" s="12" t="str">
        <f t="shared" si="31"/>
        <v>cans</v>
      </c>
      <c r="V104" s="12">
        <f t="shared" si="34"/>
        <v>1</v>
      </c>
      <c r="W104" s="12" t="str">
        <f t="shared" si="35"/>
        <v>5 I00023</v>
      </c>
      <c r="X104" s="12" t="str">
        <f t="shared" si="36"/>
        <v>TRUI</v>
      </c>
      <c r="Y104" s="12" t="str">
        <f t="shared" si="37"/>
        <v>4</v>
      </c>
      <c r="Z104" s="12" t="str">
        <f t="shared" si="38"/>
        <v>5</v>
      </c>
      <c r="AA104" s="12">
        <f t="shared" si="39"/>
        <v>2</v>
      </c>
      <c r="AB104" s="12">
        <f t="shared" si="40"/>
        <v>8</v>
      </c>
    </row>
    <row r="105" spans="1:28" ht="30" x14ac:dyDescent="0.25">
      <c r="A105" s="34" t="s">
        <v>101</v>
      </c>
      <c r="B105" s="34" t="s">
        <v>2110</v>
      </c>
      <c r="C105" s="34" t="s">
        <v>2111</v>
      </c>
      <c r="D105" s="34" t="s">
        <v>537</v>
      </c>
      <c r="E105" s="34" t="s">
        <v>208</v>
      </c>
      <c r="F105" s="34">
        <v>9</v>
      </c>
      <c r="G105" s="34" t="s">
        <v>60</v>
      </c>
      <c r="H105" s="34">
        <v>10</v>
      </c>
      <c r="I105" s="12">
        <f t="shared" si="22"/>
        <v>90</v>
      </c>
      <c r="J105" s="12">
        <f t="shared" si="23"/>
        <v>77.5</v>
      </c>
      <c r="K105" s="12">
        <f t="shared" si="24"/>
        <v>35</v>
      </c>
      <c r="L105" s="12">
        <f t="shared" si="41"/>
        <v>333.5</v>
      </c>
      <c r="M105" s="12">
        <f t="shared" si="25"/>
        <v>18</v>
      </c>
      <c r="N105" s="12" t="b">
        <f t="shared" si="32"/>
        <v>1</v>
      </c>
      <c r="O105" s="12" t="b">
        <f t="shared" si="33"/>
        <v>1</v>
      </c>
      <c r="P105" s="12" t="str">
        <f t="shared" si="26"/>
        <v>bottles -9</v>
      </c>
      <c r="Q105" s="17" t="str">
        <f t="shared" si="27"/>
        <v>S00343
P011</v>
      </c>
      <c r="R105" s="12" t="b">
        <f t="shared" si="28"/>
        <v>0</v>
      </c>
      <c r="S105" s="12" t="str">
        <f t="shared" si="29"/>
        <v>920</v>
      </c>
      <c r="T105" s="12" t="str">
        <f t="shared" si="30"/>
        <v>BOTTLES</v>
      </c>
      <c r="U105" s="12" t="str">
        <f t="shared" si="31"/>
        <v>bottles</v>
      </c>
      <c r="V105" s="12">
        <f t="shared" si="34"/>
        <v>1</v>
      </c>
      <c r="W105" s="12" t="str">
        <f t="shared" si="35"/>
        <v>60 I00092</v>
      </c>
      <c r="X105" s="12" t="str">
        <f t="shared" si="36"/>
        <v>TRUI</v>
      </c>
      <c r="Y105" s="12" t="str">
        <f t="shared" si="37"/>
        <v>3</v>
      </c>
      <c r="Z105" s="12" t="str">
        <f t="shared" si="38"/>
        <v>5</v>
      </c>
      <c r="AA105" s="12">
        <f t="shared" si="39"/>
        <v>2</v>
      </c>
      <c r="AB105" s="12">
        <f t="shared" si="40"/>
        <v>9</v>
      </c>
    </row>
    <row r="106" spans="1:28" ht="30" x14ac:dyDescent="0.25">
      <c r="A106" s="34" t="s">
        <v>146</v>
      </c>
      <c r="B106" s="34" t="s">
        <v>1820</v>
      </c>
      <c r="C106" s="34" t="s">
        <v>2112</v>
      </c>
      <c r="D106" s="34" t="s">
        <v>1313</v>
      </c>
      <c r="E106" s="34" t="s">
        <v>2113</v>
      </c>
      <c r="F106" s="34">
        <v>10</v>
      </c>
      <c r="G106" s="34" t="s">
        <v>269</v>
      </c>
      <c r="H106" s="34">
        <v>15</v>
      </c>
      <c r="I106" s="12">
        <f t="shared" si="22"/>
        <v>150</v>
      </c>
      <c r="J106" s="12">
        <f t="shared" si="23"/>
        <v>34</v>
      </c>
      <c r="K106" s="12">
        <f t="shared" si="24"/>
        <v>20</v>
      </c>
      <c r="L106" s="12">
        <f t="shared" si="41"/>
        <v>81</v>
      </c>
      <c r="M106" s="12">
        <f t="shared" si="25"/>
        <v>6</v>
      </c>
      <c r="N106" s="12" t="b">
        <f t="shared" si="32"/>
        <v>1</v>
      </c>
      <c r="O106" s="12" t="b">
        <f t="shared" si="33"/>
        <v>1</v>
      </c>
      <c r="P106" s="12" t="str">
        <f t="shared" si="26"/>
        <v>ct. -10</v>
      </c>
      <c r="Q106" s="17" t="str">
        <f t="shared" si="27"/>
        <v>S00723
P010</v>
      </c>
      <c r="R106" s="12" t="b">
        <f t="shared" si="28"/>
        <v>0</v>
      </c>
      <c r="S106" s="12" t="str">
        <f t="shared" si="29"/>
        <v>868</v>
      </c>
      <c r="T106" s="12" t="str">
        <f t="shared" si="30"/>
        <v>CT.</v>
      </c>
      <c r="U106" s="12" t="str">
        <f t="shared" si="31"/>
        <v>ct.</v>
      </c>
      <c r="V106" s="12">
        <f t="shared" si="34"/>
        <v>1</v>
      </c>
      <c r="W106" s="12" t="str">
        <f t="shared" si="35"/>
        <v>60 I00211</v>
      </c>
      <c r="X106" s="12" t="str">
        <f t="shared" si="36"/>
        <v>TRUI</v>
      </c>
      <c r="Y106" s="12" t="str">
        <f t="shared" si="37"/>
        <v>8</v>
      </c>
      <c r="Z106" s="12" t="str">
        <f t="shared" si="38"/>
        <v>1</v>
      </c>
      <c r="AA106" s="12">
        <f t="shared" si="39"/>
        <v>2</v>
      </c>
      <c r="AB106" s="12">
        <f t="shared" si="40"/>
        <v>9</v>
      </c>
    </row>
    <row r="107" spans="1:28" ht="30" x14ac:dyDescent="0.25">
      <c r="A107" s="34" t="s">
        <v>91</v>
      </c>
      <c r="B107" s="34" t="s">
        <v>2114</v>
      </c>
      <c r="C107" s="34" t="s">
        <v>2115</v>
      </c>
      <c r="D107" s="34" t="s">
        <v>110</v>
      </c>
      <c r="E107" s="34" t="s">
        <v>244</v>
      </c>
      <c r="F107" s="34">
        <v>5</v>
      </c>
      <c r="G107" s="34" t="s">
        <v>60</v>
      </c>
      <c r="H107" s="34">
        <v>7.5</v>
      </c>
      <c r="I107" s="12">
        <f t="shared" si="22"/>
        <v>37.5</v>
      </c>
      <c r="J107" s="12">
        <f t="shared" si="23"/>
        <v>128</v>
      </c>
      <c r="K107" s="12">
        <f t="shared" si="24"/>
        <v>47</v>
      </c>
      <c r="L107" s="12">
        <f t="shared" si="41"/>
        <v>333.5</v>
      </c>
      <c r="M107" s="12">
        <f t="shared" si="25"/>
        <v>18</v>
      </c>
      <c r="N107" s="12" t="b">
        <f t="shared" si="32"/>
        <v>1</v>
      </c>
      <c r="O107" s="12" t="b">
        <f t="shared" si="33"/>
        <v>1</v>
      </c>
      <c r="P107" s="12" t="str">
        <f t="shared" si="26"/>
        <v>bottles -5</v>
      </c>
      <c r="Q107" s="17" t="str">
        <f t="shared" si="27"/>
        <v>S00169
P003</v>
      </c>
      <c r="R107" s="12" t="b">
        <f t="shared" si="28"/>
        <v>0</v>
      </c>
      <c r="S107" s="12" t="str">
        <f t="shared" si="29"/>
        <v>410</v>
      </c>
      <c r="T107" s="12" t="str">
        <f t="shared" si="30"/>
        <v>BOTTLES</v>
      </c>
      <c r="U107" s="12" t="str">
        <f t="shared" si="31"/>
        <v>bottles</v>
      </c>
      <c r="V107" s="12">
        <f t="shared" si="34"/>
        <v>1</v>
      </c>
      <c r="W107" s="12" t="str">
        <f t="shared" si="35"/>
        <v>6 I00091</v>
      </c>
      <c r="X107" s="12" t="str">
        <f t="shared" si="36"/>
        <v>TRUI</v>
      </c>
      <c r="Y107" s="12" t="str">
        <f t="shared" si="37"/>
        <v>3</v>
      </c>
      <c r="Z107" s="12" t="str">
        <f t="shared" si="38"/>
        <v>5</v>
      </c>
      <c r="AA107" s="12">
        <f t="shared" si="39"/>
        <v>2</v>
      </c>
      <c r="AB107" s="12">
        <f t="shared" si="40"/>
        <v>8</v>
      </c>
    </row>
    <row r="108" spans="1:28" ht="30" x14ac:dyDescent="0.25">
      <c r="A108" s="34" t="s">
        <v>283</v>
      </c>
      <c r="B108" s="34" t="s">
        <v>2116</v>
      </c>
      <c r="C108" s="34" t="s">
        <v>2117</v>
      </c>
      <c r="D108" s="34" t="s">
        <v>1177</v>
      </c>
      <c r="E108" s="34" t="s">
        <v>2118</v>
      </c>
      <c r="F108" s="34">
        <v>5</v>
      </c>
      <c r="G108" s="34" t="s">
        <v>13</v>
      </c>
      <c r="H108" s="34">
        <v>12.5</v>
      </c>
      <c r="I108" s="12">
        <f t="shared" si="22"/>
        <v>62.5</v>
      </c>
      <c r="J108" s="12">
        <f t="shared" si="23"/>
        <v>100</v>
      </c>
      <c r="K108" s="12">
        <f t="shared" si="24"/>
        <v>40</v>
      </c>
      <c r="L108" s="12">
        <f t="shared" si="41"/>
        <v>1195.5</v>
      </c>
      <c r="M108" s="12">
        <f t="shared" si="25"/>
        <v>60</v>
      </c>
      <c r="N108" s="12" t="b">
        <f t="shared" si="32"/>
        <v>1</v>
      </c>
      <c r="O108" s="12" t="b">
        <f t="shared" si="33"/>
        <v>1</v>
      </c>
      <c r="P108" s="12" t="str">
        <f t="shared" si="26"/>
        <v>ct -5</v>
      </c>
      <c r="Q108" s="17" t="str">
        <f t="shared" si="27"/>
        <v>S0019
P039</v>
      </c>
      <c r="R108" s="12" t="b">
        <f t="shared" si="28"/>
        <v>0</v>
      </c>
      <c r="S108" s="12" t="str">
        <f t="shared" si="29"/>
        <v>376</v>
      </c>
      <c r="T108" s="12" t="str">
        <f t="shared" si="30"/>
        <v>CT</v>
      </c>
      <c r="U108" s="12" t="str">
        <f t="shared" si="31"/>
        <v>ct</v>
      </c>
      <c r="V108" s="12">
        <f t="shared" si="34"/>
        <v>1</v>
      </c>
      <c r="W108" s="12" t="str">
        <f t="shared" si="35"/>
        <v>60 I00142</v>
      </c>
      <c r="X108" s="12" t="str">
        <f t="shared" si="36"/>
        <v>TRUI</v>
      </c>
      <c r="Y108" s="12" t="str">
        <f t="shared" si="37"/>
        <v>1</v>
      </c>
      <c r="Z108" s="12" t="str">
        <f t="shared" si="38"/>
        <v>5</v>
      </c>
      <c r="AA108" s="12">
        <f t="shared" si="39"/>
        <v>2</v>
      </c>
      <c r="AB108" s="12">
        <f t="shared" si="40"/>
        <v>9</v>
      </c>
    </row>
    <row r="109" spans="1:28" ht="30" x14ac:dyDescent="0.25">
      <c r="A109" s="34" t="s">
        <v>459</v>
      </c>
      <c r="B109" s="34" t="s">
        <v>2119</v>
      </c>
      <c r="C109" s="34" t="s">
        <v>2120</v>
      </c>
      <c r="D109" s="34" t="s">
        <v>1526</v>
      </c>
      <c r="E109" s="34" t="s">
        <v>136</v>
      </c>
      <c r="F109" s="34">
        <v>7</v>
      </c>
      <c r="G109" s="34" t="s">
        <v>13</v>
      </c>
      <c r="H109" s="34">
        <v>46</v>
      </c>
      <c r="I109" s="12">
        <f t="shared" si="22"/>
        <v>322</v>
      </c>
      <c r="J109" s="12">
        <f t="shared" si="23"/>
        <v>4</v>
      </c>
      <c r="K109" s="12">
        <f t="shared" si="24"/>
        <v>4</v>
      </c>
      <c r="L109" s="12">
        <f t="shared" si="41"/>
        <v>1195.5</v>
      </c>
      <c r="M109" s="12">
        <f t="shared" si="25"/>
        <v>60</v>
      </c>
      <c r="N109" s="12" t="b">
        <f t="shared" si="32"/>
        <v>0</v>
      </c>
      <c r="O109" s="12" t="b">
        <f t="shared" si="33"/>
        <v>1</v>
      </c>
      <c r="P109" s="12" t="str">
        <f t="shared" si="26"/>
        <v>ct -7</v>
      </c>
      <c r="Q109" s="17" t="str">
        <f t="shared" si="27"/>
        <v>S00197
P038</v>
      </c>
      <c r="R109" s="12" t="b">
        <f t="shared" si="28"/>
        <v>0</v>
      </c>
      <c r="S109" s="12" t="str">
        <f t="shared" si="29"/>
        <v>188</v>
      </c>
      <c r="T109" s="12" t="str">
        <f t="shared" si="30"/>
        <v>CT</v>
      </c>
      <c r="U109" s="12" t="str">
        <f t="shared" si="31"/>
        <v>ct</v>
      </c>
      <c r="V109" s="12">
        <f t="shared" si="34"/>
        <v>1</v>
      </c>
      <c r="W109" s="12" t="str">
        <f t="shared" si="35"/>
        <v>60 I00117</v>
      </c>
      <c r="X109" s="12" t="str">
        <f t="shared" si="36"/>
        <v>TRUI</v>
      </c>
      <c r="Y109" s="12" t="str">
        <f t="shared" si="37"/>
        <v>1</v>
      </c>
      <c r="Z109" s="12" t="str">
        <f t="shared" si="38"/>
        <v>5</v>
      </c>
      <c r="AA109" s="12">
        <f t="shared" si="39"/>
        <v>2</v>
      </c>
      <c r="AB109" s="12">
        <f t="shared" si="40"/>
        <v>9</v>
      </c>
    </row>
    <row r="110" spans="1:28" ht="30" x14ac:dyDescent="0.25">
      <c r="A110" s="34" t="s">
        <v>240</v>
      </c>
      <c r="B110" s="34" t="s">
        <v>2121</v>
      </c>
      <c r="C110" s="34" t="s">
        <v>2122</v>
      </c>
      <c r="D110" s="34" t="s">
        <v>1880</v>
      </c>
      <c r="E110" s="34" t="s">
        <v>1863</v>
      </c>
      <c r="F110" s="34">
        <v>10</v>
      </c>
      <c r="G110" s="34" t="s">
        <v>106</v>
      </c>
      <c r="H110" s="34">
        <v>15</v>
      </c>
      <c r="I110" s="12">
        <f t="shared" si="22"/>
        <v>150</v>
      </c>
      <c r="J110" s="12">
        <f t="shared" si="23"/>
        <v>34</v>
      </c>
      <c r="K110" s="12">
        <f t="shared" si="24"/>
        <v>19</v>
      </c>
      <c r="L110" s="12">
        <f t="shared" si="41"/>
        <v>163</v>
      </c>
      <c r="M110" s="12">
        <f t="shared" si="25"/>
        <v>10</v>
      </c>
      <c r="N110" s="12" t="b">
        <f t="shared" si="32"/>
        <v>1</v>
      </c>
      <c r="O110" s="12" t="b">
        <f t="shared" si="33"/>
        <v>1</v>
      </c>
      <c r="P110" s="12" t="str">
        <f t="shared" si="26"/>
        <v>bags -10</v>
      </c>
      <c r="Q110" s="17" t="str">
        <f t="shared" si="27"/>
        <v>S00365
P024</v>
      </c>
      <c r="R110" s="12" t="b">
        <f t="shared" si="28"/>
        <v>0</v>
      </c>
      <c r="S110" s="12" t="str">
        <f t="shared" si="29"/>
        <v>999</v>
      </c>
      <c r="T110" s="12" t="str">
        <f t="shared" si="30"/>
        <v>BAGS</v>
      </c>
      <c r="U110" s="12" t="str">
        <f t="shared" si="31"/>
        <v>bags</v>
      </c>
      <c r="V110" s="12">
        <f t="shared" si="34"/>
        <v>1</v>
      </c>
      <c r="W110" s="12" t="str">
        <f t="shared" si="35"/>
        <v>60 I00152</v>
      </c>
      <c r="X110" s="12" t="str">
        <f t="shared" si="36"/>
        <v>TRUI</v>
      </c>
      <c r="Y110" s="12" t="str">
        <f t="shared" si="37"/>
        <v>1</v>
      </c>
      <c r="Z110" s="12" t="str">
        <f t="shared" si="38"/>
        <v>3</v>
      </c>
      <c r="AA110" s="12">
        <f t="shared" si="39"/>
        <v>2</v>
      </c>
      <c r="AB110" s="12">
        <f t="shared" si="40"/>
        <v>9</v>
      </c>
    </row>
    <row r="111" spans="1:28" ht="30" x14ac:dyDescent="0.25">
      <c r="A111" s="34" t="s">
        <v>30</v>
      </c>
      <c r="B111" s="34" t="s">
        <v>2123</v>
      </c>
      <c r="C111" s="34" t="s">
        <v>2124</v>
      </c>
      <c r="D111" s="34" t="s">
        <v>74</v>
      </c>
      <c r="E111" s="34" t="s">
        <v>2125</v>
      </c>
      <c r="F111" s="34">
        <v>2</v>
      </c>
      <c r="G111" s="34" t="s">
        <v>35</v>
      </c>
      <c r="H111" s="34">
        <v>6.75</v>
      </c>
      <c r="I111" s="12">
        <f t="shared" si="22"/>
        <v>13.5</v>
      </c>
      <c r="J111" s="12">
        <f t="shared" si="23"/>
        <v>154.5</v>
      </c>
      <c r="K111" s="12">
        <f t="shared" si="24"/>
        <v>52</v>
      </c>
      <c r="L111" s="12">
        <f t="shared" si="41"/>
        <v>435.75</v>
      </c>
      <c r="M111" s="12">
        <f t="shared" si="25"/>
        <v>33</v>
      </c>
      <c r="N111" s="12" t="b">
        <f t="shared" si="32"/>
        <v>0</v>
      </c>
      <c r="O111" s="12" t="b">
        <f t="shared" si="33"/>
        <v>1</v>
      </c>
      <c r="P111" s="12" t="str">
        <f t="shared" si="26"/>
        <v>cans -2</v>
      </c>
      <c r="Q111" s="17" t="str">
        <f t="shared" si="27"/>
        <v>S00292
P014</v>
      </c>
      <c r="R111" s="12" t="b">
        <f t="shared" si="28"/>
        <v>0</v>
      </c>
      <c r="S111" s="12" t="str">
        <f t="shared" si="29"/>
        <v>575</v>
      </c>
      <c r="T111" s="12" t="str">
        <f t="shared" si="30"/>
        <v>CANS</v>
      </c>
      <c r="U111" s="12" t="str">
        <f t="shared" si="31"/>
        <v>cans</v>
      </c>
      <c r="V111" s="12">
        <f t="shared" si="34"/>
        <v>1</v>
      </c>
      <c r="W111" s="12" t="str">
        <f t="shared" si="35"/>
        <v>1 I00017</v>
      </c>
      <c r="X111" s="12" t="str">
        <f t="shared" si="36"/>
        <v>TRUI</v>
      </c>
      <c r="Y111" s="12" t="str">
        <f t="shared" si="37"/>
        <v>4</v>
      </c>
      <c r="Z111" s="12" t="str">
        <f t="shared" si="38"/>
        <v>5</v>
      </c>
      <c r="AA111" s="12">
        <f t="shared" si="39"/>
        <v>2</v>
      </c>
      <c r="AB111" s="12">
        <f t="shared" si="40"/>
        <v>8</v>
      </c>
    </row>
    <row r="112" spans="1:28" ht="30" x14ac:dyDescent="0.25">
      <c r="A112" s="34" t="s">
        <v>91</v>
      </c>
      <c r="B112" s="34" t="s">
        <v>1858</v>
      </c>
      <c r="C112" s="34" t="s">
        <v>2126</v>
      </c>
      <c r="D112" s="34" t="s">
        <v>301</v>
      </c>
      <c r="E112" s="34" t="s">
        <v>2127</v>
      </c>
      <c r="F112" s="34">
        <v>11</v>
      </c>
      <c r="G112" s="34" t="s">
        <v>35</v>
      </c>
      <c r="H112" s="34">
        <v>55</v>
      </c>
      <c r="I112" s="12">
        <f t="shared" si="22"/>
        <v>605</v>
      </c>
      <c r="J112" s="12">
        <f t="shared" si="23"/>
        <v>1</v>
      </c>
      <c r="K112" s="12">
        <f t="shared" si="24"/>
        <v>2</v>
      </c>
      <c r="L112" s="12">
        <f t="shared" si="41"/>
        <v>435.75</v>
      </c>
      <c r="M112" s="12">
        <f t="shared" si="25"/>
        <v>33</v>
      </c>
      <c r="N112" s="12" t="b">
        <f t="shared" si="32"/>
        <v>0</v>
      </c>
      <c r="O112" s="12" t="b">
        <f t="shared" si="33"/>
        <v>1</v>
      </c>
      <c r="P112" s="12" t="str">
        <f t="shared" si="26"/>
        <v>cans -11</v>
      </c>
      <c r="Q112" s="17" t="str">
        <f t="shared" si="27"/>
        <v>S00287
P003</v>
      </c>
      <c r="R112" s="12" t="b">
        <f t="shared" si="28"/>
        <v>0</v>
      </c>
      <c r="S112" s="12" t="str">
        <f t="shared" si="29"/>
        <v>219</v>
      </c>
      <c r="T112" s="12" t="str">
        <f t="shared" si="30"/>
        <v>CANS</v>
      </c>
      <c r="U112" s="12" t="str">
        <f t="shared" si="31"/>
        <v>cans</v>
      </c>
      <c r="V112" s="12">
        <f t="shared" si="34"/>
        <v>1</v>
      </c>
      <c r="W112" s="12" t="str">
        <f t="shared" si="35"/>
        <v>4 I00061</v>
      </c>
      <c r="X112" s="12" t="str">
        <f t="shared" si="36"/>
        <v>TRUI</v>
      </c>
      <c r="Y112" s="12" t="str">
        <f t="shared" si="37"/>
        <v>4</v>
      </c>
      <c r="Z112" s="12" t="str">
        <f t="shared" si="38"/>
        <v>5</v>
      </c>
      <c r="AA112" s="12">
        <f t="shared" si="39"/>
        <v>2</v>
      </c>
      <c r="AB112" s="12">
        <f t="shared" si="40"/>
        <v>8</v>
      </c>
    </row>
    <row r="113" spans="1:28" ht="30" x14ac:dyDescent="0.25">
      <c r="A113" s="34" t="s">
        <v>30</v>
      </c>
      <c r="B113" s="34" t="s">
        <v>2128</v>
      </c>
      <c r="C113" s="34" t="s">
        <v>2129</v>
      </c>
      <c r="D113" s="34" t="s">
        <v>677</v>
      </c>
      <c r="E113" s="34" t="s">
        <v>2130</v>
      </c>
      <c r="F113" s="34">
        <v>10</v>
      </c>
      <c r="G113" s="34" t="s">
        <v>60</v>
      </c>
      <c r="H113" s="34">
        <v>20</v>
      </c>
      <c r="I113" s="12">
        <f t="shared" si="22"/>
        <v>200</v>
      </c>
      <c r="J113" s="12">
        <f t="shared" si="23"/>
        <v>14</v>
      </c>
      <c r="K113" s="12">
        <f t="shared" si="24"/>
        <v>7</v>
      </c>
      <c r="L113" s="12">
        <f t="shared" si="41"/>
        <v>333.5</v>
      </c>
      <c r="M113" s="12">
        <f t="shared" si="25"/>
        <v>18</v>
      </c>
      <c r="N113" s="12" t="b">
        <f t="shared" si="32"/>
        <v>1</v>
      </c>
      <c r="O113" s="12" t="b">
        <f t="shared" si="33"/>
        <v>1</v>
      </c>
      <c r="P113" s="12" t="str">
        <f t="shared" si="26"/>
        <v>bottles -10</v>
      </c>
      <c r="Q113" s="17" t="str">
        <f t="shared" si="27"/>
        <v>S00175
P014</v>
      </c>
      <c r="R113" s="12" t="b">
        <f t="shared" si="28"/>
        <v>0</v>
      </c>
      <c r="S113" s="12" t="str">
        <f t="shared" si="29"/>
        <v>933</v>
      </c>
      <c r="T113" s="12" t="str">
        <f t="shared" si="30"/>
        <v>BOTTLES</v>
      </c>
      <c r="U113" s="12" t="str">
        <f t="shared" si="31"/>
        <v>bottles</v>
      </c>
      <c r="V113" s="12">
        <f t="shared" si="34"/>
        <v>1</v>
      </c>
      <c r="W113" s="12" t="str">
        <f t="shared" si="35"/>
        <v>60 I00074</v>
      </c>
      <c r="X113" s="12" t="str">
        <f t="shared" si="36"/>
        <v>TRUI</v>
      </c>
      <c r="Y113" s="12" t="str">
        <f t="shared" si="37"/>
        <v>3</v>
      </c>
      <c r="Z113" s="12" t="str">
        <f t="shared" si="38"/>
        <v>5</v>
      </c>
      <c r="AA113" s="12">
        <f t="shared" si="39"/>
        <v>2</v>
      </c>
      <c r="AB113" s="12">
        <f t="shared" si="40"/>
        <v>9</v>
      </c>
    </row>
    <row r="114" spans="1:28" ht="30" x14ac:dyDescent="0.25">
      <c r="A114" s="34" t="s">
        <v>743</v>
      </c>
      <c r="B114" s="34" t="s">
        <v>2131</v>
      </c>
      <c r="C114" s="34" t="s">
        <v>2132</v>
      </c>
      <c r="D114" s="34" t="s">
        <v>252</v>
      </c>
      <c r="E114" s="34" t="s">
        <v>435</v>
      </c>
      <c r="F114" s="34">
        <v>6</v>
      </c>
      <c r="G114" s="34" t="s">
        <v>35</v>
      </c>
      <c r="H114" s="34">
        <v>6.75</v>
      </c>
      <c r="I114" s="12">
        <f t="shared" si="22"/>
        <v>40.5</v>
      </c>
      <c r="J114" s="12">
        <f t="shared" si="23"/>
        <v>124</v>
      </c>
      <c r="K114" s="12">
        <f t="shared" si="24"/>
        <v>41</v>
      </c>
      <c r="L114" s="12">
        <f t="shared" si="41"/>
        <v>435.75</v>
      </c>
      <c r="M114" s="12">
        <f t="shared" si="25"/>
        <v>33</v>
      </c>
      <c r="N114" s="12" t="b">
        <f t="shared" si="32"/>
        <v>1</v>
      </c>
      <c r="O114" s="12" t="b">
        <f t="shared" si="33"/>
        <v>1</v>
      </c>
      <c r="P114" s="12" t="str">
        <f t="shared" si="26"/>
        <v>cans -6</v>
      </c>
      <c r="Q114" s="17" t="str">
        <f t="shared" si="27"/>
        <v>S00680
P007</v>
      </c>
      <c r="R114" s="12" t="b">
        <f t="shared" si="28"/>
        <v>0</v>
      </c>
      <c r="S114" s="12" t="str">
        <f t="shared" si="29"/>
        <v>756</v>
      </c>
      <c r="T114" s="12" t="str">
        <f t="shared" si="30"/>
        <v>CANS</v>
      </c>
      <c r="U114" s="12" t="str">
        <f t="shared" si="31"/>
        <v>cans</v>
      </c>
      <c r="V114" s="12">
        <f t="shared" si="34"/>
        <v>1</v>
      </c>
      <c r="W114" s="12" t="str">
        <f t="shared" si="35"/>
        <v>33 I00007</v>
      </c>
      <c r="X114" s="12" t="str">
        <f t="shared" si="36"/>
        <v>TRUI</v>
      </c>
      <c r="Y114" s="12" t="str">
        <f t="shared" si="37"/>
        <v>4</v>
      </c>
      <c r="Z114" s="12" t="str">
        <f t="shared" si="38"/>
        <v>5</v>
      </c>
      <c r="AA114" s="12">
        <f t="shared" si="39"/>
        <v>2</v>
      </c>
      <c r="AB114" s="12">
        <f t="shared" si="40"/>
        <v>9</v>
      </c>
    </row>
    <row r="115" spans="1:28" ht="30" x14ac:dyDescent="0.25">
      <c r="A115" s="34" t="s">
        <v>283</v>
      </c>
      <c r="B115" s="34" t="s">
        <v>2133</v>
      </c>
      <c r="C115" s="34" t="s">
        <v>2134</v>
      </c>
      <c r="D115" s="34" t="s">
        <v>378</v>
      </c>
      <c r="E115" s="34" t="s">
        <v>323</v>
      </c>
      <c r="F115" s="34">
        <v>9</v>
      </c>
      <c r="G115" s="34" t="s">
        <v>13</v>
      </c>
      <c r="H115" s="34">
        <v>33</v>
      </c>
      <c r="I115" s="12">
        <f t="shared" si="22"/>
        <v>297</v>
      </c>
      <c r="J115" s="12">
        <f t="shared" si="23"/>
        <v>5</v>
      </c>
      <c r="K115" s="12">
        <f t="shared" si="24"/>
        <v>3</v>
      </c>
      <c r="L115" s="12">
        <f t="shared" si="41"/>
        <v>1195.5</v>
      </c>
      <c r="M115" s="12">
        <f t="shared" si="25"/>
        <v>60</v>
      </c>
      <c r="N115" s="12" t="b">
        <f t="shared" si="32"/>
        <v>0</v>
      </c>
      <c r="O115" s="12" t="b">
        <f t="shared" si="33"/>
        <v>1</v>
      </c>
      <c r="P115" s="12" t="str">
        <f t="shared" si="26"/>
        <v>ct -9</v>
      </c>
      <c r="Q115" s="17" t="str">
        <f t="shared" si="27"/>
        <v>S00102
P039</v>
      </c>
      <c r="R115" s="12" t="b">
        <f t="shared" si="28"/>
        <v>0</v>
      </c>
      <c r="S115" s="12" t="str">
        <f t="shared" si="29"/>
        <v>386</v>
      </c>
      <c r="T115" s="12" t="str">
        <f t="shared" si="30"/>
        <v>CT</v>
      </c>
      <c r="U115" s="12" t="str">
        <f t="shared" si="31"/>
        <v>ct</v>
      </c>
      <c r="V115" s="12">
        <f t="shared" si="34"/>
        <v>1</v>
      </c>
      <c r="W115" s="12" t="str">
        <f t="shared" si="35"/>
        <v>60 I00261</v>
      </c>
      <c r="X115" s="12" t="str">
        <f t="shared" si="36"/>
        <v>TRUI</v>
      </c>
      <c r="Y115" s="12" t="str">
        <f t="shared" si="37"/>
        <v>1</v>
      </c>
      <c r="Z115" s="12" t="str">
        <f t="shared" si="38"/>
        <v>5</v>
      </c>
      <c r="AA115" s="12">
        <f t="shared" si="39"/>
        <v>2</v>
      </c>
      <c r="AB115" s="12">
        <f t="shared" si="40"/>
        <v>9</v>
      </c>
    </row>
    <row r="116" spans="1:28" ht="30" x14ac:dyDescent="0.25">
      <c r="A116" s="34" t="s">
        <v>101</v>
      </c>
      <c r="B116" s="34" t="s">
        <v>2135</v>
      </c>
      <c r="C116" s="34" t="s">
        <v>2136</v>
      </c>
      <c r="D116" s="34" t="s">
        <v>967</v>
      </c>
      <c r="E116" s="34" t="s">
        <v>2137</v>
      </c>
      <c r="F116" s="34">
        <v>11</v>
      </c>
      <c r="G116" s="34" t="s">
        <v>13</v>
      </c>
      <c r="H116" s="34">
        <v>53</v>
      </c>
      <c r="I116" s="12">
        <f t="shared" si="22"/>
        <v>583</v>
      </c>
      <c r="J116" s="12">
        <f t="shared" si="23"/>
        <v>2</v>
      </c>
      <c r="K116" s="12">
        <f t="shared" si="24"/>
        <v>2</v>
      </c>
      <c r="L116" s="12">
        <f t="shared" si="41"/>
        <v>1195.5</v>
      </c>
      <c r="M116" s="12">
        <f t="shared" si="25"/>
        <v>60</v>
      </c>
      <c r="N116" s="12" t="b">
        <f t="shared" si="32"/>
        <v>0</v>
      </c>
      <c r="O116" s="12" t="b">
        <f t="shared" si="33"/>
        <v>1</v>
      </c>
      <c r="P116" s="12" t="str">
        <f t="shared" si="26"/>
        <v>ct -11</v>
      </c>
      <c r="Q116" s="17" t="str">
        <f t="shared" si="27"/>
        <v>S00181
P011</v>
      </c>
      <c r="R116" s="12" t="b">
        <f t="shared" si="28"/>
        <v>0</v>
      </c>
      <c r="S116" s="12" t="str">
        <f t="shared" si="29"/>
        <v>877</v>
      </c>
      <c r="T116" s="12" t="str">
        <f t="shared" si="30"/>
        <v>CT</v>
      </c>
      <c r="U116" s="12" t="str">
        <f t="shared" si="31"/>
        <v>ct</v>
      </c>
      <c r="V116" s="12">
        <f t="shared" si="34"/>
        <v>1</v>
      </c>
      <c r="W116" s="12" t="str">
        <f t="shared" si="35"/>
        <v>12 I00115</v>
      </c>
      <c r="X116" s="12" t="str">
        <f t="shared" si="36"/>
        <v>TRUI</v>
      </c>
      <c r="Y116" s="12" t="str">
        <f t="shared" si="37"/>
        <v>1</v>
      </c>
      <c r="Z116" s="12" t="str">
        <f t="shared" si="38"/>
        <v>5</v>
      </c>
      <c r="AA116" s="12">
        <f t="shared" si="39"/>
        <v>2</v>
      </c>
      <c r="AB116" s="12">
        <f t="shared" si="40"/>
        <v>9</v>
      </c>
    </row>
    <row r="117" spans="1:28" ht="30" x14ac:dyDescent="0.25">
      <c r="A117" s="34" t="s">
        <v>55</v>
      </c>
      <c r="B117" s="34" t="s">
        <v>2138</v>
      </c>
      <c r="C117" s="34" t="s">
        <v>2139</v>
      </c>
      <c r="D117" s="34" t="s">
        <v>644</v>
      </c>
      <c r="E117" s="34" t="s">
        <v>1797</v>
      </c>
      <c r="F117" s="34">
        <v>3</v>
      </c>
      <c r="G117" s="34" t="s">
        <v>106</v>
      </c>
      <c r="H117" s="34">
        <v>21</v>
      </c>
      <c r="I117" s="12">
        <f t="shared" si="22"/>
        <v>63</v>
      </c>
      <c r="J117" s="12">
        <f t="shared" si="23"/>
        <v>99</v>
      </c>
      <c r="K117" s="12">
        <f t="shared" si="24"/>
        <v>33</v>
      </c>
      <c r="L117" s="12">
        <f t="shared" si="41"/>
        <v>163</v>
      </c>
      <c r="M117" s="12">
        <f t="shared" si="25"/>
        <v>10</v>
      </c>
      <c r="N117" s="12" t="b">
        <f t="shared" si="32"/>
        <v>1</v>
      </c>
      <c r="O117" s="12" t="b">
        <f t="shared" si="33"/>
        <v>1</v>
      </c>
      <c r="P117" s="12" t="str">
        <f t="shared" si="26"/>
        <v>bags -3</v>
      </c>
      <c r="Q117" s="17" t="str">
        <f t="shared" si="27"/>
        <v>S00443
P006</v>
      </c>
      <c r="R117" s="12" t="b">
        <f t="shared" si="28"/>
        <v>0</v>
      </c>
      <c r="S117" s="12" t="str">
        <f t="shared" si="29"/>
        <v>801</v>
      </c>
      <c r="T117" s="12" t="str">
        <f t="shared" si="30"/>
        <v>BAGS</v>
      </c>
      <c r="U117" s="12" t="str">
        <f t="shared" si="31"/>
        <v>bags</v>
      </c>
      <c r="V117" s="12">
        <f t="shared" si="34"/>
        <v>1</v>
      </c>
      <c r="W117" s="12" t="str">
        <f t="shared" si="35"/>
        <v>60 I00253</v>
      </c>
      <c r="X117" s="12" t="str">
        <f t="shared" si="36"/>
        <v>TRUI</v>
      </c>
      <c r="Y117" s="12" t="str">
        <f t="shared" si="37"/>
        <v>1</v>
      </c>
      <c r="Z117" s="12" t="str">
        <f t="shared" si="38"/>
        <v>3</v>
      </c>
      <c r="AA117" s="12">
        <f t="shared" si="39"/>
        <v>2</v>
      </c>
      <c r="AB117" s="12">
        <f t="shared" si="40"/>
        <v>9</v>
      </c>
    </row>
    <row r="118" spans="1:28" ht="30" x14ac:dyDescent="0.25">
      <c r="A118" s="34" t="s">
        <v>20</v>
      </c>
      <c r="B118" s="34" t="s">
        <v>2140</v>
      </c>
      <c r="C118" s="34" t="s">
        <v>2141</v>
      </c>
      <c r="D118" s="34" t="s">
        <v>378</v>
      </c>
      <c r="E118" s="34" t="s">
        <v>1818</v>
      </c>
      <c r="F118" s="34">
        <v>4</v>
      </c>
      <c r="G118" s="34" t="s">
        <v>13</v>
      </c>
      <c r="H118" s="34">
        <v>33</v>
      </c>
      <c r="I118" s="12">
        <f t="shared" si="22"/>
        <v>132</v>
      </c>
      <c r="J118" s="12">
        <f t="shared" si="23"/>
        <v>46.5</v>
      </c>
      <c r="K118" s="12">
        <f t="shared" si="24"/>
        <v>19</v>
      </c>
      <c r="L118" s="12">
        <f t="shared" si="41"/>
        <v>1195.5</v>
      </c>
      <c r="M118" s="12">
        <f t="shared" si="25"/>
        <v>60</v>
      </c>
      <c r="N118" s="12" t="b">
        <f t="shared" si="32"/>
        <v>1</v>
      </c>
      <c r="O118" s="12" t="b">
        <f t="shared" si="33"/>
        <v>1</v>
      </c>
      <c r="P118" s="12" t="str">
        <f t="shared" si="26"/>
        <v>ct -4</v>
      </c>
      <c r="Q118" s="17" t="str">
        <f t="shared" si="27"/>
        <v>S00511
P030</v>
      </c>
      <c r="R118" s="12" t="b">
        <f t="shared" si="28"/>
        <v>0</v>
      </c>
      <c r="S118" s="12" t="str">
        <f t="shared" si="29"/>
        <v>403</v>
      </c>
      <c r="T118" s="12" t="str">
        <f t="shared" si="30"/>
        <v>CT</v>
      </c>
      <c r="U118" s="12" t="str">
        <f t="shared" si="31"/>
        <v>ct</v>
      </c>
      <c r="V118" s="12">
        <f t="shared" si="34"/>
        <v>1</v>
      </c>
      <c r="W118" s="12" t="str">
        <f t="shared" si="35"/>
        <v>60 I00261</v>
      </c>
      <c r="X118" s="12" t="str">
        <f t="shared" si="36"/>
        <v>TRUI</v>
      </c>
      <c r="Y118" s="12" t="str">
        <f t="shared" si="37"/>
        <v>1</v>
      </c>
      <c r="Z118" s="12" t="str">
        <f t="shared" si="38"/>
        <v>5</v>
      </c>
      <c r="AA118" s="12">
        <f t="shared" si="39"/>
        <v>2</v>
      </c>
      <c r="AB118" s="12">
        <f t="shared" si="40"/>
        <v>9</v>
      </c>
    </row>
    <row r="119" spans="1:28" ht="30" x14ac:dyDescent="0.25">
      <c r="A119" s="34" t="s">
        <v>146</v>
      </c>
      <c r="B119" s="34" t="s">
        <v>2142</v>
      </c>
      <c r="C119" s="34" t="s">
        <v>2143</v>
      </c>
      <c r="D119" s="34" t="s">
        <v>305</v>
      </c>
      <c r="E119" s="34" t="s">
        <v>692</v>
      </c>
      <c r="F119" s="34">
        <v>2</v>
      </c>
      <c r="G119" s="34" t="s">
        <v>35</v>
      </c>
      <c r="H119" s="34">
        <v>8</v>
      </c>
      <c r="I119" s="12">
        <f t="shared" si="22"/>
        <v>16</v>
      </c>
      <c r="J119" s="12">
        <f t="shared" si="23"/>
        <v>149</v>
      </c>
      <c r="K119" s="12">
        <f t="shared" si="24"/>
        <v>43</v>
      </c>
      <c r="L119" s="12">
        <f t="shared" si="41"/>
        <v>435.75</v>
      </c>
      <c r="M119" s="12">
        <f t="shared" si="25"/>
        <v>33</v>
      </c>
      <c r="N119" s="12" t="b">
        <f t="shared" si="32"/>
        <v>1</v>
      </c>
      <c r="O119" s="12" t="b">
        <f t="shared" si="33"/>
        <v>1</v>
      </c>
      <c r="P119" s="12" t="str">
        <f t="shared" si="26"/>
        <v>cans -2</v>
      </c>
      <c r="Q119" s="17" t="str">
        <f t="shared" si="27"/>
        <v>S00342
P010</v>
      </c>
      <c r="R119" s="12" t="b">
        <f t="shared" si="28"/>
        <v>0</v>
      </c>
      <c r="S119" s="12" t="str">
        <f t="shared" si="29"/>
        <v>302</v>
      </c>
      <c r="T119" s="12" t="str">
        <f t="shared" si="30"/>
        <v>CANS</v>
      </c>
      <c r="U119" s="12" t="str">
        <f t="shared" si="31"/>
        <v>cans</v>
      </c>
      <c r="V119" s="12">
        <f t="shared" si="34"/>
        <v>1</v>
      </c>
      <c r="W119" s="12" t="str">
        <f t="shared" si="35"/>
        <v>33 I00049</v>
      </c>
      <c r="X119" s="12" t="str">
        <f t="shared" si="36"/>
        <v>TRUI</v>
      </c>
      <c r="Y119" s="12" t="str">
        <f t="shared" si="37"/>
        <v>4</v>
      </c>
      <c r="Z119" s="12" t="str">
        <f t="shared" si="38"/>
        <v>5</v>
      </c>
      <c r="AA119" s="12">
        <f t="shared" si="39"/>
        <v>2</v>
      </c>
      <c r="AB119" s="12">
        <f t="shared" si="40"/>
        <v>9</v>
      </c>
    </row>
    <row r="120" spans="1:28" ht="30" x14ac:dyDescent="0.25">
      <c r="A120" s="34" t="s">
        <v>168</v>
      </c>
      <c r="B120" s="34" t="s">
        <v>2144</v>
      </c>
      <c r="C120" s="34" t="s">
        <v>2145</v>
      </c>
      <c r="D120" s="34" t="s">
        <v>1227</v>
      </c>
      <c r="E120" s="34" t="s">
        <v>442</v>
      </c>
      <c r="F120" s="34">
        <v>9</v>
      </c>
      <c r="G120" s="34" t="s">
        <v>402</v>
      </c>
      <c r="H120" s="34">
        <v>26</v>
      </c>
      <c r="I120" s="12">
        <f t="shared" si="22"/>
        <v>234</v>
      </c>
      <c r="J120" s="12">
        <f t="shared" si="23"/>
        <v>11</v>
      </c>
      <c r="K120" s="12">
        <f t="shared" si="24"/>
        <v>4</v>
      </c>
      <c r="L120" s="12">
        <f t="shared" si="41"/>
        <v>78</v>
      </c>
      <c r="M120" s="12">
        <f t="shared" si="25"/>
        <v>4</v>
      </c>
      <c r="N120" s="12" t="b">
        <f t="shared" si="32"/>
        <v>1</v>
      </c>
      <c r="O120" s="12" t="b">
        <f t="shared" si="33"/>
        <v>1</v>
      </c>
      <c r="P120" s="12" t="str">
        <f t="shared" si="26"/>
        <v>pack -9</v>
      </c>
      <c r="Q120" s="17" t="str">
        <f t="shared" si="27"/>
        <v>S00500
P017</v>
      </c>
      <c r="R120" s="12" t="b">
        <f t="shared" si="28"/>
        <v>0</v>
      </c>
      <c r="S120" s="12" t="str">
        <f t="shared" si="29"/>
        <v>540</v>
      </c>
      <c r="T120" s="12" t="str">
        <f t="shared" si="30"/>
        <v>PACK</v>
      </c>
      <c r="U120" s="12" t="str">
        <f t="shared" si="31"/>
        <v>pack</v>
      </c>
      <c r="V120" s="12">
        <f t="shared" si="34"/>
        <v>1</v>
      </c>
      <c r="W120" s="12" t="str">
        <f t="shared" si="35"/>
        <v>18 I00259</v>
      </c>
      <c r="X120" s="12" t="str">
        <f t="shared" si="36"/>
        <v>TRUI</v>
      </c>
      <c r="Y120" s="12" t="str">
        <f t="shared" si="37"/>
        <v>7</v>
      </c>
      <c r="Z120" s="12" t="str">
        <f t="shared" si="38"/>
        <v>8</v>
      </c>
      <c r="AA120" s="12">
        <f t="shared" si="39"/>
        <v>2</v>
      </c>
      <c r="AB120" s="12">
        <f t="shared" si="40"/>
        <v>9</v>
      </c>
    </row>
    <row r="121" spans="1:28" ht="30" x14ac:dyDescent="0.25">
      <c r="A121" s="34" t="s">
        <v>107</v>
      </c>
      <c r="B121" s="34" t="s">
        <v>2146</v>
      </c>
      <c r="C121" s="34" t="s">
        <v>2147</v>
      </c>
      <c r="D121" s="34" t="s">
        <v>28</v>
      </c>
      <c r="E121" s="34" t="s">
        <v>1837</v>
      </c>
      <c r="F121" s="34">
        <v>11</v>
      </c>
      <c r="G121" s="34" t="s">
        <v>13</v>
      </c>
      <c r="H121" s="34">
        <v>14</v>
      </c>
      <c r="I121" s="12">
        <f t="shared" si="22"/>
        <v>154</v>
      </c>
      <c r="J121" s="12">
        <f t="shared" si="23"/>
        <v>28.5</v>
      </c>
      <c r="K121" s="12">
        <f t="shared" si="24"/>
        <v>11</v>
      </c>
      <c r="L121" s="12">
        <f t="shared" si="41"/>
        <v>1195.5</v>
      </c>
      <c r="M121" s="12">
        <f t="shared" si="25"/>
        <v>60</v>
      </c>
      <c r="N121" s="12" t="b">
        <f t="shared" si="32"/>
        <v>1</v>
      </c>
      <c r="O121" s="12" t="b">
        <f t="shared" si="33"/>
        <v>1</v>
      </c>
      <c r="P121" s="12" t="str">
        <f t="shared" si="26"/>
        <v>ct -11</v>
      </c>
      <c r="Q121" s="17" t="str">
        <f t="shared" si="27"/>
        <v>S00575
P015</v>
      </c>
      <c r="R121" s="12" t="b">
        <f t="shared" si="28"/>
        <v>0</v>
      </c>
      <c r="S121" s="12" t="str">
        <f t="shared" si="29"/>
        <v>915</v>
      </c>
      <c r="T121" s="12" t="str">
        <f t="shared" si="30"/>
        <v>CT</v>
      </c>
      <c r="U121" s="12" t="str">
        <f t="shared" si="31"/>
        <v>ct</v>
      </c>
      <c r="V121" s="12">
        <f t="shared" si="34"/>
        <v>1</v>
      </c>
      <c r="W121" s="12" t="str">
        <f t="shared" si="35"/>
        <v>12 I00131</v>
      </c>
      <c r="X121" s="12" t="str">
        <f t="shared" si="36"/>
        <v>TRUI</v>
      </c>
      <c r="Y121" s="12" t="str">
        <f t="shared" si="37"/>
        <v>1</v>
      </c>
      <c r="Z121" s="12" t="str">
        <f t="shared" si="38"/>
        <v>5</v>
      </c>
      <c r="AA121" s="12">
        <f t="shared" si="39"/>
        <v>2</v>
      </c>
      <c r="AB121" s="12">
        <f t="shared" si="40"/>
        <v>9</v>
      </c>
    </row>
    <row r="122" spans="1:28" ht="30" x14ac:dyDescent="0.25">
      <c r="A122" s="34" t="s">
        <v>55</v>
      </c>
      <c r="B122" s="34" t="s">
        <v>2148</v>
      </c>
      <c r="C122" s="34" t="s">
        <v>2149</v>
      </c>
      <c r="D122" s="34" t="s">
        <v>405</v>
      </c>
      <c r="E122" s="34" t="s">
        <v>273</v>
      </c>
      <c r="F122" s="34">
        <v>3</v>
      </c>
      <c r="G122" s="34" t="s">
        <v>407</v>
      </c>
      <c r="H122" s="34">
        <v>18</v>
      </c>
      <c r="I122" s="12">
        <f t="shared" si="22"/>
        <v>54</v>
      </c>
      <c r="J122" s="12">
        <f t="shared" si="23"/>
        <v>111.5</v>
      </c>
      <c r="K122" s="12">
        <f t="shared" si="24"/>
        <v>32</v>
      </c>
      <c r="L122" s="12">
        <f t="shared" si="41"/>
        <v>85</v>
      </c>
      <c r="M122" s="12">
        <f t="shared" si="25"/>
        <v>5</v>
      </c>
      <c r="N122" s="12" t="b">
        <f t="shared" si="32"/>
        <v>1</v>
      </c>
      <c r="O122" s="12" t="b">
        <f t="shared" si="33"/>
        <v>1</v>
      </c>
      <c r="P122" s="12" t="str">
        <f t="shared" si="26"/>
        <v>pk -3</v>
      </c>
      <c r="Q122" s="17" t="str">
        <f t="shared" si="27"/>
        <v>S0074
P006</v>
      </c>
      <c r="R122" s="12" t="b">
        <f t="shared" si="28"/>
        <v>0</v>
      </c>
      <c r="S122" s="12" t="str">
        <f t="shared" si="29"/>
        <v>336</v>
      </c>
      <c r="T122" s="12" t="str">
        <f t="shared" si="30"/>
        <v>PK</v>
      </c>
      <c r="U122" s="12" t="str">
        <f t="shared" si="31"/>
        <v>pk</v>
      </c>
      <c r="V122" s="12">
        <f t="shared" si="34"/>
        <v>1</v>
      </c>
      <c r="W122" s="12" t="str">
        <f t="shared" si="35"/>
        <v>33 I00129</v>
      </c>
      <c r="X122" s="12" t="str">
        <f t="shared" si="36"/>
        <v>TRUI</v>
      </c>
      <c r="Y122" s="12" t="str">
        <f t="shared" si="37"/>
        <v>8</v>
      </c>
      <c r="Z122" s="12" t="str">
        <f t="shared" si="38"/>
        <v>5</v>
      </c>
      <c r="AA122" s="12">
        <f t="shared" si="39"/>
        <v>2</v>
      </c>
      <c r="AB122" s="12">
        <f t="shared" si="40"/>
        <v>9</v>
      </c>
    </row>
    <row r="123" spans="1:28" ht="30" x14ac:dyDescent="0.25">
      <c r="A123" s="34" t="s">
        <v>224</v>
      </c>
      <c r="B123" s="34" t="s">
        <v>2150</v>
      </c>
      <c r="C123" s="34" t="s">
        <v>2151</v>
      </c>
      <c r="D123" s="34" t="s">
        <v>330</v>
      </c>
      <c r="E123" s="34" t="s">
        <v>2152</v>
      </c>
      <c r="F123" s="34">
        <v>8</v>
      </c>
      <c r="G123" s="34" t="s">
        <v>13</v>
      </c>
      <c r="H123" s="34">
        <v>17</v>
      </c>
      <c r="I123" s="12">
        <f t="shared" si="22"/>
        <v>136</v>
      </c>
      <c r="J123" s="12">
        <f t="shared" si="23"/>
        <v>44.5</v>
      </c>
      <c r="K123" s="12">
        <f t="shared" si="24"/>
        <v>15</v>
      </c>
      <c r="L123" s="12">
        <f t="shared" si="41"/>
        <v>1195.5</v>
      </c>
      <c r="M123" s="12">
        <f t="shared" si="25"/>
        <v>60</v>
      </c>
      <c r="N123" s="12" t="b">
        <f t="shared" si="32"/>
        <v>1</v>
      </c>
      <c r="O123" s="12" t="b">
        <f t="shared" si="33"/>
        <v>1</v>
      </c>
      <c r="P123" s="12" t="str">
        <f t="shared" si="26"/>
        <v>ct -8</v>
      </c>
      <c r="Q123" s="17" t="str">
        <f t="shared" si="27"/>
        <v>S00118
P035</v>
      </c>
      <c r="R123" s="12" t="b">
        <f t="shared" si="28"/>
        <v>0</v>
      </c>
      <c r="S123" s="12" t="str">
        <f t="shared" si="29"/>
        <v>527</v>
      </c>
      <c r="T123" s="12" t="str">
        <f t="shared" si="30"/>
        <v>CT</v>
      </c>
      <c r="U123" s="12" t="str">
        <f t="shared" si="31"/>
        <v>ct</v>
      </c>
      <c r="V123" s="12">
        <f t="shared" si="34"/>
        <v>1</v>
      </c>
      <c r="W123" s="12" t="str">
        <f t="shared" si="35"/>
        <v>10 I00121</v>
      </c>
      <c r="X123" s="12" t="str">
        <f t="shared" si="36"/>
        <v>TRUI</v>
      </c>
      <c r="Y123" s="12" t="str">
        <f t="shared" si="37"/>
        <v>1</v>
      </c>
      <c r="Z123" s="12" t="str">
        <f t="shared" si="38"/>
        <v>5</v>
      </c>
      <c r="AA123" s="12">
        <f t="shared" si="39"/>
        <v>2</v>
      </c>
      <c r="AB123" s="12">
        <f t="shared" si="40"/>
        <v>9</v>
      </c>
    </row>
    <row r="124" spans="1:28" ht="30" x14ac:dyDescent="0.25">
      <c r="A124" s="34" t="s">
        <v>519</v>
      </c>
      <c r="B124" s="34" t="s">
        <v>2153</v>
      </c>
      <c r="C124" s="34" t="s">
        <v>2154</v>
      </c>
      <c r="D124" s="34" t="s">
        <v>1617</v>
      </c>
      <c r="E124" s="34" t="s">
        <v>514</v>
      </c>
      <c r="F124" s="34">
        <v>6</v>
      </c>
      <c r="G124" s="34" t="s">
        <v>13</v>
      </c>
      <c r="H124" s="34">
        <v>12</v>
      </c>
      <c r="I124" s="12">
        <f t="shared" si="22"/>
        <v>72</v>
      </c>
      <c r="J124" s="12">
        <f t="shared" si="23"/>
        <v>92</v>
      </c>
      <c r="K124" s="12">
        <f t="shared" si="24"/>
        <v>26</v>
      </c>
      <c r="L124" s="12">
        <f t="shared" si="41"/>
        <v>1195.5</v>
      </c>
      <c r="M124" s="12">
        <f t="shared" si="25"/>
        <v>60</v>
      </c>
      <c r="N124" s="12" t="b">
        <f t="shared" si="32"/>
        <v>1</v>
      </c>
      <c r="O124" s="12" t="b">
        <f t="shared" si="33"/>
        <v>1</v>
      </c>
      <c r="P124" s="12" t="str">
        <f t="shared" si="26"/>
        <v>ct -6</v>
      </c>
      <c r="Q124" s="17" t="str">
        <f t="shared" si="27"/>
        <v>S00271
P008</v>
      </c>
      <c r="R124" s="12" t="b">
        <f t="shared" si="28"/>
        <v>0</v>
      </c>
      <c r="S124" s="12" t="str">
        <f t="shared" si="29"/>
        <v>305</v>
      </c>
      <c r="T124" s="12" t="str">
        <f t="shared" si="30"/>
        <v>CT</v>
      </c>
      <c r="U124" s="12" t="str">
        <f t="shared" si="31"/>
        <v>ct</v>
      </c>
      <c r="V124" s="12">
        <f t="shared" si="34"/>
        <v>1</v>
      </c>
      <c r="W124" s="12" t="str">
        <f t="shared" si="35"/>
        <v>10 I00222</v>
      </c>
      <c r="X124" s="12" t="str">
        <f t="shared" si="36"/>
        <v>TRUI</v>
      </c>
      <c r="Y124" s="12" t="str">
        <f t="shared" si="37"/>
        <v>1</v>
      </c>
      <c r="Z124" s="12" t="str">
        <f t="shared" si="38"/>
        <v>5</v>
      </c>
      <c r="AA124" s="12">
        <f t="shared" si="39"/>
        <v>2</v>
      </c>
      <c r="AB124" s="12">
        <f t="shared" si="40"/>
        <v>9</v>
      </c>
    </row>
    <row r="125" spans="1:28" ht="30" x14ac:dyDescent="0.25">
      <c r="A125" s="34" t="s">
        <v>523</v>
      </c>
      <c r="B125" s="34" t="s">
        <v>2155</v>
      </c>
      <c r="C125" s="34" t="s">
        <v>2156</v>
      </c>
      <c r="D125" s="34" t="s">
        <v>449</v>
      </c>
      <c r="E125" s="34" t="s">
        <v>611</v>
      </c>
      <c r="F125" s="34">
        <v>10</v>
      </c>
      <c r="G125" s="34" t="s">
        <v>269</v>
      </c>
      <c r="H125" s="34">
        <v>13</v>
      </c>
      <c r="I125" s="12">
        <f t="shared" si="22"/>
        <v>130</v>
      </c>
      <c r="J125" s="12">
        <f t="shared" si="23"/>
        <v>49</v>
      </c>
      <c r="K125" s="12">
        <f t="shared" si="24"/>
        <v>16</v>
      </c>
      <c r="L125" s="12">
        <f t="shared" si="41"/>
        <v>81</v>
      </c>
      <c r="M125" s="12">
        <f t="shared" si="25"/>
        <v>6</v>
      </c>
      <c r="N125" s="12" t="b">
        <f t="shared" si="32"/>
        <v>1</v>
      </c>
      <c r="O125" s="12" t="b">
        <f t="shared" si="33"/>
        <v>1</v>
      </c>
      <c r="P125" s="12" t="str">
        <f t="shared" si="26"/>
        <v>ct. -10</v>
      </c>
      <c r="Q125" s="17" t="str">
        <f t="shared" si="27"/>
        <v>S00358
P005</v>
      </c>
      <c r="R125" s="12" t="b">
        <f t="shared" si="28"/>
        <v>0</v>
      </c>
      <c r="S125" s="12" t="str">
        <f t="shared" si="29"/>
        <v>588</v>
      </c>
      <c r="T125" s="12" t="str">
        <f t="shared" si="30"/>
        <v>CT.</v>
      </c>
      <c r="U125" s="12" t="str">
        <f t="shared" si="31"/>
        <v>ct.</v>
      </c>
      <c r="V125" s="12">
        <f t="shared" si="34"/>
        <v>1</v>
      </c>
      <c r="W125" s="12" t="str">
        <f t="shared" si="35"/>
        <v>12 I00189</v>
      </c>
      <c r="X125" s="12" t="str">
        <f t="shared" si="36"/>
        <v>TRUI</v>
      </c>
      <c r="Y125" s="12" t="str">
        <f t="shared" si="37"/>
        <v>8</v>
      </c>
      <c r="Z125" s="12" t="str">
        <f t="shared" si="38"/>
        <v>1</v>
      </c>
      <c r="AA125" s="12">
        <f t="shared" si="39"/>
        <v>2</v>
      </c>
      <c r="AB125" s="12">
        <f t="shared" si="40"/>
        <v>9</v>
      </c>
    </row>
    <row r="126" spans="1:28" ht="30" x14ac:dyDescent="0.25">
      <c r="A126" s="34" t="s">
        <v>359</v>
      </c>
      <c r="B126" s="34" t="s">
        <v>2157</v>
      </c>
      <c r="C126" s="34" t="s">
        <v>2158</v>
      </c>
      <c r="D126" s="34" t="s">
        <v>489</v>
      </c>
      <c r="E126" s="34" t="s">
        <v>2159</v>
      </c>
      <c r="F126" s="34">
        <v>1</v>
      </c>
      <c r="G126" s="34" t="s">
        <v>13</v>
      </c>
      <c r="H126" s="34">
        <v>21</v>
      </c>
      <c r="I126" s="12">
        <f t="shared" si="22"/>
        <v>21</v>
      </c>
      <c r="J126" s="12">
        <f t="shared" si="23"/>
        <v>144</v>
      </c>
      <c r="K126" s="12">
        <f t="shared" si="24"/>
        <v>35</v>
      </c>
      <c r="L126" s="12">
        <f t="shared" si="41"/>
        <v>1195.5</v>
      </c>
      <c r="M126" s="12">
        <f t="shared" si="25"/>
        <v>60</v>
      </c>
      <c r="N126" s="12" t="b">
        <f t="shared" si="32"/>
        <v>1</v>
      </c>
      <c r="O126" s="12" t="b">
        <f t="shared" si="33"/>
        <v>1</v>
      </c>
      <c r="P126" s="12" t="str">
        <f t="shared" si="26"/>
        <v>ct -1</v>
      </c>
      <c r="Q126" s="17" t="str">
        <f t="shared" si="27"/>
        <v>S00209
P004</v>
      </c>
      <c r="R126" s="12" t="b">
        <f t="shared" si="28"/>
        <v>0</v>
      </c>
      <c r="S126" s="12" t="str">
        <f t="shared" si="29"/>
        <v>771</v>
      </c>
      <c r="T126" s="12" t="str">
        <f t="shared" si="30"/>
        <v>CT</v>
      </c>
      <c r="U126" s="12" t="str">
        <f t="shared" si="31"/>
        <v>ct</v>
      </c>
      <c r="V126" s="12">
        <f t="shared" si="34"/>
        <v>1</v>
      </c>
      <c r="W126" s="12" t="str">
        <f t="shared" si="35"/>
        <v>60 I00146</v>
      </c>
      <c r="X126" s="12" t="str">
        <f t="shared" si="36"/>
        <v>TRUI</v>
      </c>
      <c r="Y126" s="12" t="str">
        <f t="shared" si="37"/>
        <v>1</v>
      </c>
      <c r="Z126" s="12" t="str">
        <f t="shared" si="38"/>
        <v>5</v>
      </c>
      <c r="AA126" s="12">
        <f t="shared" si="39"/>
        <v>2</v>
      </c>
      <c r="AB126" s="12">
        <f t="shared" si="40"/>
        <v>9</v>
      </c>
    </row>
    <row r="127" spans="1:28" ht="30" x14ac:dyDescent="0.25">
      <c r="A127" s="34" t="s">
        <v>125</v>
      </c>
      <c r="B127" s="34" t="s">
        <v>2160</v>
      </c>
      <c r="C127" s="34" t="s">
        <v>2161</v>
      </c>
      <c r="D127" s="34" t="s">
        <v>517</v>
      </c>
      <c r="E127" s="34" t="s">
        <v>2162</v>
      </c>
      <c r="F127" s="34">
        <v>6</v>
      </c>
      <c r="G127" s="34" t="s">
        <v>13</v>
      </c>
      <c r="H127" s="34">
        <v>20</v>
      </c>
      <c r="I127" s="12">
        <f t="shared" si="22"/>
        <v>120</v>
      </c>
      <c r="J127" s="12">
        <f t="shared" si="23"/>
        <v>60</v>
      </c>
      <c r="K127" s="12">
        <f t="shared" si="24"/>
        <v>17</v>
      </c>
      <c r="L127" s="12">
        <f t="shared" si="41"/>
        <v>1195.5</v>
      </c>
      <c r="M127" s="12">
        <f t="shared" si="25"/>
        <v>60</v>
      </c>
      <c r="N127" s="12" t="b">
        <f t="shared" si="32"/>
        <v>1</v>
      </c>
      <c r="O127" s="12" t="b">
        <f t="shared" si="33"/>
        <v>1</v>
      </c>
      <c r="P127" s="12" t="str">
        <f t="shared" si="26"/>
        <v>ct -6</v>
      </c>
      <c r="Q127" s="17" t="str">
        <f t="shared" si="27"/>
        <v>S00135
P028</v>
      </c>
      <c r="R127" s="12" t="b">
        <f t="shared" si="28"/>
        <v>0</v>
      </c>
      <c r="S127" s="12" t="str">
        <f t="shared" si="29"/>
        <v>376</v>
      </c>
      <c r="T127" s="12" t="str">
        <f t="shared" si="30"/>
        <v>CT</v>
      </c>
      <c r="U127" s="12" t="str">
        <f t="shared" si="31"/>
        <v>ct</v>
      </c>
      <c r="V127" s="12">
        <f t="shared" si="34"/>
        <v>1</v>
      </c>
      <c r="W127" s="12" t="str">
        <f t="shared" si="35"/>
        <v>33 I00144</v>
      </c>
      <c r="X127" s="12" t="str">
        <f t="shared" si="36"/>
        <v>TRUI</v>
      </c>
      <c r="Y127" s="12" t="str">
        <f t="shared" si="37"/>
        <v>1</v>
      </c>
      <c r="Z127" s="12" t="str">
        <f t="shared" si="38"/>
        <v>5</v>
      </c>
      <c r="AA127" s="12">
        <f t="shared" si="39"/>
        <v>2</v>
      </c>
      <c r="AB127" s="12">
        <f t="shared" si="40"/>
        <v>9</v>
      </c>
    </row>
    <row r="128" spans="1:28" ht="30" x14ac:dyDescent="0.25">
      <c r="A128" s="34" t="s">
        <v>162</v>
      </c>
      <c r="B128" s="34" t="s">
        <v>2163</v>
      </c>
      <c r="C128" s="34" t="s">
        <v>2164</v>
      </c>
      <c r="D128" s="34" t="s">
        <v>1063</v>
      </c>
      <c r="E128" s="34" t="s">
        <v>2165</v>
      </c>
      <c r="F128" s="34">
        <v>1</v>
      </c>
      <c r="G128" s="34" t="s">
        <v>13</v>
      </c>
      <c r="H128" s="34">
        <v>16.5</v>
      </c>
      <c r="I128" s="12">
        <f t="shared" si="22"/>
        <v>16.5</v>
      </c>
      <c r="J128" s="12">
        <f t="shared" si="23"/>
        <v>148</v>
      </c>
      <c r="K128" s="12">
        <f t="shared" si="24"/>
        <v>34</v>
      </c>
      <c r="L128" s="12">
        <f t="shared" si="41"/>
        <v>1195.5</v>
      </c>
      <c r="M128" s="12">
        <f t="shared" si="25"/>
        <v>60</v>
      </c>
      <c r="N128" s="12" t="b">
        <f t="shared" si="32"/>
        <v>1</v>
      </c>
      <c r="O128" s="12" t="b">
        <f t="shared" si="33"/>
        <v>1</v>
      </c>
      <c r="P128" s="12" t="str">
        <f t="shared" si="26"/>
        <v>ct -1</v>
      </c>
      <c r="Q128" s="17" t="str">
        <f t="shared" si="27"/>
        <v>S00352
P012</v>
      </c>
      <c r="R128" s="12" t="b">
        <f t="shared" si="28"/>
        <v>0</v>
      </c>
      <c r="S128" s="12" t="str">
        <f t="shared" si="29"/>
        <v>891</v>
      </c>
      <c r="T128" s="12" t="str">
        <f t="shared" si="30"/>
        <v>CT</v>
      </c>
      <c r="U128" s="12" t="str">
        <f t="shared" si="31"/>
        <v>ct</v>
      </c>
      <c r="V128" s="12">
        <f t="shared" si="34"/>
        <v>1</v>
      </c>
      <c r="W128" s="12" t="str">
        <f t="shared" si="35"/>
        <v>60 I00105</v>
      </c>
      <c r="X128" s="12" t="str">
        <f t="shared" si="36"/>
        <v>TRUI</v>
      </c>
      <c r="Y128" s="12" t="str">
        <f t="shared" si="37"/>
        <v>1</v>
      </c>
      <c r="Z128" s="12" t="str">
        <f t="shared" si="38"/>
        <v>5</v>
      </c>
      <c r="AA128" s="12">
        <f t="shared" si="39"/>
        <v>2</v>
      </c>
      <c r="AB128" s="12">
        <f t="shared" si="40"/>
        <v>9</v>
      </c>
    </row>
    <row r="129" spans="1:28" ht="30" x14ac:dyDescent="0.25">
      <c r="A129" s="34" t="s">
        <v>30</v>
      </c>
      <c r="B129" s="34" t="s">
        <v>2166</v>
      </c>
      <c r="C129" s="34" t="s">
        <v>2167</v>
      </c>
      <c r="D129" s="34" t="s">
        <v>221</v>
      </c>
      <c r="E129" s="34" t="s">
        <v>772</v>
      </c>
      <c r="F129" s="34">
        <v>4</v>
      </c>
      <c r="G129" s="34" t="s">
        <v>223</v>
      </c>
      <c r="H129" s="34">
        <v>19</v>
      </c>
      <c r="I129" s="12">
        <f t="shared" si="22"/>
        <v>76</v>
      </c>
      <c r="J129" s="12">
        <f t="shared" si="23"/>
        <v>87.5</v>
      </c>
      <c r="K129" s="12">
        <f t="shared" si="24"/>
        <v>22</v>
      </c>
      <c r="L129" s="12">
        <f t="shared" si="41"/>
        <v>19</v>
      </c>
      <c r="M129" s="12">
        <f t="shared" si="25"/>
        <v>1</v>
      </c>
      <c r="N129" s="12" t="b">
        <f t="shared" si="32"/>
        <v>1</v>
      </c>
      <c r="O129" s="12" t="b">
        <f t="shared" si="33"/>
        <v>1</v>
      </c>
      <c r="P129" s="12" t="str">
        <f t="shared" si="26"/>
        <v>cartons -4</v>
      </c>
      <c r="Q129" s="17" t="str">
        <f t="shared" si="27"/>
        <v>S00544
P014</v>
      </c>
      <c r="R129" s="12" t="b">
        <f t="shared" si="28"/>
        <v>0</v>
      </c>
      <c r="S129" s="12" t="str">
        <f t="shared" si="29"/>
        <v>128</v>
      </c>
      <c r="T129" s="12" t="str">
        <f t="shared" si="30"/>
        <v>CARTONS</v>
      </c>
      <c r="U129" s="12" t="str">
        <f t="shared" si="31"/>
        <v>cartons</v>
      </c>
      <c r="V129" s="12">
        <f t="shared" si="34"/>
        <v>1</v>
      </c>
      <c r="W129" s="12" t="str">
        <f t="shared" si="35"/>
        <v>60 I00097</v>
      </c>
      <c r="X129" s="12" t="str">
        <f t="shared" si="36"/>
        <v>TRUI</v>
      </c>
      <c r="Y129" s="12" t="str">
        <f t="shared" si="37"/>
        <v>1</v>
      </c>
      <c r="Z129" s="12" t="str">
        <f t="shared" si="38"/>
        <v>9</v>
      </c>
      <c r="AA129" s="12">
        <f t="shared" si="39"/>
        <v>2</v>
      </c>
      <c r="AB129" s="12">
        <f t="shared" si="40"/>
        <v>9</v>
      </c>
    </row>
    <row r="130" spans="1:28" ht="30" x14ac:dyDescent="0.25">
      <c r="A130" s="34" t="s">
        <v>209</v>
      </c>
      <c r="B130" s="34" t="s">
        <v>2168</v>
      </c>
      <c r="C130" s="34" t="s">
        <v>2169</v>
      </c>
      <c r="D130" s="34" t="s">
        <v>1385</v>
      </c>
      <c r="E130" s="34" t="s">
        <v>306</v>
      </c>
      <c r="F130" s="34">
        <v>2</v>
      </c>
      <c r="G130" s="34" t="s">
        <v>402</v>
      </c>
      <c r="H130" s="34">
        <v>16</v>
      </c>
      <c r="I130" s="12">
        <f t="shared" si="22"/>
        <v>32</v>
      </c>
      <c r="J130" s="12">
        <f t="shared" si="23"/>
        <v>133.5</v>
      </c>
      <c r="K130" s="12">
        <f t="shared" si="24"/>
        <v>30</v>
      </c>
      <c r="L130" s="12">
        <f t="shared" si="41"/>
        <v>78</v>
      </c>
      <c r="M130" s="12">
        <f t="shared" si="25"/>
        <v>4</v>
      </c>
      <c r="N130" s="12" t="b">
        <f t="shared" si="32"/>
        <v>1</v>
      </c>
      <c r="O130" s="12" t="b">
        <f t="shared" si="33"/>
        <v>1</v>
      </c>
      <c r="P130" s="12" t="str">
        <f t="shared" si="26"/>
        <v>pack -2</v>
      </c>
      <c r="Q130" s="17" t="str">
        <f t="shared" si="27"/>
        <v>S00218
P021</v>
      </c>
      <c r="R130" s="12" t="b">
        <f t="shared" si="28"/>
        <v>0</v>
      </c>
      <c r="S130" s="12" t="str">
        <f t="shared" si="29"/>
        <v>967</v>
      </c>
      <c r="T130" s="12" t="str">
        <f t="shared" si="30"/>
        <v>PACK</v>
      </c>
      <c r="U130" s="12" t="str">
        <f t="shared" si="31"/>
        <v>pack</v>
      </c>
      <c r="V130" s="12">
        <f t="shared" si="34"/>
        <v>1</v>
      </c>
      <c r="W130" s="12" t="str">
        <f t="shared" si="35"/>
        <v>60 I00249</v>
      </c>
      <c r="X130" s="12" t="str">
        <f t="shared" si="36"/>
        <v>TRUI</v>
      </c>
      <c r="Y130" s="12" t="str">
        <f t="shared" si="37"/>
        <v>7</v>
      </c>
      <c r="Z130" s="12" t="str">
        <f t="shared" si="38"/>
        <v>8</v>
      </c>
      <c r="AA130" s="12">
        <f t="shared" si="39"/>
        <v>2</v>
      </c>
      <c r="AB130" s="12">
        <f t="shared" si="40"/>
        <v>9</v>
      </c>
    </row>
    <row r="131" spans="1:28" ht="30" x14ac:dyDescent="0.25">
      <c r="A131" s="34" t="s">
        <v>61</v>
      </c>
      <c r="B131" s="34" t="s">
        <v>2170</v>
      </c>
      <c r="C131" s="34" t="s">
        <v>2171</v>
      </c>
      <c r="D131" s="34" t="s">
        <v>526</v>
      </c>
      <c r="E131" s="34" t="s">
        <v>256</v>
      </c>
      <c r="F131" s="34">
        <v>8</v>
      </c>
      <c r="G131" s="34" t="s">
        <v>13</v>
      </c>
      <c r="H131" s="34">
        <v>13</v>
      </c>
      <c r="I131" s="12">
        <f t="shared" si="22"/>
        <v>104</v>
      </c>
      <c r="J131" s="12">
        <f t="shared" si="23"/>
        <v>68.5</v>
      </c>
      <c r="K131" s="12">
        <f t="shared" si="24"/>
        <v>19</v>
      </c>
      <c r="L131" s="12">
        <f t="shared" ref="L131:L160" si="42">SUMIF(G$3:G$166,G131,H$3:H$166)</f>
        <v>1195.5</v>
      </c>
      <c r="M131" s="12">
        <f t="shared" si="25"/>
        <v>60</v>
      </c>
      <c r="N131" s="12" t="b">
        <f t="shared" si="32"/>
        <v>1</v>
      </c>
      <c r="O131" s="12" t="b">
        <f t="shared" si="33"/>
        <v>1</v>
      </c>
      <c r="P131" s="12" t="str">
        <f t="shared" si="26"/>
        <v>ct -8</v>
      </c>
      <c r="Q131" s="17" t="str">
        <f t="shared" si="27"/>
        <v>S00291
P023</v>
      </c>
      <c r="R131" s="12" t="b">
        <f t="shared" si="28"/>
        <v>0</v>
      </c>
      <c r="S131" s="12" t="str">
        <f t="shared" si="29"/>
        <v>438</v>
      </c>
      <c r="T131" s="12" t="str">
        <f t="shared" si="30"/>
        <v>CT</v>
      </c>
      <c r="U131" s="12" t="str">
        <f t="shared" si="31"/>
        <v>ct</v>
      </c>
      <c r="V131" s="12">
        <f t="shared" si="34"/>
        <v>1</v>
      </c>
      <c r="W131" s="12" t="str">
        <f t="shared" si="35"/>
        <v>60 I00186</v>
      </c>
      <c r="X131" s="12" t="str">
        <f t="shared" si="36"/>
        <v>TRUI</v>
      </c>
      <c r="Y131" s="12" t="str">
        <f t="shared" si="37"/>
        <v>1</v>
      </c>
      <c r="Z131" s="12" t="str">
        <f t="shared" si="38"/>
        <v>5</v>
      </c>
      <c r="AA131" s="12">
        <f t="shared" si="39"/>
        <v>2</v>
      </c>
      <c r="AB131" s="12">
        <f t="shared" si="40"/>
        <v>9</v>
      </c>
    </row>
    <row r="132" spans="1:28" ht="30" x14ac:dyDescent="0.25">
      <c r="A132" s="34" t="s">
        <v>14</v>
      </c>
      <c r="B132" s="34" t="s">
        <v>2172</v>
      </c>
      <c r="C132" s="34" t="s">
        <v>2173</v>
      </c>
      <c r="D132" s="34" t="s">
        <v>326</v>
      </c>
      <c r="E132" s="34" t="s">
        <v>1859</v>
      </c>
      <c r="F132" s="34">
        <v>7</v>
      </c>
      <c r="G132" s="34" t="s">
        <v>35</v>
      </c>
      <c r="H132" s="34">
        <v>40</v>
      </c>
      <c r="I132" s="12">
        <f t="shared" ref="I132:I160" si="43">H132*F132</f>
        <v>280</v>
      </c>
      <c r="J132" s="12">
        <f t="shared" ref="J132:J160" si="44">_xlfn.RANK.AVG(I132,$I$3:$I$160)</f>
        <v>8</v>
      </c>
      <c r="K132" s="12">
        <f t="shared" ref="K132:K160" si="45">_xlfn.RANK.EQ(I132,I132:I289)</f>
        <v>3</v>
      </c>
      <c r="L132" s="12">
        <f t="shared" si="42"/>
        <v>435.75</v>
      </c>
      <c r="M132" s="12">
        <f t="shared" ref="M132:M160" si="46">COUNTIF(G$3:G$160,G132)</f>
        <v>33</v>
      </c>
      <c r="N132" s="12" t="b">
        <f t="shared" si="32"/>
        <v>0</v>
      </c>
      <c r="O132" s="12" t="b">
        <f t="shared" si="33"/>
        <v>1</v>
      </c>
      <c r="P132" s="12" t="str">
        <f t="shared" ref="P132:P160" si="47">_xlfn.CONCAT(G132," -",F132)</f>
        <v>cans -7</v>
      </c>
      <c r="Q132" s="17" t="str">
        <f t="shared" ref="Q132:Q160" si="48">_xlfn.CONCAT(E132,CHAR(10),A132)</f>
        <v>S00356
P022</v>
      </c>
      <c r="R132" s="12" t="b">
        <f t="shared" ref="R132:R160" si="49">EXACT(B132,C132)</f>
        <v>0</v>
      </c>
      <c r="S132" s="12" t="str">
        <f t="shared" ref="S132:S160" si="50">MID(C132,3,3)</f>
        <v>379</v>
      </c>
      <c r="T132" s="12" t="str">
        <f t="shared" ref="T132:T160" si="51">UPPER(G132)</f>
        <v>CANS</v>
      </c>
      <c r="U132" s="12" t="str">
        <f t="shared" ref="U132:U160" si="52">LOWER(G132)</f>
        <v>cans</v>
      </c>
      <c r="V132" s="12">
        <f t="shared" si="34"/>
        <v>1</v>
      </c>
      <c r="W132" s="12" t="str">
        <f t="shared" si="35"/>
        <v>10 I00055</v>
      </c>
      <c r="X132" s="12" t="str">
        <f t="shared" si="36"/>
        <v>TRUI</v>
      </c>
      <c r="Y132" s="12" t="str">
        <f t="shared" si="37"/>
        <v>4</v>
      </c>
      <c r="Z132" s="12" t="str">
        <f t="shared" si="38"/>
        <v>5</v>
      </c>
      <c r="AA132" s="12">
        <f t="shared" si="39"/>
        <v>2</v>
      </c>
      <c r="AB132" s="12">
        <f t="shared" si="40"/>
        <v>9</v>
      </c>
    </row>
    <row r="133" spans="1:28" ht="30" x14ac:dyDescent="0.25">
      <c r="A133" s="34" t="s">
        <v>25</v>
      </c>
      <c r="B133" s="34" t="s">
        <v>2174</v>
      </c>
      <c r="C133" s="34" t="s">
        <v>2175</v>
      </c>
      <c r="D133" s="34" t="s">
        <v>362</v>
      </c>
      <c r="E133" s="34" t="s">
        <v>946</v>
      </c>
      <c r="F133" s="34">
        <v>1</v>
      </c>
      <c r="G133" s="34" t="s">
        <v>13</v>
      </c>
      <c r="H133" s="34">
        <v>24</v>
      </c>
      <c r="I133" s="12">
        <f t="shared" si="43"/>
        <v>24</v>
      </c>
      <c r="J133" s="12">
        <f t="shared" si="44"/>
        <v>142</v>
      </c>
      <c r="K133" s="12">
        <f t="shared" si="45"/>
        <v>28</v>
      </c>
      <c r="L133" s="12">
        <f t="shared" si="42"/>
        <v>1195.5</v>
      </c>
      <c r="M133" s="12">
        <f t="shared" si="46"/>
        <v>60</v>
      </c>
      <c r="N133" s="12" t="b">
        <f t="shared" si="32"/>
        <v>1</v>
      </c>
      <c r="O133" s="12" t="b">
        <f t="shared" si="33"/>
        <v>1</v>
      </c>
      <c r="P133" s="12" t="str">
        <f t="shared" si="47"/>
        <v>ct -1</v>
      </c>
      <c r="Q133" s="17" t="str">
        <f t="shared" si="48"/>
        <v>S0066
P032</v>
      </c>
      <c r="R133" s="12" t="b">
        <f t="shared" si="49"/>
        <v>0</v>
      </c>
      <c r="S133" s="12" t="str">
        <f t="shared" si="50"/>
        <v>899</v>
      </c>
      <c r="T133" s="12" t="str">
        <f t="shared" si="51"/>
        <v>CT</v>
      </c>
      <c r="U133" s="12" t="str">
        <f t="shared" si="52"/>
        <v>ct</v>
      </c>
      <c r="V133" s="12">
        <f t="shared" si="34"/>
        <v>1</v>
      </c>
      <c r="W133" s="12" t="str">
        <f t="shared" si="35"/>
        <v>18 I00137</v>
      </c>
      <c r="X133" s="12" t="str">
        <f t="shared" si="36"/>
        <v>TRUI</v>
      </c>
      <c r="Y133" s="12" t="str">
        <f t="shared" si="37"/>
        <v>1</v>
      </c>
      <c r="Z133" s="12" t="str">
        <f t="shared" si="38"/>
        <v>5</v>
      </c>
      <c r="AA133" s="12">
        <f t="shared" si="39"/>
        <v>2</v>
      </c>
      <c r="AB133" s="12">
        <f t="shared" si="40"/>
        <v>9</v>
      </c>
    </row>
    <row r="134" spans="1:28" ht="30" x14ac:dyDescent="0.25">
      <c r="A134" s="34" t="s">
        <v>339</v>
      </c>
      <c r="B134" s="34" t="s">
        <v>2176</v>
      </c>
      <c r="C134" s="34" t="s">
        <v>2177</v>
      </c>
      <c r="D134" s="34" t="s">
        <v>370</v>
      </c>
      <c r="E134" s="34" t="s">
        <v>1091</v>
      </c>
      <c r="F134" s="34">
        <v>8</v>
      </c>
      <c r="G134" s="34" t="s">
        <v>167</v>
      </c>
      <c r="H134" s="34">
        <v>17</v>
      </c>
      <c r="I134" s="12">
        <f t="shared" si="43"/>
        <v>136</v>
      </c>
      <c r="J134" s="12">
        <f t="shared" si="44"/>
        <v>44.5</v>
      </c>
      <c r="K134" s="12">
        <f t="shared" si="45"/>
        <v>14</v>
      </c>
      <c r="L134" s="12">
        <f t="shared" si="42"/>
        <v>195.5</v>
      </c>
      <c r="M134" s="12">
        <f t="shared" si="46"/>
        <v>12</v>
      </c>
      <c r="N134" s="12" t="b">
        <f t="shared" si="32"/>
        <v>1</v>
      </c>
      <c r="O134" s="12" t="b">
        <f t="shared" si="33"/>
        <v>1</v>
      </c>
      <c r="P134" s="12" t="str">
        <f t="shared" si="47"/>
        <v>oz -8</v>
      </c>
      <c r="Q134" s="17" t="str">
        <f t="shared" si="48"/>
        <v>S00719
P037</v>
      </c>
      <c r="R134" s="12" t="b">
        <f t="shared" si="49"/>
        <v>0</v>
      </c>
      <c r="S134" s="12" t="str">
        <f t="shared" si="50"/>
        <v>927</v>
      </c>
      <c r="T134" s="12" t="str">
        <f t="shared" si="51"/>
        <v>OZ</v>
      </c>
      <c r="U134" s="12" t="str">
        <f t="shared" si="52"/>
        <v>oz</v>
      </c>
      <c r="V134" s="12">
        <f t="shared" si="34"/>
        <v>1</v>
      </c>
      <c r="W134" s="12" t="str">
        <f t="shared" si="35"/>
        <v>60 I00106</v>
      </c>
      <c r="X134" s="12" t="str">
        <f t="shared" si="36"/>
        <v>TRUI</v>
      </c>
      <c r="Y134" s="12" t="str">
        <f t="shared" si="37"/>
        <v>1</v>
      </c>
      <c r="Z134" s="12" t="str">
        <f t="shared" si="38"/>
        <v>5</v>
      </c>
      <c r="AA134" s="12">
        <f t="shared" si="39"/>
        <v>2</v>
      </c>
      <c r="AB134" s="12">
        <f t="shared" si="40"/>
        <v>9</v>
      </c>
    </row>
    <row r="135" spans="1:28" ht="30" x14ac:dyDescent="0.25">
      <c r="A135" s="34" t="s">
        <v>125</v>
      </c>
      <c r="B135" s="34" t="s">
        <v>2178</v>
      </c>
      <c r="C135" s="34" t="s">
        <v>2179</v>
      </c>
      <c r="D135" s="34" t="s">
        <v>757</v>
      </c>
      <c r="E135" s="34" t="s">
        <v>917</v>
      </c>
      <c r="F135" s="34">
        <v>9</v>
      </c>
      <c r="G135" s="34" t="s">
        <v>13</v>
      </c>
      <c r="H135" s="34">
        <v>19.5</v>
      </c>
      <c r="I135" s="12">
        <f t="shared" si="43"/>
        <v>175.5</v>
      </c>
      <c r="J135" s="12">
        <f t="shared" si="44"/>
        <v>20</v>
      </c>
      <c r="K135" s="12">
        <f t="shared" si="45"/>
        <v>3</v>
      </c>
      <c r="L135" s="12">
        <f t="shared" si="42"/>
        <v>1195.5</v>
      </c>
      <c r="M135" s="12">
        <f t="shared" si="46"/>
        <v>60</v>
      </c>
      <c r="N135" s="12" t="b">
        <f t="shared" si="32"/>
        <v>1</v>
      </c>
      <c r="O135" s="12" t="b">
        <f t="shared" si="33"/>
        <v>1</v>
      </c>
      <c r="P135" s="12" t="str">
        <f t="shared" si="47"/>
        <v>ct -9</v>
      </c>
      <c r="Q135" s="17" t="str">
        <f t="shared" si="48"/>
        <v>S00126
P028</v>
      </c>
      <c r="R135" s="12" t="b">
        <f t="shared" si="49"/>
        <v>0</v>
      </c>
      <c r="S135" s="12" t="str">
        <f t="shared" si="50"/>
        <v>720</v>
      </c>
      <c r="T135" s="12" t="str">
        <f t="shared" si="51"/>
        <v>CT</v>
      </c>
      <c r="U135" s="12" t="str">
        <f t="shared" si="52"/>
        <v>ct</v>
      </c>
      <c r="V135" s="12">
        <f t="shared" si="34"/>
        <v>1</v>
      </c>
      <c r="W135" s="12" t="str">
        <f t="shared" si="35"/>
        <v>60 I00136</v>
      </c>
      <c r="X135" s="12" t="str">
        <f t="shared" si="36"/>
        <v>TRUI</v>
      </c>
      <c r="Y135" s="12" t="str">
        <f t="shared" si="37"/>
        <v>1</v>
      </c>
      <c r="Z135" s="12" t="str">
        <f t="shared" si="38"/>
        <v>5</v>
      </c>
      <c r="AA135" s="12">
        <f t="shared" si="39"/>
        <v>2</v>
      </c>
      <c r="AB135" s="12">
        <f t="shared" si="40"/>
        <v>9</v>
      </c>
    </row>
    <row r="136" spans="1:28" ht="30" x14ac:dyDescent="0.25">
      <c r="A136" s="34" t="s">
        <v>240</v>
      </c>
      <c r="B136" s="34" t="s">
        <v>2180</v>
      </c>
      <c r="C136" s="34" t="s">
        <v>2181</v>
      </c>
      <c r="D136" s="34" t="s">
        <v>956</v>
      </c>
      <c r="E136" s="34" t="s">
        <v>2182</v>
      </c>
      <c r="F136" s="34">
        <v>10</v>
      </c>
      <c r="G136" s="34" t="s">
        <v>13</v>
      </c>
      <c r="H136" s="34">
        <v>12</v>
      </c>
      <c r="I136" s="12">
        <f t="shared" si="43"/>
        <v>120</v>
      </c>
      <c r="J136" s="12">
        <f t="shared" si="44"/>
        <v>60</v>
      </c>
      <c r="K136" s="12">
        <f t="shared" si="45"/>
        <v>14</v>
      </c>
      <c r="L136" s="12">
        <f t="shared" si="42"/>
        <v>1195.5</v>
      </c>
      <c r="M136" s="12">
        <f t="shared" si="46"/>
        <v>60</v>
      </c>
      <c r="N136" s="12" t="b">
        <f t="shared" si="32"/>
        <v>1</v>
      </c>
      <c r="O136" s="12" t="b">
        <f t="shared" si="33"/>
        <v>1</v>
      </c>
      <c r="P136" s="12" t="str">
        <f t="shared" si="47"/>
        <v>ct -10</v>
      </c>
      <c r="Q136" s="17" t="str">
        <f t="shared" si="48"/>
        <v>S00693
P024</v>
      </c>
      <c r="R136" s="12" t="b">
        <f t="shared" si="49"/>
        <v>0</v>
      </c>
      <c r="S136" s="12" t="str">
        <f t="shared" si="50"/>
        <v>832</v>
      </c>
      <c r="T136" s="12" t="str">
        <f t="shared" si="51"/>
        <v>CT</v>
      </c>
      <c r="U136" s="12" t="str">
        <f t="shared" si="52"/>
        <v>ct</v>
      </c>
      <c r="V136" s="12">
        <f t="shared" si="34"/>
        <v>1</v>
      </c>
      <c r="W136" s="12" t="str">
        <f t="shared" si="35"/>
        <v>33 I00184</v>
      </c>
      <c r="X136" s="12" t="str">
        <f t="shared" si="36"/>
        <v>TRUI</v>
      </c>
      <c r="Y136" s="12" t="str">
        <f t="shared" si="37"/>
        <v>1</v>
      </c>
      <c r="Z136" s="12" t="str">
        <f t="shared" si="38"/>
        <v>5</v>
      </c>
      <c r="AA136" s="12">
        <f t="shared" si="39"/>
        <v>2</v>
      </c>
      <c r="AB136" s="12">
        <f t="shared" si="40"/>
        <v>9</v>
      </c>
    </row>
    <row r="137" spans="1:28" ht="30" x14ac:dyDescent="0.25">
      <c r="A137" s="34" t="s">
        <v>125</v>
      </c>
      <c r="B137" s="34" t="s">
        <v>2183</v>
      </c>
      <c r="C137" s="34" t="s">
        <v>2184</v>
      </c>
      <c r="D137" s="34" t="s">
        <v>1417</v>
      </c>
      <c r="E137" s="34" t="s">
        <v>1870</v>
      </c>
      <c r="F137" s="34">
        <v>9</v>
      </c>
      <c r="G137" s="34" t="s">
        <v>35</v>
      </c>
      <c r="H137" s="34">
        <v>6.75</v>
      </c>
      <c r="I137" s="12">
        <f t="shared" si="43"/>
        <v>60.75</v>
      </c>
      <c r="J137" s="12">
        <f t="shared" si="44"/>
        <v>101.5</v>
      </c>
      <c r="K137" s="12">
        <f t="shared" si="45"/>
        <v>20</v>
      </c>
      <c r="L137" s="12">
        <f t="shared" si="42"/>
        <v>435.75</v>
      </c>
      <c r="M137" s="12">
        <f t="shared" si="46"/>
        <v>33</v>
      </c>
      <c r="N137" s="12" t="b">
        <f t="shared" si="32"/>
        <v>1</v>
      </c>
      <c r="O137" s="12" t="b">
        <f t="shared" si="33"/>
        <v>1</v>
      </c>
      <c r="P137" s="12" t="str">
        <f t="shared" si="47"/>
        <v>cans -9</v>
      </c>
      <c r="Q137" s="17" t="str">
        <f t="shared" si="48"/>
        <v>S00406
P028</v>
      </c>
      <c r="R137" s="12" t="b">
        <f t="shared" si="49"/>
        <v>0</v>
      </c>
      <c r="S137" s="12" t="str">
        <f t="shared" si="50"/>
        <v>924</v>
      </c>
      <c r="T137" s="12" t="str">
        <f t="shared" si="51"/>
        <v>CANS</v>
      </c>
      <c r="U137" s="12" t="str">
        <f t="shared" si="52"/>
        <v>cans</v>
      </c>
      <c r="V137" s="12">
        <f t="shared" si="34"/>
        <v>1</v>
      </c>
      <c r="W137" s="12" t="str">
        <f t="shared" si="35"/>
        <v>18 I00011</v>
      </c>
      <c r="X137" s="12" t="str">
        <f t="shared" si="36"/>
        <v>TRUI</v>
      </c>
      <c r="Y137" s="12" t="str">
        <f t="shared" si="37"/>
        <v>4</v>
      </c>
      <c r="Z137" s="12" t="str">
        <f t="shared" si="38"/>
        <v>5</v>
      </c>
      <c r="AA137" s="12">
        <f t="shared" si="39"/>
        <v>2</v>
      </c>
      <c r="AB137" s="12">
        <f t="shared" si="40"/>
        <v>9</v>
      </c>
    </row>
    <row r="138" spans="1:28" ht="30" x14ac:dyDescent="0.25">
      <c r="A138" s="34" t="s">
        <v>209</v>
      </c>
      <c r="B138" s="34" t="s">
        <v>2185</v>
      </c>
      <c r="C138" s="34" t="s">
        <v>2186</v>
      </c>
      <c r="D138" s="34" t="s">
        <v>655</v>
      </c>
      <c r="E138" s="34" t="s">
        <v>514</v>
      </c>
      <c r="F138" s="34">
        <v>1</v>
      </c>
      <c r="G138" s="34" t="s">
        <v>60</v>
      </c>
      <c r="H138" s="34">
        <v>24</v>
      </c>
      <c r="I138" s="12">
        <f t="shared" si="43"/>
        <v>24</v>
      </c>
      <c r="J138" s="12">
        <f t="shared" si="44"/>
        <v>142</v>
      </c>
      <c r="K138" s="12">
        <f t="shared" si="45"/>
        <v>24</v>
      </c>
      <c r="L138" s="12">
        <f t="shared" si="42"/>
        <v>333.5</v>
      </c>
      <c r="M138" s="12">
        <f t="shared" si="46"/>
        <v>18</v>
      </c>
      <c r="N138" s="12" t="b">
        <f t="shared" si="32"/>
        <v>1</v>
      </c>
      <c r="O138" s="12" t="b">
        <f t="shared" si="33"/>
        <v>1</v>
      </c>
      <c r="P138" s="12" t="str">
        <f t="shared" si="47"/>
        <v>bottles -1</v>
      </c>
      <c r="Q138" s="17" t="str">
        <f t="shared" si="48"/>
        <v>S00271
P021</v>
      </c>
      <c r="R138" s="12" t="b">
        <f t="shared" si="49"/>
        <v>0</v>
      </c>
      <c r="S138" s="12" t="str">
        <f t="shared" si="50"/>
        <v>741</v>
      </c>
      <c r="T138" s="12" t="str">
        <f t="shared" si="51"/>
        <v>BOTTLES</v>
      </c>
      <c r="U138" s="12" t="str">
        <f t="shared" si="52"/>
        <v>bottles</v>
      </c>
      <c r="V138" s="12">
        <f t="shared" si="34"/>
        <v>1</v>
      </c>
      <c r="W138" s="12" t="str">
        <f t="shared" si="35"/>
        <v>4 I00043</v>
      </c>
      <c r="X138" s="12" t="str">
        <f t="shared" si="36"/>
        <v>TRUI</v>
      </c>
      <c r="Y138" s="12" t="str">
        <f t="shared" si="37"/>
        <v>3</v>
      </c>
      <c r="Z138" s="12" t="str">
        <f t="shared" si="38"/>
        <v>5</v>
      </c>
      <c r="AA138" s="12">
        <f t="shared" si="39"/>
        <v>2</v>
      </c>
      <c r="AB138" s="12">
        <f t="shared" si="40"/>
        <v>8</v>
      </c>
    </row>
    <row r="139" spans="1:28" ht="30" x14ac:dyDescent="0.25">
      <c r="A139" s="34" t="s">
        <v>359</v>
      </c>
      <c r="B139" s="34" t="s">
        <v>565</v>
      </c>
      <c r="C139" s="34" t="s">
        <v>2187</v>
      </c>
      <c r="D139" s="34" t="s">
        <v>465</v>
      </c>
      <c r="E139" s="34" t="s">
        <v>960</v>
      </c>
      <c r="F139" s="34">
        <v>5</v>
      </c>
      <c r="G139" s="34" t="s">
        <v>167</v>
      </c>
      <c r="H139" s="34">
        <v>20</v>
      </c>
      <c r="I139" s="12">
        <f t="shared" si="43"/>
        <v>100</v>
      </c>
      <c r="J139" s="12">
        <f t="shared" si="44"/>
        <v>70</v>
      </c>
      <c r="K139" s="12">
        <f t="shared" si="45"/>
        <v>16</v>
      </c>
      <c r="L139" s="12">
        <f t="shared" si="42"/>
        <v>195.5</v>
      </c>
      <c r="M139" s="12">
        <f t="shared" si="46"/>
        <v>12</v>
      </c>
      <c r="N139" s="12" t="b">
        <f t="shared" si="32"/>
        <v>1</v>
      </c>
      <c r="O139" s="12" t="b">
        <f t="shared" si="33"/>
        <v>1</v>
      </c>
      <c r="P139" s="12" t="str">
        <f t="shared" si="47"/>
        <v>oz -5</v>
      </c>
      <c r="Q139" s="17" t="str">
        <f t="shared" si="48"/>
        <v>S00269
P004</v>
      </c>
      <c r="R139" s="12" t="b">
        <f t="shared" si="49"/>
        <v>0</v>
      </c>
      <c r="S139" s="12" t="str">
        <f t="shared" si="50"/>
        <v>536</v>
      </c>
      <c r="T139" s="12" t="str">
        <f t="shared" si="51"/>
        <v>OZ</v>
      </c>
      <c r="U139" s="12" t="str">
        <f t="shared" si="52"/>
        <v>oz</v>
      </c>
      <c r="V139" s="12">
        <f t="shared" si="34"/>
        <v>1</v>
      </c>
      <c r="W139" s="12" t="str">
        <f t="shared" si="35"/>
        <v>18 I00107</v>
      </c>
      <c r="X139" s="12" t="str">
        <f t="shared" si="36"/>
        <v>TRUI</v>
      </c>
      <c r="Y139" s="12" t="str">
        <f t="shared" si="37"/>
        <v>1</v>
      </c>
      <c r="Z139" s="12" t="str">
        <f t="shared" si="38"/>
        <v>5</v>
      </c>
      <c r="AA139" s="12">
        <f t="shared" si="39"/>
        <v>2</v>
      </c>
      <c r="AB139" s="12">
        <f t="shared" si="40"/>
        <v>9</v>
      </c>
    </row>
    <row r="140" spans="1:28" ht="30" x14ac:dyDescent="0.25">
      <c r="A140" s="34" t="s">
        <v>91</v>
      </c>
      <c r="B140" s="34" t="s">
        <v>2188</v>
      </c>
      <c r="C140" s="34" t="s">
        <v>2189</v>
      </c>
      <c r="D140" s="34" t="s">
        <v>397</v>
      </c>
      <c r="E140" s="34" t="s">
        <v>2190</v>
      </c>
      <c r="F140" s="34">
        <v>10</v>
      </c>
      <c r="G140" s="34" t="s">
        <v>35</v>
      </c>
      <c r="H140" s="34">
        <v>16.25</v>
      </c>
      <c r="I140" s="12">
        <f t="shared" si="43"/>
        <v>162.5</v>
      </c>
      <c r="J140" s="12">
        <f t="shared" si="44"/>
        <v>23</v>
      </c>
      <c r="K140" s="12">
        <f t="shared" si="45"/>
        <v>5</v>
      </c>
      <c r="L140" s="12">
        <f t="shared" si="42"/>
        <v>435.75</v>
      </c>
      <c r="M140" s="12">
        <f t="shared" si="46"/>
        <v>33</v>
      </c>
      <c r="N140" s="12" t="b">
        <f t="shared" si="32"/>
        <v>1</v>
      </c>
      <c r="O140" s="12" t="b">
        <f t="shared" si="33"/>
        <v>1</v>
      </c>
      <c r="P140" s="12" t="str">
        <f t="shared" si="47"/>
        <v>cans -10</v>
      </c>
      <c r="Q140" s="17" t="str">
        <f t="shared" si="48"/>
        <v>S00713
P003</v>
      </c>
      <c r="R140" s="12" t="b">
        <f t="shared" si="49"/>
        <v>0</v>
      </c>
      <c r="S140" s="12" t="str">
        <f t="shared" si="50"/>
        <v>765</v>
      </c>
      <c r="T140" s="12" t="str">
        <f t="shared" si="51"/>
        <v>CANS</v>
      </c>
      <c r="U140" s="12" t="str">
        <f t="shared" si="52"/>
        <v>cans</v>
      </c>
      <c r="V140" s="12">
        <f t="shared" si="34"/>
        <v>1</v>
      </c>
      <c r="W140" s="12" t="str">
        <f t="shared" si="35"/>
        <v>3 I00008</v>
      </c>
      <c r="X140" s="12" t="str">
        <f t="shared" si="36"/>
        <v>TRUI</v>
      </c>
      <c r="Y140" s="12" t="str">
        <f t="shared" si="37"/>
        <v>4</v>
      </c>
      <c r="Z140" s="12" t="str">
        <f t="shared" si="38"/>
        <v>5</v>
      </c>
      <c r="AA140" s="12">
        <f t="shared" si="39"/>
        <v>2</v>
      </c>
      <c r="AB140" s="12">
        <f t="shared" si="40"/>
        <v>8</v>
      </c>
    </row>
    <row r="141" spans="1:28" ht="30" x14ac:dyDescent="0.25">
      <c r="A141" s="34" t="s">
        <v>187</v>
      </c>
      <c r="B141" s="34" t="s">
        <v>2191</v>
      </c>
      <c r="C141" s="34" t="s">
        <v>2192</v>
      </c>
      <c r="D141" s="34" t="s">
        <v>104</v>
      </c>
      <c r="E141" s="34" t="s">
        <v>287</v>
      </c>
      <c r="F141" s="34">
        <v>11</v>
      </c>
      <c r="G141" s="34" t="s">
        <v>106</v>
      </c>
      <c r="H141" s="34">
        <v>15</v>
      </c>
      <c r="I141" s="12">
        <f t="shared" si="43"/>
        <v>165</v>
      </c>
      <c r="J141" s="12">
        <f t="shared" si="44"/>
        <v>22</v>
      </c>
      <c r="K141" s="12">
        <f t="shared" si="45"/>
        <v>4</v>
      </c>
      <c r="L141" s="12">
        <f t="shared" si="42"/>
        <v>163</v>
      </c>
      <c r="M141" s="12">
        <f t="shared" si="46"/>
        <v>10</v>
      </c>
      <c r="N141" s="12" t="b">
        <f t="shared" si="32"/>
        <v>1</v>
      </c>
      <c r="O141" s="12" t="b">
        <f t="shared" si="33"/>
        <v>1</v>
      </c>
      <c r="P141" s="12" t="str">
        <f t="shared" si="47"/>
        <v>bags -11</v>
      </c>
      <c r="Q141" s="17" t="str">
        <f t="shared" si="48"/>
        <v>S00251
P029</v>
      </c>
      <c r="R141" s="12" t="b">
        <f t="shared" si="49"/>
        <v>0</v>
      </c>
      <c r="S141" s="12" t="str">
        <f t="shared" si="50"/>
        <v>252</v>
      </c>
      <c r="T141" s="12" t="str">
        <f t="shared" si="51"/>
        <v>BAGS</v>
      </c>
      <c r="U141" s="12" t="str">
        <f t="shared" si="52"/>
        <v>bags</v>
      </c>
      <c r="V141" s="12">
        <f t="shared" si="34"/>
        <v>1</v>
      </c>
      <c r="W141" s="12" t="str">
        <f t="shared" si="35"/>
        <v>3 I00163</v>
      </c>
      <c r="X141" s="12" t="str">
        <f t="shared" si="36"/>
        <v>TRUI</v>
      </c>
      <c r="Y141" s="12" t="str">
        <f t="shared" si="37"/>
        <v>1</v>
      </c>
      <c r="Z141" s="12" t="str">
        <f t="shared" si="38"/>
        <v>3</v>
      </c>
      <c r="AA141" s="12">
        <f t="shared" si="39"/>
        <v>2</v>
      </c>
      <c r="AB141" s="12">
        <f t="shared" si="40"/>
        <v>8</v>
      </c>
    </row>
    <row r="142" spans="1:28" ht="30" x14ac:dyDescent="0.25">
      <c r="A142" s="34" t="s">
        <v>200</v>
      </c>
      <c r="B142" s="34" t="s">
        <v>92</v>
      </c>
      <c r="C142" s="34" t="s">
        <v>2193</v>
      </c>
      <c r="D142" s="34" t="s">
        <v>119</v>
      </c>
      <c r="E142" s="34" t="s">
        <v>1314</v>
      </c>
      <c r="F142" s="34">
        <v>9</v>
      </c>
      <c r="G142" s="34" t="s">
        <v>106</v>
      </c>
      <c r="H142" s="34">
        <v>17</v>
      </c>
      <c r="I142" s="12">
        <f t="shared" si="43"/>
        <v>153</v>
      </c>
      <c r="J142" s="12">
        <f t="shared" si="44"/>
        <v>30.5</v>
      </c>
      <c r="K142" s="12">
        <f t="shared" si="45"/>
        <v>7</v>
      </c>
      <c r="L142" s="12">
        <f t="shared" si="42"/>
        <v>163</v>
      </c>
      <c r="M142" s="12">
        <f t="shared" si="46"/>
        <v>10</v>
      </c>
      <c r="N142" s="12" t="b">
        <f t="shared" si="32"/>
        <v>1</v>
      </c>
      <c r="O142" s="12" t="b">
        <f t="shared" si="33"/>
        <v>1</v>
      </c>
      <c r="P142" s="12" t="str">
        <f t="shared" si="47"/>
        <v>bags -9</v>
      </c>
      <c r="Q142" s="17" t="str">
        <f t="shared" si="48"/>
        <v>S00491
P036</v>
      </c>
      <c r="R142" s="12" t="b">
        <f t="shared" si="49"/>
        <v>0</v>
      </c>
      <c r="S142" s="12" t="str">
        <f t="shared" si="50"/>
        <v>168</v>
      </c>
      <c r="T142" s="12" t="str">
        <f t="shared" si="51"/>
        <v>BAGS</v>
      </c>
      <c r="U142" s="12" t="str">
        <f t="shared" si="52"/>
        <v>bags</v>
      </c>
      <c r="V142" s="12">
        <f t="shared" si="34"/>
        <v>1</v>
      </c>
      <c r="W142" s="12" t="str">
        <f t="shared" si="35"/>
        <v>60 I00155</v>
      </c>
      <c r="X142" s="12" t="str">
        <f t="shared" si="36"/>
        <v>TRUI</v>
      </c>
      <c r="Y142" s="12" t="str">
        <f t="shared" si="37"/>
        <v>1</v>
      </c>
      <c r="Z142" s="12" t="str">
        <f t="shared" si="38"/>
        <v>3</v>
      </c>
      <c r="AA142" s="12">
        <f t="shared" si="39"/>
        <v>2</v>
      </c>
      <c r="AB142" s="12">
        <f t="shared" si="40"/>
        <v>9</v>
      </c>
    </row>
    <row r="143" spans="1:28" ht="30" x14ac:dyDescent="0.25">
      <c r="A143" s="34" t="s">
        <v>146</v>
      </c>
      <c r="B143" s="34" t="s">
        <v>2194</v>
      </c>
      <c r="C143" s="34" t="s">
        <v>2195</v>
      </c>
      <c r="D143" s="34" t="s">
        <v>1019</v>
      </c>
      <c r="E143" s="34" t="s">
        <v>1999</v>
      </c>
      <c r="F143" s="34">
        <v>1</v>
      </c>
      <c r="G143" s="34" t="s">
        <v>167</v>
      </c>
      <c r="H143" s="34">
        <v>13</v>
      </c>
      <c r="I143" s="12">
        <f t="shared" si="43"/>
        <v>13</v>
      </c>
      <c r="J143" s="12">
        <f t="shared" si="44"/>
        <v>156</v>
      </c>
      <c r="K143" s="12">
        <f t="shared" si="45"/>
        <v>21</v>
      </c>
      <c r="L143" s="12">
        <f t="shared" si="42"/>
        <v>195.5</v>
      </c>
      <c r="M143" s="12">
        <f t="shared" si="46"/>
        <v>12</v>
      </c>
      <c r="N143" s="12" t="b">
        <f t="shared" si="32"/>
        <v>1</v>
      </c>
      <c r="O143" s="12" t="b">
        <f t="shared" si="33"/>
        <v>1</v>
      </c>
      <c r="P143" s="12" t="str">
        <f t="shared" si="47"/>
        <v>oz -1</v>
      </c>
      <c r="Q143" s="17" t="str">
        <f t="shared" si="48"/>
        <v>S00268
P010</v>
      </c>
      <c r="R143" s="12" t="b">
        <f t="shared" si="49"/>
        <v>0</v>
      </c>
      <c r="S143" s="12" t="str">
        <f t="shared" si="50"/>
        <v>417</v>
      </c>
      <c r="T143" s="12" t="str">
        <f t="shared" si="51"/>
        <v>OZ</v>
      </c>
      <c r="U143" s="12" t="str">
        <f t="shared" si="52"/>
        <v>oz</v>
      </c>
      <c r="V143" s="12">
        <f t="shared" si="34"/>
        <v>1</v>
      </c>
      <c r="W143" s="12" t="str">
        <f t="shared" si="35"/>
        <v xml:space="preserve"> I00251</v>
      </c>
      <c r="X143" s="12" t="str">
        <f t="shared" si="36"/>
        <v>TRUI</v>
      </c>
      <c r="Y143" s="12" t="str">
        <f t="shared" si="37"/>
        <v>1</v>
      </c>
      <c r="Z143" s="12" t="str">
        <f t="shared" si="38"/>
        <v>5</v>
      </c>
      <c r="AA143" s="12">
        <f t="shared" si="39"/>
        <v>2</v>
      </c>
      <c r="AB143" s="12">
        <f t="shared" si="40"/>
        <v>7</v>
      </c>
    </row>
    <row r="144" spans="1:28" ht="30" x14ac:dyDescent="0.25">
      <c r="A144" s="34" t="s">
        <v>55</v>
      </c>
      <c r="B144" s="34" t="s">
        <v>2196</v>
      </c>
      <c r="C144" s="34" t="s">
        <v>2197</v>
      </c>
      <c r="D144" s="34" t="s">
        <v>428</v>
      </c>
      <c r="E144" s="34" t="s">
        <v>145</v>
      </c>
      <c r="F144" s="34">
        <v>5</v>
      </c>
      <c r="G144" s="34" t="s">
        <v>13</v>
      </c>
      <c r="H144" s="34">
        <v>14</v>
      </c>
      <c r="I144" s="12">
        <f t="shared" si="43"/>
        <v>70</v>
      </c>
      <c r="J144" s="12">
        <f t="shared" si="44"/>
        <v>93</v>
      </c>
      <c r="K144" s="12">
        <f t="shared" si="45"/>
        <v>14</v>
      </c>
      <c r="L144" s="12">
        <f t="shared" si="42"/>
        <v>1195.5</v>
      </c>
      <c r="M144" s="12">
        <f t="shared" si="46"/>
        <v>60</v>
      </c>
      <c r="N144" s="12" t="b">
        <f t="shared" si="32"/>
        <v>1</v>
      </c>
      <c r="O144" s="12" t="b">
        <f t="shared" si="33"/>
        <v>1</v>
      </c>
      <c r="P144" s="12" t="str">
        <f t="shared" si="47"/>
        <v>ct -5</v>
      </c>
      <c r="Q144" s="17" t="str">
        <f t="shared" si="48"/>
        <v>S00319
P006</v>
      </c>
      <c r="R144" s="12" t="b">
        <f t="shared" si="49"/>
        <v>0</v>
      </c>
      <c r="S144" s="12" t="str">
        <f t="shared" si="50"/>
        <v>368</v>
      </c>
      <c r="T144" s="12" t="str">
        <f t="shared" si="51"/>
        <v>CT</v>
      </c>
      <c r="U144" s="12" t="str">
        <f t="shared" si="52"/>
        <v>ct</v>
      </c>
      <c r="V144" s="12">
        <f t="shared" si="34"/>
        <v>1</v>
      </c>
      <c r="W144" s="12" t="str">
        <f t="shared" si="35"/>
        <v xml:space="preserve"> I00262</v>
      </c>
      <c r="X144" s="12" t="str">
        <f t="shared" si="36"/>
        <v>TRUI</v>
      </c>
      <c r="Y144" s="12" t="str">
        <f t="shared" si="37"/>
        <v>1</v>
      </c>
      <c r="Z144" s="12" t="str">
        <f t="shared" si="38"/>
        <v>5</v>
      </c>
      <c r="AA144" s="12">
        <f t="shared" si="39"/>
        <v>2</v>
      </c>
      <c r="AB144" s="12">
        <f t="shared" si="40"/>
        <v>7</v>
      </c>
    </row>
    <row r="145" spans="1:28" ht="30" x14ac:dyDescent="0.25">
      <c r="A145" s="34" t="s">
        <v>61</v>
      </c>
      <c r="B145" s="34" t="s">
        <v>2198</v>
      </c>
      <c r="C145" s="34" t="s">
        <v>2199</v>
      </c>
      <c r="D145" s="34" t="s">
        <v>600</v>
      </c>
      <c r="E145" s="34" t="s">
        <v>1800</v>
      </c>
      <c r="F145" s="34">
        <v>4</v>
      </c>
      <c r="G145" s="34" t="s">
        <v>35</v>
      </c>
      <c r="H145" s="34">
        <v>40</v>
      </c>
      <c r="I145" s="12">
        <f t="shared" si="43"/>
        <v>160</v>
      </c>
      <c r="J145" s="12">
        <f t="shared" si="44"/>
        <v>25</v>
      </c>
      <c r="K145" s="12">
        <f t="shared" si="45"/>
        <v>4</v>
      </c>
      <c r="L145" s="12">
        <f t="shared" si="42"/>
        <v>435.75</v>
      </c>
      <c r="M145" s="12">
        <f t="shared" si="46"/>
        <v>33</v>
      </c>
      <c r="N145" s="12" t="b">
        <f t="shared" si="32"/>
        <v>1</v>
      </c>
      <c r="O145" s="12" t="b">
        <f t="shared" si="33"/>
        <v>1</v>
      </c>
      <c r="P145" s="12" t="str">
        <f t="shared" si="47"/>
        <v>cans -4</v>
      </c>
      <c r="Q145" s="17" t="str">
        <f t="shared" si="48"/>
        <v>S00446
P023</v>
      </c>
      <c r="R145" s="12" t="b">
        <f t="shared" si="49"/>
        <v>0</v>
      </c>
      <c r="S145" s="12" t="str">
        <f t="shared" si="50"/>
        <v>814</v>
      </c>
      <c r="T145" s="12" t="str">
        <f t="shared" si="51"/>
        <v>CANS</v>
      </c>
      <c r="U145" s="12" t="str">
        <f t="shared" si="52"/>
        <v>cans</v>
      </c>
      <c r="V145" s="12">
        <f t="shared" si="34"/>
        <v>1</v>
      </c>
      <c r="W145" s="12" t="str">
        <f t="shared" si="35"/>
        <v xml:space="preserve"> I00063</v>
      </c>
      <c r="X145" s="12" t="str">
        <f t="shared" si="36"/>
        <v>TRUI</v>
      </c>
      <c r="Y145" s="12" t="str">
        <f t="shared" si="37"/>
        <v>4</v>
      </c>
      <c r="Z145" s="12" t="str">
        <f t="shared" si="38"/>
        <v>5</v>
      </c>
      <c r="AA145" s="12">
        <f t="shared" si="39"/>
        <v>2</v>
      </c>
      <c r="AB145" s="12">
        <f t="shared" si="40"/>
        <v>7</v>
      </c>
    </row>
    <row r="146" spans="1:28" ht="30" x14ac:dyDescent="0.25">
      <c r="A146" s="34" t="s">
        <v>519</v>
      </c>
      <c r="B146" s="34" t="s">
        <v>2200</v>
      </c>
      <c r="C146" s="34" t="s">
        <v>2201</v>
      </c>
      <c r="D146" s="34" t="s">
        <v>181</v>
      </c>
      <c r="E146" s="34" t="s">
        <v>2202</v>
      </c>
      <c r="F146" s="34">
        <v>10</v>
      </c>
      <c r="G146" s="34" t="s">
        <v>13</v>
      </c>
      <c r="H146" s="34">
        <v>6</v>
      </c>
      <c r="I146" s="12">
        <f t="shared" si="43"/>
        <v>60</v>
      </c>
      <c r="J146" s="12">
        <f t="shared" si="44"/>
        <v>105.5</v>
      </c>
      <c r="K146" s="12">
        <f t="shared" si="45"/>
        <v>14</v>
      </c>
      <c r="L146" s="12">
        <f t="shared" si="42"/>
        <v>1195.5</v>
      </c>
      <c r="M146" s="12">
        <f t="shared" si="46"/>
        <v>60</v>
      </c>
      <c r="N146" s="12" t="b">
        <f t="shared" si="32"/>
        <v>1</v>
      </c>
      <c r="O146" s="12" t="b">
        <f t="shared" si="33"/>
        <v>1</v>
      </c>
      <c r="P146" s="12" t="str">
        <f t="shared" si="47"/>
        <v>ct -10</v>
      </c>
      <c r="Q146" s="17" t="str">
        <f t="shared" si="48"/>
        <v>S00254
P008</v>
      </c>
      <c r="R146" s="12" t="b">
        <f t="shared" si="49"/>
        <v>0</v>
      </c>
      <c r="S146" s="12" t="str">
        <f t="shared" si="50"/>
        <v>132</v>
      </c>
      <c r="T146" s="12" t="str">
        <f t="shared" si="51"/>
        <v>CT</v>
      </c>
      <c r="U146" s="12" t="str">
        <f t="shared" si="52"/>
        <v>ct</v>
      </c>
      <c r="V146" s="12">
        <f t="shared" si="34"/>
        <v>1</v>
      </c>
      <c r="W146" s="12" t="str">
        <f t="shared" si="35"/>
        <v xml:space="preserve"> I00218</v>
      </c>
      <c r="X146" s="12" t="str">
        <f t="shared" si="36"/>
        <v>TRUI</v>
      </c>
      <c r="Y146" s="12" t="str">
        <f t="shared" si="37"/>
        <v>1</v>
      </c>
      <c r="Z146" s="12" t="str">
        <f t="shared" si="38"/>
        <v>5</v>
      </c>
      <c r="AA146" s="12">
        <f t="shared" si="39"/>
        <v>2</v>
      </c>
      <c r="AB146" s="12">
        <f t="shared" si="40"/>
        <v>7</v>
      </c>
    </row>
    <row r="147" spans="1:28" ht="30" x14ac:dyDescent="0.25">
      <c r="A147" s="34" t="s">
        <v>96</v>
      </c>
      <c r="B147" s="34" t="s">
        <v>2203</v>
      </c>
      <c r="C147" s="34" t="s">
        <v>2204</v>
      </c>
      <c r="D147" s="34" t="s">
        <v>1295</v>
      </c>
      <c r="E147" s="34" t="s">
        <v>1051</v>
      </c>
      <c r="F147" s="34">
        <v>5</v>
      </c>
      <c r="G147" s="34" t="s">
        <v>13</v>
      </c>
      <c r="H147" s="34">
        <v>15</v>
      </c>
      <c r="I147" s="12">
        <f t="shared" si="43"/>
        <v>75</v>
      </c>
      <c r="J147" s="12">
        <f t="shared" si="44"/>
        <v>89.5</v>
      </c>
      <c r="K147" s="12">
        <f t="shared" si="45"/>
        <v>12</v>
      </c>
      <c r="L147" s="12">
        <f t="shared" si="42"/>
        <v>1195.5</v>
      </c>
      <c r="M147" s="12">
        <f t="shared" si="46"/>
        <v>60</v>
      </c>
      <c r="N147" s="12" t="b">
        <f t="shared" si="32"/>
        <v>1</v>
      </c>
      <c r="O147" s="12" t="b">
        <f t="shared" si="33"/>
        <v>1</v>
      </c>
      <c r="P147" s="12" t="str">
        <f t="shared" si="47"/>
        <v>ct -5</v>
      </c>
      <c r="Q147" s="17" t="str">
        <f t="shared" si="48"/>
        <v>S00586
P016</v>
      </c>
      <c r="R147" s="12" t="b">
        <f t="shared" si="49"/>
        <v>0</v>
      </c>
      <c r="S147" s="12" t="str">
        <f t="shared" si="50"/>
        <v>557</v>
      </c>
      <c r="T147" s="12" t="str">
        <f t="shared" si="51"/>
        <v>CT</v>
      </c>
      <c r="U147" s="12" t="str">
        <f t="shared" si="52"/>
        <v>ct</v>
      </c>
      <c r="V147" s="12">
        <f t="shared" si="34"/>
        <v>1</v>
      </c>
      <c r="W147" s="12" t="str">
        <f t="shared" si="35"/>
        <v xml:space="preserve"> I00199</v>
      </c>
      <c r="X147" s="12" t="str">
        <f t="shared" si="36"/>
        <v>TRUI</v>
      </c>
      <c r="Y147" s="12" t="str">
        <f t="shared" si="37"/>
        <v>1</v>
      </c>
      <c r="Z147" s="12" t="str">
        <f t="shared" si="38"/>
        <v>5</v>
      </c>
      <c r="AA147" s="12">
        <f t="shared" si="39"/>
        <v>2</v>
      </c>
      <c r="AB147" s="12">
        <f t="shared" si="40"/>
        <v>7</v>
      </c>
    </row>
    <row r="148" spans="1:28" ht="30" x14ac:dyDescent="0.25">
      <c r="A148" s="34" t="s">
        <v>61</v>
      </c>
      <c r="B148" s="34" t="s">
        <v>2205</v>
      </c>
      <c r="C148" s="34" t="s">
        <v>2206</v>
      </c>
      <c r="D148" s="34" t="s">
        <v>330</v>
      </c>
      <c r="E148" s="34" t="s">
        <v>1075</v>
      </c>
      <c r="F148" s="34">
        <v>2</v>
      </c>
      <c r="G148" s="34" t="s">
        <v>13</v>
      </c>
      <c r="H148" s="34">
        <v>17</v>
      </c>
      <c r="I148" s="12">
        <f t="shared" si="43"/>
        <v>34</v>
      </c>
      <c r="J148" s="12">
        <f t="shared" si="44"/>
        <v>129</v>
      </c>
      <c r="K148" s="12">
        <f t="shared" si="45"/>
        <v>15</v>
      </c>
      <c r="L148" s="12">
        <f t="shared" si="42"/>
        <v>1195.5</v>
      </c>
      <c r="M148" s="12">
        <f t="shared" si="46"/>
        <v>60</v>
      </c>
      <c r="N148" s="12" t="b">
        <f t="shared" si="32"/>
        <v>1</v>
      </c>
      <c r="O148" s="12" t="b">
        <f t="shared" si="33"/>
        <v>1</v>
      </c>
      <c r="P148" s="12" t="str">
        <f t="shared" si="47"/>
        <v>ct -2</v>
      </c>
      <c r="Q148" s="17" t="str">
        <f t="shared" si="48"/>
        <v>S00122
P023</v>
      </c>
      <c r="R148" s="12" t="b">
        <f t="shared" si="49"/>
        <v>0</v>
      </c>
      <c r="S148" s="12" t="str">
        <f t="shared" si="50"/>
        <v>944</v>
      </c>
      <c r="T148" s="12" t="str">
        <f t="shared" si="51"/>
        <v>CT</v>
      </c>
      <c r="U148" s="12" t="str">
        <f t="shared" si="52"/>
        <v>ct</v>
      </c>
      <c r="V148" s="12">
        <f t="shared" si="34"/>
        <v>1</v>
      </c>
      <c r="W148" s="12" t="str">
        <f t="shared" si="35"/>
        <v xml:space="preserve"> I00121</v>
      </c>
      <c r="X148" s="12" t="str">
        <f t="shared" si="36"/>
        <v>TRUI</v>
      </c>
      <c r="Y148" s="12" t="str">
        <f t="shared" si="37"/>
        <v>1</v>
      </c>
      <c r="Z148" s="12" t="str">
        <f t="shared" si="38"/>
        <v>5</v>
      </c>
      <c r="AA148" s="12">
        <f t="shared" si="39"/>
        <v>2</v>
      </c>
      <c r="AB148" s="12">
        <f t="shared" si="40"/>
        <v>7</v>
      </c>
    </row>
    <row r="149" spans="1:28" ht="30" x14ac:dyDescent="0.25">
      <c r="A149" s="34" t="s">
        <v>146</v>
      </c>
      <c r="B149" s="34" t="s">
        <v>2207</v>
      </c>
      <c r="C149" s="34" t="s">
        <v>2208</v>
      </c>
      <c r="D149" s="34" t="s">
        <v>526</v>
      </c>
      <c r="E149" s="34" t="s">
        <v>1832</v>
      </c>
      <c r="F149" s="34">
        <v>4</v>
      </c>
      <c r="G149" s="34" t="s">
        <v>13</v>
      </c>
      <c r="H149" s="34">
        <v>13</v>
      </c>
      <c r="I149" s="12">
        <f t="shared" si="43"/>
        <v>52</v>
      </c>
      <c r="J149" s="12">
        <f t="shared" si="44"/>
        <v>115.5</v>
      </c>
      <c r="K149" s="12">
        <f t="shared" si="45"/>
        <v>13</v>
      </c>
      <c r="L149" s="12">
        <f t="shared" si="42"/>
        <v>1195.5</v>
      </c>
      <c r="M149" s="12">
        <f t="shared" si="46"/>
        <v>60</v>
      </c>
      <c r="N149" s="12" t="b">
        <f t="shared" si="32"/>
        <v>1</v>
      </c>
      <c r="O149" s="12" t="b">
        <f t="shared" si="33"/>
        <v>1</v>
      </c>
      <c r="P149" s="12" t="str">
        <f t="shared" si="47"/>
        <v>ct -4</v>
      </c>
      <c r="Q149" s="17" t="str">
        <f t="shared" si="48"/>
        <v>S00556
P010</v>
      </c>
      <c r="R149" s="12" t="b">
        <f t="shared" si="49"/>
        <v>0</v>
      </c>
      <c r="S149" s="12" t="str">
        <f t="shared" si="50"/>
        <v>677</v>
      </c>
      <c r="T149" s="12" t="str">
        <f t="shared" si="51"/>
        <v>CT</v>
      </c>
      <c r="U149" s="12" t="str">
        <f t="shared" si="52"/>
        <v>ct</v>
      </c>
      <c r="V149" s="12">
        <f t="shared" si="34"/>
        <v>1</v>
      </c>
      <c r="W149" s="12" t="str">
        <f t="shared" si="35"/>
        <v>coustomer_key I00186</v>
      </c>
      <c r="X149" s="12" t="str">
        <f t="shared" si="36"/>
        <v>TRUI</v>
      </c>
      <c r="Y149" s="12" t="str">
        <f t="shared" si="37"/>
        <v>1</v>
      </c>
      <c r="Z149" s="12" t="str">
        <f t="shared" si="38"/>
        <v>5</v>
      </c>
      <c r="AA149" s="12">
        <f t="shared" si="39"/>
        <v>2</v>
      </c>
      <c r="AB149" s="12">
        <f t="shared" si="40"/>
        <v>20</v>
      </c>
    </row>
    <row r="150" spans="1:28" ht="30" x14ac:dyDescent="0.25">
      <c r="A150" s="34" t="s">
        <v>8</v>
      </c>
      <c r="B150" s="34" t="s">
        <v>2209</v>
      </c>
      <c r="C150" s="34" t="s">
        <v>2210</v>
      </c>
      <c r="D150" s="34" t="s">
        <v>793</v>
      </c>
      <c r="E150" s="34" t="s">
        <v>331</v>
      </c>
      <c r="F150" s="34">
        <v>9</v>
      </c>
      <c r="G150" s="34" t="s">
        <v>106</v>
      </c>
      <c r="H150" s="34">
        <v>17</v>
      </c>
      <c r="I150" s="12">
        <f t="shared" si="43"/>
        <v>153</v>
      </c>
      <c r="J150" s="12">
        <f t="shared" si="44"/>
        <v>30.5</v>
      </c>
      <c r="K150" s="12">
        <f t="shared" si="45"/>
        <v>6</v>
      </c>
      <c r="L150" s="12">
        <f t="shared" si="42"/>
        <v>163</v>
      </c>
      <c r="M150" s="12">
        <f t="shared" si="46"/>
        <v>10</v>
      </c>
      <c r="N150" s="12" t="b">
        <f t="shared" si="32"/>
        <v>1</v>
      </c>
      <c r="O150" s="12" t="b">
        <f t="shared" si="33"/>
        <v>1</v>
      </c>
      <c r="P150" s="12" t="str">
        <f t="shared" si="47"/>
        <v>bags -9</v>
      </c>
      <c r="Q150" s="17" t="str">
        <f t="shared" si="48"/>
        <v>S00694
P026</v>
      </c>
      <c r="R150" s="12" t="b">
        <f t="shared" si="49"/>
        <v>0</v>
      </c>
      <c r="S150" s="12" t="str">
        <f t="shared" si="50"/>
        <v>882</v>
      </c>
      <c r="T150" s="12" t="str">
        <f t="shared" si="51"/>
        <v>BAGS</v>
      </c>
      <c r="U150" s="12" t="str">
        <f t="shared" si="52"/>
        <v>bags</v>
      </c>
      <c r="V150" s="12">
        <f t="shared" si="34"/>
        <v>1</v>
      </c>
      <c r="W150" s="12" t="str">
        <f t="shared" si="35"/>
        <v>C008430 I00166</v>
      </c>
      <c r="X150" s="12" t="str">
        <f t="shared" si="36"/>
        <v>TRUI</v>
      </c>
      <c r="Y150" s="12" t="str">
        <f t="shared" si="37"/>
        <v>1</v>
      </c>
      <c r="Z150" s="12" t="str">
        <f t="shared" si="38"/>
        <v>3</v>
      </c>
      <c r="AA150" s="12">
        <f t="shared" si="39"/>
        <v>2</v>
      </c>
      <c r="AB150" s="12">
        <f t="shared" si="40"/>
        <v>14</v>
      </c>
    </row>
    <row r="151" spans="1:28" ht="30" x14ac:dyDescent="0.25">
      <c r="A151" s="34" t="s">
        <v>66</v>
      </c>
      <c r="B151" s="34" t="s">
        <v>2211</v>
      </c>
      <c r="C151" s="34" t="s">
        <v>2212</v>
      </c>
      <c r="D151" s="34" t="s">
        <v>1752</v>
      </c>
      <c r="E151" s="34" t="s">
        <v>1536</v>
      </c>
      <c r="F151" s="34">
        <v>9</v>
      </c>
      <c r="G151" s="34" t="s">
        <v>60</v>
      </c>
      <c r="H151" s="34">
        <v>17.5</v>
      </c>
      <c r="I151" s="12">
        <f t="shared" si="43"/>
        <v>157.5</v>
      </c>
      <c r="J151" s="12">
        <f t="shared" si="44"/>
        <v>27</v>
      </c>
      <c r="K151" s="12">
        <f t="shared" si="45"/>
        <v>5</v>
      </c>
      <c r="L151" s="12">
        <f t="shared" si="42"/>
        <v>333.5</v>
      </c>
      <c r="M151" s="12">
        <f t="shared" si="46"/>
        <v>18</v>
      </c>
      <c r="N151" s="12" t="b">
        <f t="shared" ref="N151:N160" si="53">AND(K151&lt;50,J151&gt;10)</f>
        <v>1</v>
      </c>
      <c r="O151" s="12" t="b">
        <f t="shared" ref="O151:O160" si="54">OR(K151&lt;50,J151&gt;10)</f>
        <v>1</v>
      </c>
      <c r="P151" s="12" t="str">
        <f t="shared" si="47"/>
        <v>bottles -9</v>
      </c>
      <c r="Q151" s="17" t="str">
        <f t="shared" si="48"/>
        <v>S00722
P027</v>
      </c>
      <c r="R151" s="12" t="b">
        <f t="shared" si="49"/>
        <v>0</v>
      </c>
      <c r="S151" s="12" t="str">
        <f t="shared" si="50"/>
        <v>759</v>
      </c>
      <c r="T151" s="12" t="str">
        <f t="shared" si="51"/>
        <v>BOTTLES</v>
      </c>
      <c r="U151" s="12" t="str">
        <f t="shared" si="52"/>
        <v>bottles</v>
      </c>
      <c r="V151" s="12">
        <f t="shared" ref="V151:V162" si="55">SEARCH("S",E151)</f>
        <v>1</v>
      </c>
      <c r="W151" s="12" t="str">
        <f t="shared" ref="W151:W162" si="56">_xlfn.TEXTJOIN(" ",FALSE,M169,D151)</f>
        <v xml:space="preserve"> I00070</v>
      </c>
      <c r="X151" s="12" t="str">
        <f t="shared" ref="X151:X162" si="57">SUBSTITUTE(O151,"E","I")</f>
        <v>TRUI</v>
      </c>
      <c r="Y151" s="12" t="str">
        <f t="shared" ref="Y151:Y162" si="58">LEFT(L151)</f>
        <v>3</v>
      </c>
      <c r="Z151" s="12" t="str">
        <f t="shared" ref="Z151:Z162" si="59">RIGHT(L151)</f>
        <v>5</v>
      </c>
      <c r="AA151" s="12">
        <f t="shared" ref="AA151:AA160" si="60">FIND("0",B151)</f>
        <v>2</v>
      </c>
      <c r="AB151" s="12">
        <f t="shared" ref="AB151:AB162" si="61">LEN(W151)</f>
        <v>7</v>
      </c>
    </row>
    <row r="152" spans="1:28" ht="30" x14ac:dyDescent="0.25">
      <c r="A152" s="34" t="s">
        <v>359</v>
      </c>
      <c r="B152" s="34" t="s">
        <v>2213</v>
      </c>
      <c r="C152" s="34" t="s">
        <v>2214</v>
      </c>
      <c r="D152" s="34" t="s">
        <v>69</v>
      </c>
      <c r="E152" s="34" t="s">
        <v>504</v>
      </c>
      <c r="F152" s="34">
        <v>1</v>
      </c>
      <c r="G152" s="34" t="s">
        <v>13</v>
      </c>
      <c r="H152" s="34">
        <v>14</v>
      </c>
      <c r="I152" s="12">
        <f t="shared" si="43"/>
        <v>14</v>
      </c>
      <c r="J152" s="12">
        <f t="shared" si="44"/>
        <v>152.5</v>
      </c>
      <c r="K152" s="12">
        <f t="shared" si="45"/>
        <v>12</v>
      </c>
      <c r="L152" s="12">
        <f t="shared" si="42"/>
        <v>1195.5</v>
      </c>
      <c r="M152" s="12">
        <f t="shared" si="46"/>
        <v>60</v>
      </c>
      <c r="N152" s="12" t="b">
        <f t="shared" si="53"/>
        <v>1</v>
      </c>
      <c r="O152" s="12" t="b">
        <f t="shared" si="54"/>
        <v>1</v>
      </c>
      <c r="P152" s="12" t="str">
        <f t="shared" si="47"/>
        <v>ct -1</v>
      </c>
      <c r="Q152" s="17" t="str">
        <f t="shared" si="48"/>
        <v>S00264
P004</v>
      </c>
      <c r="R152" s="12" t="b">
        <f t="shared" si="49"/>
        <v>0</v>
      </c>
      <c r="S152" s="12" t="str">
        <f t="shared" si="50"/>
        <v>390</v>
      </c>
      <c r="T152" s="12" t="str">
        <f t="shared" si="51"/>
        <v>CT</v>
      </c>
      <c r="U152" s="12" t="str">
        <f t="shared" si="52"/>
        <v>ct</v>
      </c>
      <c r="V152" s="12">
        <f t="shared" si="55"/>
        <v>1</v>
      </c>
      <c r="W152" s="12" t="str">
        <f t="shared" si="56"/>
        <v>coustomer_key I00188</v>
      </c>
      <c r="X152" s="12" t="str">
        <f t="shared" si="57"/>
        <v>TRUI</v>
      </c>
      <c r="Y152" s="12" t="str">
        <f t="shared" si="58"/>
        <v>1</v>
      </c>
      <c r="Z152" s="12" t="str">
        <f t="shared" si="59"/>
        <v>5</v>
      </c>
      <c r="AA152" s="12">
        <f t="shared" si="60"/>
        <v>2</v>
      </c>
      <c r="AB152" s="12">
        <f t="shared" si="61"/>
        <v>20</v>
      </c>
    </row>
    <row r="153" spans="1:28" ht="30" x14ac:dyDescent="0.25">
      <c r="A153" s="34" t="s">
        <v>14</v>
      </c>
      <c r="B153" s="34" t="s">
        <v>2215</v>
      </c>
      <c r="C153" s="34" t="s">
        <v>2216</v>
      </c>
      <c r="D153" s="34" t="s">
        <v>807</v>
      </c>
      <c r="E153" s="34" t="s">
        <v>710</v>
      </c>
      <c r="F153" s="34">
        <v>2</v>
      </c>
      <c r="G153" s="34" t="s">
        <v>13</v>
      </c>
      <c r="H153" s="34">
        <v>21</v>
      </c>
      <c r="I153" s="12">
        <f t="shared" si="43"/>
        <v>42</v>
      </c>
      <c r="J153" s="12">
        <f t="shared" si="44"/>
        <v>122.5</v>
      </c>
      <c r="K153" s="12">
        <f t="shared" si="45"/>
        <v>11</v>
      </c>
      <c r="L153" s="12">
        <f t="shared" si="42"/>
        <v>1195.5</v>
      </c>
      <c r="M153" s="12">
        <f t="shared" si="46"/>
        <v>60</v>
      </c>
      <c r="N153" s="12" t="b">
        <f t="shared" si="53"/>
        <v>1</v>
      </c>
      <c r="O153" s="12" t="b">
        <f t="shared" si="54"/>
        <v>1</v>
      </c>
      <c r="P153" s="12" t="str">
        <f t="shared" si="47"/>
        <v>ct -2</v>
      </c>
      <c r="Q153" s="17" t="str">
        <f t="shared" si="48"/>
        <v>S00461
P022</v>
      </c>
      <c r="R153" s="12" t="b">
        <f t="shared" si="49"/>
        <v>0</v>
      </c>
      <c r="S153" s="12" t="str">
        <f t="shared" si="50"/>
        <v>711</v>
      </c>
      <c r="T153" s="12" t="str">
        <f t="shared" si="51"/>
        <v>CT</v>
      </c>
      <c r="U153" s="12" t="str">
        <f t="shared" si="52"/>
        <v>ct</v>
      </c>
      <c r="V153" s="12">
        <f t="shared" si="55"/>
        <v>1</v>
      </c>
      <c r="W153" s="12" t="str">
        <f t="shared" si="56"/>
        <v>C004593 I00257</v>
      </c>
      <c r="X153" s="12" t="str">
        <f t="shared" si="57"/>
        <v>TRUI</v>
      </c>
      <c r="Y153" s="12" t="str">
        <f t="shared" si="58"/>
        <v>1</v>
      </c>
      <c r="Z153" s="12" t="str">
        <f t="shared" si="59"/>
        <v>5</v>
      </c>
      <c r="AA153" s="12">
        <f t="shared" si="60"/>
        <v>2</v>
      </c>
      <c r="AB153" s="12">
        <f t="shared" si="61"/>
        <v>14</v>
      </c>
    </row>
    <row r="154" spans="1:28" ht="30" x14ac:dyDescent="0.25">
      <c r="A154" s="34" t="s">
        <v>359</v>
      </c>
      <c r="B154" s="34" t="s">
        <v>2217</v>
      </c>
      <c r="C154" s="34" t="s">
        <v>2218</v>
      </c>
      <c r="D154" s="34" t="s">
        <v>64</v>
      </c>
      <c r="E154" s="34" t="s">
        <v>2219</v>
      </c>
      <c r="F154" s="34">
        <v>11</v>
      </c>
      <c r="G154" s="34" t="s">
        <v>35</v>
      </c>
      <c r="H154" s="34">
        <v>15.5</v>
      </c>
      <c r="I154" s="12">
        <f t="shared" si="43"/>
        <v>170.5</v>
      </c>
      <c r="J154" s="12">
        <f t="shared" si="44"/>
        <v>21</v>
      </c>
      <c r="K154" s="12">
        <f t="shared" si="45"/>
        <v>3</v>
      </c>
      <c r="L154" s="12">
        <f t="shared" si="42"/>
        <v>435.75</v>
      </c>
      <c r="M154" s="12">
        <f t="shared" si="46"/>
        <v>33</v>
      </c>
      <c r="N154" s="12" t="b">
        <f t="shared" si="53"/>
        <v>1</v>
      </c>
      <c r="O154" s="12" t="b">
        <f t="shared" si="54"/>
        <v>1</v>
      </c>
      <c r="P154" s="12" t="str">
        <f t="shared" si="47"/>
        <v>cans -11</v>
      </c>
      <c r="Q154" s="17" t="str">
        <f t="shared" si="48"/>
        <v>S0039
P004</v>
      </c>
      <c r="R154" s="12" t="b">
        <f t="shared" si="49"/>
        <v>0</v>
      </c>
      <c r="S154" s="12" t="str">
        <f t="shared" si="50"/>
        <v>273</v>
      </c>
      <c r="T154" s="12" t="str">
        <f t="shared" si="51"/>
        <v>CANS</v>
      </c>
      <c r="U154" s="12" t="str">
        <f t="shared" si="52"/>
        <v>cans</v>
      </c>
      <c r="V154" s="12">
        <f t="shared" si="55"/>
        <v>1</v>
      </c>
      <c r="W154" s="12" t="str">
        <f t="shared" si="56"/>
        <v xml:space="preserve"> I00075</v>
      </c>
      <c r="X154" s="12" t="str">
        <f t="shared" si="57"/>
        <v>TRUI</v>
      </c>
      <c r="Y154" s="12" t="str">
        <f t="shared" si="58"/>
        <v>4</v>
      </c>
      <c r="Z154" s="12" t="str">
        <f t="shared" si="59"/>
        <v>5</v>
      </c>
      <c r="AA154" s="12">
        <f t="shared" si="60"/>
        <v>2</v>
      </c>
      <c r="AB154" s="12">
        <f t="shared" si="61"/>
        <v>7</v>
      </c>
    </row>
    <row r="155" spans="1:28" ht="30" x14ac:dyDescent="0.25">
      <c r="A155" s="34" t="s">
        <v>459</v>
      </c>
      <c r="B155" s="34" t="s">
        <v>2220</v>
      </c>
      <c r="C155" s="34" t="s">
        <v>2221</v>
      </c>
      <c r="D155" s="34" t="s">
        <v>823</v>
      </c>
      <c r="E155" s="34" t="s">
        <v>2222</v>
      </c>
      <c r="F155" s="34">
        <v>11</v>
      </c>
      <c r="G155" s="34" t="s">
        <v>60</v>
      </c>
      <c r="H155" s="34">
        <v>11</v>
      </c>
      <c r="I155" s="12">
        <f t="shared" si="43"/>
        <v>121</v>
      </c>
      <c r="J155" s="12">
        <f t="shared" si="44"/>
        <v>55</v>
      </c>
      <c r="K155" s="12">
        <f t="shared" si="45"/>
        <v>6</v>
      </c>
      <c r="L155" s="12">
        <f t="shared" si="42"/>
        <v>333.5</v>
      </c>
      <c r="M155" s="12">
        <f t="shared" si="46"/>
        <v>18</v>
      </c>
      <c r="N155" s="12" t="b">
        <f t="shared" si="53"/>
        <v>1</v>
      </c>
      <c r="O155" s="12" t="b">
        <f t="shared" si="54"/>
        <v>1</v>
      </c>
      <c r="P155" s="12" t="str">
        <f t="shared" si="47"/>
        <v>bottles -11</v>
      </c>
      <c r="Q155" s="17" t="str">
        <f t="shared" si="48"/>
        <v>S00134
P038</v>
      </c>
      <c r="R155" s="12" t="b">
        <f t="shared" si="49"/>
        <v>0</v>
      </c>
      <c r="S155" s="12" t="str">
        <f t="shared" si="50"/>
        <v>857</v>
      </c>
      <c r="T155" s="12" t="str">
        <f t="shared" si="51"/>
        <v>BOTTLES</v>
      </c>
      <c r="U155" s="12" t="str">
        <f t="shared" si="52"/>
        <v>bottles</v>
      </c>
      <c r="V155" s="12">
        <f t="shared" si="55"/>
        <v>1</v>
      </c>
      <c r="W155" s="12" t="str">
        <f t="shared" si="56"/>
        <v>coustomer_key I00094</v>
      </c>
      <c r="X155" s="12" t="str">
        <f t="shared" si="57"/>
        <v>TRUI</v>
      </c>
      <c r="Y155" s="12" t="str">
        <f t="shared" si="58"/>
        <v>3</v>
      </c>
      <c r="Z155" s="12" t="str">
        <f t="shared" si="59"/>
        <v>5</v>
      </c>
      <c r="AA155" s="12">
        <f t="shared" si="60"/>
        <v>2</v>
      </c>
      <c r="AB155" s="12">
        <f t="shared" si="61"/>
        <v>20</v>
      </c>
    </row>
    <row r="156" spans="1:28" ht="30" x14ac:dyDescent="0.25">
      <c r="A156" s="34" t="s">
        <v>82</v>
      </c>
      <c r="B156" s="34" t="s">
        <v>2223</v>
      </c>
      <c r="C156" s="34" t="s">
        <v>2224</v>
      </c>
      <c r="D156" s="34" t="s">
        <v>401</v>
      </c>
      <c r="E156" s="34" t="s">
        <v>1822</v>
      </c>
      <c r="F156" s="34">
        <v>7</v>
      </c>
      <c r="G156" s="34" t="s">
        <v>402</v>
      </c>
      <c r="H156" s="34">
        <v>20</v>
      </c>
      <c r="I156" s="12">
        <f t="shared" si="43"/>
        <v>140</v>
      </c>
      <c r="J156" s="12">
        <f t="shared" si="44"/>
        <v>42.5</v>
      </c>
      <c r="K156" s="12">
        <f t="shared" si="45"/>
        <v>4</v>
      </c>
      <c r="L156" s="12">
        <f t="shared" si="42"/>
        <v>78</v>
      </c>
      <c r="M156" s="12">
        <f t="shared" si="46"/>
        <v>4</v>
      </c>
      <c r="N156" s="12" t="b">
        <f t="shared" si="53"/>
        <v>1</v>
      </c>
      <c r="O156" s="12" t="b">
        <f t="shared" si="54"/>
        <v>1</v>
      </c>
      <c r="P156" s="12" t="str">
        <f t="shared" si="47"/>
        <v>pack -7</v>
      </c>
      <c r="Q156" s="17" t="str">
        <f t="shared" si="48"/>
        <v>S00519
P018</v>
      </c>
      <c r="R156" s="12" t="b">
        <f t="shared" si="49"/>
        <v>0</v>
      </c>
      <c r="S156" s="12" t="str">
        <f t="shared" si="50"/>
        <v>810</v>
      </c>
      <c r="T156" s="12" t="str">
        <f t="shared" si="51"/>
        <v>PACK</v>
      </c>
      <c r="U156" s="12" t="str">
        <f t="shared" si="52"/>
        <v>pack</v>
      </c>
      <c r="V156" s="12">
        <f t="shared" si="55"/>
        <v>1</v>
      </c>
      <c r="W156" s="12" t="str">
        <f t="shared" si="56"/>
        <v>C008814 I00256</v>
      </c>
      <c r="X156" s="12" t="str">
        <f t="shared" si="57"/>
        <v>TRUI</v>
      </c>
      <c r="Y156" s="12" t="str">
        <f t="shared" si="58"/>
        <v>7</v>
      </c>
      <c r="Z156" s="12" t="str">
        <f t="shared" si="59"/>
        <v>8</v>
      </c>
      <c r="AA156" s="12">
        <f t="shared" si="60"/>
        <v>2</v>
      </c>
      <c r="AB156" s="12">
        <f t="shared" si="61"/>
        <v>14</v>
      </c>
    </row>
    <row r="157" spans="1:28" ht="30" x14ac:dyDescent="0.25">
      <c r="A157" s="34" t="s">
        <v>359</v>
      </c>
      <c r="B157" s="34" t="s">
        <v>2225</v>
      </c>
      <c r="C157" s="34" t="s">
        <v>2226</v>
      </c>
      <c r="D157" s="34" t="s">
        <v>1558</v>
      </c>
      <c r="E157" s="34" t="s">
        <v>2028</v>
      </c>
      <c r="F157" s="34">
        <v>4</v>
      </c>
      <c r="G157" s="34" t="s">
        <v>60</v>
      </c>
      <c r="H157" s="34">
        <v>26</v>
      </c>
      <c r="I157" s="12">
        <f t="shared" si="43"/>
        <v>104</v>
      </c>
      <c r="J157" s="12">
        <f t="shared" si="44"/>
        <v>68.5</v>
      </c>
      <c r="K157" s="12">
        <f t="shared" si="45"/>
        <v>6</v>
      </c>
      <c r="L157" s="12">
        <f t="shared" si="42"/>
        <v>333.5</v>
      </c>
      <c r="M157" s="12">
        <f t="shared" si="46"/>
        <v>18</v>
      </c>
      <c r="N157" s="12" t="b">
        <f t="shared" si="53"/>
        <v>1</v>
      </c>
      <c r="O157" s="12" t="b">
        <f t="shared" si="54"/>
        <v>1</v>
      </c>
      <c r="P157" s="12" t="str">
        <f t="shared" si="47"/>
        <v>bottles -4</v>
      </c>
      <c r="Q157" s="17" t="str">
        <f t="shared" si="48"/>
        <v>S00266
P004</v>
      </c>
      <c r="R157" s="12" t="b">
        <f t="shared" si="49"/>
        <v>0</v>
      </c>
      <c r="S157" s="12" t="str">
        <f t="shared" si="50"/>
        <v>504</v>
      </c>
      <c r="T157" s="12" t="str">
        <f t="shared" si="51"/>
        <v>BOTTLES</v>
      </c>
      <c r="U157" s="12" t="str">
        <f t="shared" si="52"/>
        <v>bottles</v>
      </c>
      <c r="V157" s="12">
        <f t="shared" si="55"/>
        <v>1</v>
      </c>
      <c r="W157" s="12" t="str">
        <f t="shared" si="56"/>
        <v xml:space="preserve"> I00039</v>
      </c>
      <c r="X157" s="12" t="str">
        <f t="shared" si="57"/>
        <v>TRUI</v>
      </c>
      <c r="Y157" s="12" t="str">
        <f t="shared" si="58"/>
        <v>3</v>
      </c>
      <c r="Z157" s="12" t="str">
        <f t="shared" si="59"/>
        <v>5</v>
      </c>
      <c r="AA157" s="12">
        <f t="shared" si="60"/>
        <v>2</v>
      </c>
      <c r="AB157" s="12">
        <f t="shared" si="61"/>
        <v>7</v>
      </c>
    </row>
    <row r="158" spans="1:28" ht="30" x14ac:dyDescent="0.25">
      <c r="A158" s="34" t="s">
        <v>146</v>
      </c>
      <c r="B158" s="34" t="s">
        <v>2227</v>
      </c>
      <c r="C158" s="34" t="s">
        <v>2228</v>
      </c>
      <c r="D158" s="34" t="s">
        <v>1954</v>
      </c>
      <c r="E158" s="34" t="s">
        <v>319</v>
      </c>
      <c r="F158" s="34">
        <v>7</v>
      </c>
      <c r="G158" s="34" t="s">
        <v>904</v>
      </c>
      <c r="H158" s="34">
        <v>20</v>
      </c>
      <c r="I158" s="12">
        <f t="shared" si="43"/>
        <v>140</v>
      </c>
      <c r="J158" s="12">
        <f t="shared" si="44"/>
        <v>42.5</v>
      </c>
      <c r="K158" s="12">
        <f t="shared" si="45"/>
        <v>4</v>
      </c>
      <c r="L158" s="12">
        <f t="shared" si="42"/>
        <v>55</v>
      </c>
      <c r="M158" s="12">
        <f t="shared" si="46"/>
        <v>3</v>
      </c>
      <c r="N158" s="12" t="b">
        <f t="shared" si="53"/>
        <v>1</v>
      </c>
      <c r="O158" s="12" t="b">
        <f t="shared" si="54"/>
        <v>1</v>
      </c>
      <c r="P158" s="12" t="str">
        <f t="shared" si="47"/>
        <v>bars -7</v>
      </c>
      <c r="Q158" s="17" t="str">
        <f t="shared" si="48"/>
        <v>S00380
P010</v>
      </c>
      <c r="R158" s="12" t="b">
        <f t="shared" si="49"/>
        <v>0</v>
      </c>
      <c r="S158" s="12" t="str">
        <f t="shared" si="50"/>
        <v>316</v>
      </c>
      <c r="T158" s="12" t="str">
        <f t="shared" si="51"/>
        <v>BARS</v>
      </c>
      <c r="U158" s="12" t="str">
        <f t="shared" si="52"/>
        <v>bars</v>
      </c>
      <c r="V158" s="12">
        <f t="shared" si="55"/>
        <v>1</v>
      </c>
      <c r="W158" s="12" t="str">
        <f t="shared" si="56"/>
        <v xml:space="preserve"> I00200</v>
      </c>
      <c r="X158" s="12" t="str">
        <f t="shared" si="57"/>
        <v>TRUI</v>
      </c>
      <c r="Y158" s="12" t="str">
        <f t="shared" si="58"/>
        <v>5</v>
      </c>
      <c r="Z158" s="12" t="str">
        <f t="shared" si="59"/>
        <v>5</v>
      </c>
      <c r="AA158" s="12">
        <f t="shared" si="60"/>
        <v>2</v>
      </c>
      <c r="AB158" s="12">
        <f t="shared" si="61"/>
        <v>7</v>
      </c>
    </row>
    <row r="159" spans="1:28" ht="30" x14ac:dyDescent="0.25">
      <c r="A159" s="34" t="s">
        <v>61</v>
      </c>
      <c r="B159" s="34" t="s">
        <v>2229</v>
      </c>
      <c r="C159" s="34" t="s">
        <v>2230</v>
      </c>
      <c r="D159" s="34" t="s">
        <v>668</v>
      </c>
      <c r="E159" s="34" t="s">
        <v>1575</v>
      </c>
      <c r="F159" s="34">
        <v>11</v>
      </c>
      <c r="G159" s="34" t="s">
        <v>19</v>
      </c>
      <c r="H159" s="34">
        <v>26</v>
      </c>
      <c r="I159" s="12">
        <f t="shared" si="43"/>
        <v>286</v>
      </c>
      <c r="J159" s="12">
        <f t="shared" si="44"/>
        <v>6.5</v>
      </c>
      <c r="K159" s="12">
        <f t="shared" si="45"/>
        <v>2</v>
      </c>
      <c r="L159" s="12">
        <f t="shared" si="42"/>
        <v>78</v>
      </c>
      <c r="M159" s="12">
        <f t="shared" si="46"/>
        <v>3</v>
      </c>
      <c r="N159" s="12" t="b">
        <f t="shared" si="53"/>
        <v>0</v>
      </c>
      <c r="O159" s="12" t="b">
        <f t="shared" si="54"/>
        <v>1</v>
      </c>
      <c r="P159" s="12" t="str">
        <f t="shared" si="47"/>
        <v>rolls -11</v>
      </c>
      <c r="Q159" s="17" t="str">
        <f t="shared" si="48"/>
        <v>S00157
P023</v>
      </c>
      <c r="R159" s="12" t="b">
        <f t="shared" si="49"/>
        <v>0</v>
      </c>
      <c r="S159" s="12" t="str">
        <f t="shared" si="50"/>
        <v>521</v>
      </c>
      <c r="T159" s="12" t="str">
        <f t="shared" si="51"/>
        <v>ROLLS</v>
      </c>
      <c r="U159" s="12" t="str">
        <f t="shared" si="52"/>
        <v>rolls</v>
      </c>
      <c r="V159" s="12">
        <f t="shared" si="55"/>
        <v>1</v>
      </c>
      <c r="W159" s="12" t="str">
        <f t="shared" si="56"/>
        <v xml:space="preserve"> I00245</v>
      </c>
      <c r="X159" s="12" t="str">
        <f t="shared" si="57"/>
        <v>TRUI</v>
      </c>
      <c r="Y159" s="12" t="str">
        <f t="shared" si="58"/>
        <v>7</v>
      </c>
      <c r="Z159" s="12" t="str">
        <f t="shared" si="59"/>
        <v>8</v>
      </c>
      <c r="AA159" s="12">
        <f t="shared" si="60"/>
        <v>2</v>
      </c>
      <c r="AB159" s="12">
        <f t="shared" si="61"/>
        <v>7</v>
      </c>
    </row>
    <row r="160" spans="1:28" ht="30" x14ac:dyDescent="0.25">
      <c r="A160" s="34" t="s">
        <v>61</v>
      </c>
      <c r="B160" s="34" t="s">
        <v>2231</v>
      </c>
      <c r="C160" s="34" t="s">
        <v>2232</v>
      </c>
      <c r="D160" s="34" t="s">
        <v>503</v>
      </c>
      <c r="E160" s="34" t="s">
        <v>579</v>
      </c>
      <c r="F160" s="34">
        <v>4</v>
      </c>
      <c r="G160" s="34" t="s">
        <v>13</v>
      </c>
      <c r="H160" s="34">
        <v>16.5</v>
      </c>
      <c r="I160" s="12">
        <f t="shared" si="43"/>
        <v>66</v>
      </c>
      <c r="J160" s="12">
        <f t="shared" si="44"/>
        <v>96.5</v>
      </c>
      <c r="K160" s="12">
        <f t="shared" si="45"/>
        <v>4</v>
      </c>
      <c r="L160" s="12">
        <f t="shared" si="42"/>
        <v>1195.5</v>
      </c>
      <c r="M160" s="12">
        <f t="shared" si="46"/>
        <v>60</v>
      </c>
      <c r="N160" s="12" t="b">
        <f t="shared" si="53"/>
        <v>1</v>
      </c>
      <c r="O160" s="12" t="b">
        <f t="shared" si="54"/>
        <v>1</v>
      </c>
      <c r="P160" s="12" t="str">
        <f t="shared" si="47"/>
        <v>ct -4</v>
      </c>
      <c r="Q160" s="17" t="str">
        <f t="shared" si="48"/>
        <v>S00440
P023</v>
      </c>
      <c r="R160" s="12" t="b">
        <f t="shared" si="49"/>
        <v>0</v>
      </c>
      <c r="S160" s="12" t="str">
        <f t="shared" si="50"/>
        <v>425</v>
      </c>
      <c r="T160" s="12" t="str">
        <f t="shared" si="51"/>
        <v>CT</v>
      </c>
      <c r="U160" s="12" t="str">
        <f t="shared" si="52"/>
        <v>ct</v>
      </c>
      <c r="V160" s="12">
        <f t="shared" si="55"/>
        <v>1</v>
      </c>
      <c r="W160" s="12" t="str">
        <f t="shared" si="56"/>
        <v xml:space="preserve"> I00216</v>
      </c>
      <c r="X160" s="12" t="str">
        <f t="shared" si="57"/>
        <v>TRUI</v>
      </c>
      <c r="Y160" s="12" t="str">
        <f t="shared" si="58"/>
        <v>1</v>
      </c>
      <c r="Z160" s="12" t="str">
        <f t="shared" si="59"/>
        <v>5</v>
      </c>
      <c r="AA160" s="12">
        <f t="shared" si="60"/>
        <v>2</v>
      </c>
      <c r="AB160" s="12">
        <f t="shared" si="61"/>
        <v>7</v>
      </c>
    </row>
    <row r="161" spans="1:29" ht="15" customHeight="1" x14ac:dyDescent="0.25">
      <c r="A161" s="41"/>
      <c r="B161" s="41"/>
      <c r="C161" s="41"/>
      <c r="D161" s="41"/>
      <c r="E161" s="41"/>
      <c r="F161" s="41"/>
      <c r="G161" s="41"/>
      <c r="H161" s="60" t="s">
        <v>2234</v>
      </c>
      <c r="I161" s="12">
        <f>SUM(I3:I160)</f>
        <v>16784.75</v>
      </c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AB161" s="12">
        <f t="shared" si="61"/>
        <v>0</v>
      </c>
      <c r="AC161" s="41"/>
    </row>
    <row r="162" spans="1:29" ht="22.5" customHeight="1" x14ac:dyDescent="0.25">
      <c r="A162" s="41"/>
      <c r="B162" s="41"/>
      <c r="C162" s="41"/>
      <c r="D162" s="41"/>
      <c r="E162" s="41"/>
      <c r="F162" s="41"/>
      <c r="G162" s="41"/>
      <c r="H162" s="60" t="s">
        <v>2235</v>
      </c>
      <c r="I162" s="12">
        <f>AVERAGE(I3:I160)</f>
        <v>106.23259493670886</v>
      </c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AB162" s="12">
        <f t="shared" si="61"/>
        <v>0</v>
      </c>
      <c r="AC162" s="41"/>
    </row>
    <row r="163" spans="1:29" ht="22.5" customHeight="1" x14ac:dyDescent="0.25">
      <c r="A163" s="41"/>
      <c r="B163" s="41"/>
      <c r="C163" s="41"/>
      <c r="D163" s="41"/>
      <c r="E163" s="41"/>
      <c r="F163" s="41"/>
      <c r="G163" s="41"/>
      <c r="H163" s="60" t="s">
        <v>2236</v>
      </c>
      <c r="I163" s="12">
        <f>COUNT(I3:I160)</f>
        <v>158</v>
      </c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</row>
    <row r="166" spans="1:29" x14ac:dyDescent="0.25">
      <c r="A166" s="33" t="s">
        <v>0</v>
      </c>
      <c r="B166" s="33" t="s">
        <v>1</v>
      </c>
      <c r="C166" s="33" t="s">
        <v>2</v>
      </c>
      <c r="D166" s="33" t="s">
        <v>3</v>
      </c>
      <c r="E166" s="33" t="s">
        <v>4</v>
      </c>
      <c r="F166" s="33" t="s">
        <v>5</v>
      </c>
      <c r="G166" s="33" t="s">
        <v>6</v>
      </c>
      <c r="H166" s="33" t="s">
        <v>7</v>
      </c>
    </row>
    <row r="167" spans="1:29" ht="18.75" x14ac:dyDescent="0.3">
      <c r="A167" s="34" t="s">
        <v>116</v>
      </c>
      <c r="B167" s="34" t="s">
        <v>1897</v>
      </c>
      <c r="C167" s="34" t="s">
        <v>1898</v>
      </c>
      <c r="D167" s="34" t="s">
        <v>465</v>
      </c>
      <c r="E167" s="34" t="s">
        <v>1899</v>
      </c>
      <c r="F167" s="34">
        <v>6</v>
      </c>
      <c r="G167" s="34" t="s">
        <v>167</v>
      </c>
      <c r="H167" s="34">
        <v>20</v>
      </c>
      <c r="J167" s="61" t="s">
        <v>3590</v>
      </c>
      <c r="L167" s="33" t="s">
        <v>0</v>
      </c>
      <c r="M167" s="33" t="s">
        <v>1</v>
      </c>
      <c r="N167" s="33" t="s">
        <v>2</v>
      </c>
      <c r="O167" s="33" t="s">
        <v>3</v>
      </c>
      <c r="P167" s="33" t="s">
        <v>4</v>
      </c>
      <c r="Q167" s="33" t="s">
        <v>5</v>
      </c>
      <c r="R167" s="33" t="s">
        <v>6</v>
      </c>
      <c r="S167" s="33" t="s">
        <v>7</v>
      </c>
    </row>
    <row r="168" spans="1:29" x14ac:dyDescent="0.25">
      <c r="A168" s="34" t="s">
        <v>359</v>
      </c>
      <c r="B168" s="34" t="s">
        <v>1900</v>
      </c>
      <c r="C168" s="34" t="s">
        <v>1901</v>
      </c>
      <c r="D168" s="34" t="s">
        <v>465</v>
      </c>
      <c r="E168" s="34" t="s">
        <v>1902</v>
      </c>
      <c r="F168" s="34">
        <v>3</v>
      </c>
      <c r="G168" s="34" t="s">
        <v>167</v>
      </c>
      <c r="H168" s="34">
        <v>20</v>
      </c>
      <c r="L168" s="34" t="s">
        <v>116</v>
      </c>
      <c r="M168" s="31" t="str" cm="1">
        <f t="array" ref="M168:S168">_xlfn.XLOOKUP(L168,A167:A177,B167:H177,2,0)</f>
        <v>C008430</v>
      </c>
      <c r="N168" s="31" t="str">
        <v>T049764</v>
      </c>
      <c r="O168" s="31" t="str">
        <v>I00107</v>
      </c>
      <c r="P168" s="31" t="str">
        <v>S0058</v>
      </c>
      <c r="Q168" s="31">
        <v>6</v>
      </c>
      <c r="R168" s="31" t="str">
        <v>oz</v>
      </c>
      <c r="S168" s="31">
        <v>20</v>
      </c>
    </row>
    <row r="169" spans="1:29" x14ac:dyDescent="0.25">
      <c r="A169" s="34" t="s">
        <v>743</v>
      </c>
      <c r="B169" s="34" t="s">
        <v>1918</v>
      </c>
      <c r="C169" s="34" t="s">
        <v>1919</v>
      </c>
      <c r="D169" s="34" t="s">
        <v>495</v>
      </c>
      <c r="E169" s="34" t="s">
        <v>1920</v>
      </c>
      <c r="F169" s="34">
        <v>11</v>
      </c>
      <c r="G169" s="34" t="s">
        <v>167</v>
      </c>
      <c r="H169" s="34">
        <v>16</v>
      </c>
    </row>
    <row r="170" spans="1:29" ht="18.75" x14ac:dyDescent="0.3">
      <c r="A170" s="34" t="s">
        <v>224</v>
      </c>
      <c r="B170" s="34" t="s">
        <v>1926</v>
      </c>
      <c r="C170" s="34" t="s">
        <v>1927</v>
      </c>
      <c r="D170" s="34" t="s">
        <v>1324</v>
      </c>
      <c r="E170" s="34" t="s">
        <v>1592</v>
      </c>
      <c r="F170" s="34">
        <v>3</v>
      </c>
      <c r="G170" s="34" t="s">
        <v>1326</v>
      </c>
      <c r="H170" s="34">
        <v>10</v>
      </c>
      <c r="J170" s="61" t="s">
        <v>3591</v>
      </c>
      <c r="L170" s="33" t="s">
        <v>0</v>
      </c>
      <c r="M170" s="33" t="s">
        <v>1</v>
      </c>
      <c r="N170" s="33" t="s">
        <v>2</v>
      </c>
      <c r="O170" s="33" t="s">
        <v>3</v>
      </c>
      <c r="P170" s="33" t="s">
        <v>4</v>
      </c>
      <c r="Q170" s="33" t="s">
        <v>5</v>
      </c>
      <c r="R170" s="33" t="s">
        <v>6</v>
      </c>
      <c r="S170" s="33" t="s">
        <v>7</v>
      </c>
    </row>
    <row r="171" spans="1:29" x14ac:dyDescent="0.25">
      <c r="A171" s="34" t="s">
        <v>96</v>
      </c>
      <c r="B171" s="34" t="s">
        <v>1930</v>
      </c>
      <c r="C171" s="34" t="s">
        <v>1931</v>
      </c>
      <c r="D171" s="34" t="s">
        <v>489</v>
      </c>
      <c r="E171" s="34" t="s">
        <v>345</v>
      </c>
      <c r="F171" s="34">
        <v>6</v>
      </c>
      <c r="G171" s="34" t="s">
        <v>13</v>
      </c>
      <c r="H171" s="34">
        <v>21</v>
      </c>
      <c r="L171" s="34" t="s">
        <v>743</v>
      </c>
      <c r="M171" s="31" t="str">
        <f>VLOOKUP(L171,A166:H177,2,FALSE)</f>
        <v>C004593</v>
      </c>
      <c r="N171" s="31" t="str">
        <f t="shared" ref="N171:S171" si="62">VLOOKUP(M171,B166:I177,2,FALSE)</f>
        <v>T014653</v>
      </c>
      <c r="O171" s="31" t="str">
        <f t="shared" si="62"/>
        <v>I00243</v>
      </c>
      <c r="P171" s="31" t="str">
        <f t="shared" si="62"/>
        <v>S00108</v>
      </c>
      <c r="Q171" s="31">
        <f t="shared" si="62"/>
        <v>11</v>
      </c>
      <c r="R171" s="31" t="str">
        <f t="shared" si="62"/>
        <v>oz</v>
      </c>
      <c r="S171" s="31">
        <f t="shared" si="62"/>
        <v>20</v>
      </c>
    </row>
    <row r="172" spans="1:29" x14ac:dyDescent="0.25">
      <c r="A172" s="34" t="s">
        <v>162</v>
      </c>
      <c r="B172" s="34" t="s">
        <v>1932</v>
      </c>
      <c r="C172" s="34" t="s">
        <v>1933</v>
      </c>
      <c r="D172" s="34" t="s">
        <v>1424</v>
      </c>
      <c r="E172" s="34" t="s">
        <v>1237</v>
      </c>
      <c r="F172" s="34">
        <v>3</v>
      </c>
      <c r="G172" s="34" t="s">
        <v>35</v>
      </c>
      <c r="H172" s="34">
        <v>6.75</v>
      </c>
    </row>
    <row r="173" spans="1:29" ht="18.75" x14ac:dyDescent="0.3">
      <c r="A173" s="34" t="s">
        <v>459</v>
      </c>
      <c r="B173" s="34" t="s">
        <v>1934</v>
      </c>
      <c r="C173" s="34" t="s">
        <v>1935</v>
      </c>
      <c r="D173" s="34" t="s">
        <v>620</v>
      </c>
      <c r="E173" s="34" t="s">
        <v>637</v>
      </c>
      <c r="F173" s="34">
        <v>10</v>
      </c>
      <c r="G173" s="34" t="s">
        <v>13</v>
      </c>
      <c r="H173" s="34">
        <v>12</v>
      </c>
      <c r="J173" s="61" t="s">
        <v>3592</v>
      </c>
      <c r="L173" s="33" t="s">
        <v>0</v>
      </c>
      <c r="M173" s="33" t="s">
        <v>1</v>
      </c>
      <c r="N173" s="33" t="s">
        <v>2</v>
      </c>
      <c r="O173" s="33" t="s">
        <v>3</v>
      </c>
      <c r="P173" s="33" t="s">
        <v>4</v>
      </c>
      <c r="Q173" s="33" t="s">
        <v>5</v>
      </c>
      <c r="R173" s="33" t="s">
        <v>6</v>
      </c>
      <c r="S173" s="33" t="s">
        <v>7</v>
      </c>
    </row>
    <row r="174" spans="1:29" x14ac:dyDescent="0.25">
      <c r="A174" s="34" t="s">
        <v>71</v>
      </c>
      <c r="B174" s="34" t="s">
        <v>1936</v>
      </c>
      <c r="C174" s="34" t="s">
        <v>1937</v>
      </c>
      <c r="D174" s="34" t="s">
        <v>1506</v>
      </c>
      <c r="E174" s="34" t="s">
        <v>1814</v>
      </c>
      <c r="F174" s="34">
        <v>10</v>
      </c>
      <c r="G174" s="34" t="s">
        <v>167</v>
      </c>
      <c r="H174" s="34">
        <v>19.5</v>
      </c>
      <c r="L174" s="31" t="str">
        <f>HLOOKUP(L173,A166:H177,8,FALSE)</f>
        <v>P038</v>
      </c>
      <c r="M174" s="31" t="str">
        <f t="shared" ref="M174:S174" si="63">HLOOKUP(M173,B166:I177,8,FALSE)</f>
        <v>C008814</v>
      </c>
      <c r="N174" s="31" t="str">
        <f t="shared" si="63"/>
        <v>T019235</v>
      </c>
      <c r="O174" s="31" t="str">
        <f t="shared" si="63"/>
        <v>I00198</v>
      </c>
      <c r="P174" s="31" t="str">
        <f t="shared" si="63"/>
        <v>S00507</v>
      </c>
      <c r="Q174" s="31">
        <f t="shared" si="63"/>
        <v>10</v>
      </c>
      <c r="R174" s="31" t="str">
        <f t="shared" si="63"/>
        <v>ct</v>
      </c>
      <c r="S174" s="31">
        <f t="shared" si="63"/>
        <v>12</v>
      </c>
    </row>
    <row r="175" spans="1:29" x14ac:dyDescent="0.25">
      <c r="A175" s="34" t="s">
        <v>307</v>
      </c>
      <c r="B175" s="34" t="s">
        <v>1938</v>
      </c>
      <c r="C175" s="34" t="s">
        <v>1939</v>
      </c>
      <c r="D175" s="34" t="s">
        <v>79</v>
      </c>
      <c r="E175" s="34" t="s">
        <v>1940</v>
      </c>
      <c r="F175" s="34">
        <v>8</v>
      </c>
      <c r="G175" s="34" t="s">
        <v>13</v>
      </c>
      <c r="H175" s="34">
        <v>15</v>
      </c>
    </row>
    <row r="176" spans="1:29" x14ac:dyDescent="0.25">
      <c r="A176" s="34" t="s">
        <v>743</v>
      </c>
      <c r="B176" s="34" t="s">
        <v>1941</v>
      </c>
      <c r="C176" s="34" t="s">
        <v>1942</v>
      </c>
      <c r="D176" s="34" t="s">
        <v>1617</v>
      </c>
      <c r="E176" s="34" t="s">
        <v>1799</v>
      </c>
      <c r="F176" s="34">
        <v>4</v>
      </c>
      <c r="G176" s="34" t="s">
        <v>13</v>
      </c>
      <c r="H176" s="34">
        <v>12</v>
      </c>
    </row>
    <row r="177" spans="1:8" x14ac:dyDescent="0.25">
      <c r="A177" s="34" t="s">
        <v>107</v>
      </c>
      <c r="B177" s="34" t="s">
        <v>1943</v>
      </c>
      <c r="C177" s="34" t="s">
        <v>1944</v>
      </c>
      <c r="D177" s="34" t="s">
        <v>592</v>
      </c>
      <c r="E177" s="34" t="s">
        <v>1488</v>
      </c>
      <c r="F177" s="34">
        <v>4</v>
      </c>
      <c r="G177" s="34" t="s">
        <v>13</v>
      </c>
      <c r="H177" s="34">
        <v>19</v>
      </c>
    </row>
  </sheetData>
  <sortState xmlns:xlrd2="http://schemas.microsoft.com/office/spreadsheetml/2017/richdata2" ref="AD4:AD42">
    <sortCondition ref="AD4:AD42"/>
  </sortState>
  <mergeCells count="3">
    <mergeCell ref="AF1:AO1"/>
    <mergeCell ref="N1:O1"/>
    <mergeCell ref="P1:A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7A83-BDB1-481F-AA3B-A623EE74923C}">
  <sheetPr filterMode="1"/>
  <dimension ref="A3:AO278"/>
  <sheetViews>
    <sheetView topLeftCell="A258" workbookViewId="0">
      <selection activeCell="AA10" sqref="AA10"/>
    </sheetView>
  </sheetViews>
  <sheetFormatPr defaultRowHeight="15" x14ac:dyDescent="0.25"/>
  <cols>
    <col min="1" max="1" width="13.140625" bestFit="1" customWidth="1"/>
    <col min="2" max="2" width="14.7109375" bestFit="1" customWidth="1"/>
    <col min="3" max="4" width="9.28515625" bestFit="1" customWidth="1"/>
    <col min="5" max="5" width="9.7109375" bestFit="1" customWidth="1"/>
    <col min="6" max="6" width="12.28515625" customWidth="1"/>
    <col min="7" max="7" width="7.85546875" bestFit="1" customWidth="1"/>
    <col min="8" max="8" width="13.85546875" customWidth="1"/>
    <col min="9" max="9" width="15.5703125" customWidth="1"/>
    <col min="10" max="10" width="10.28515625" customWidth="1"/>
    <col min="11" max="11" width="10.7109375" customWidth="1"/>
    <col min="12" max="12" width="10.85546875" customWidth="1"/>
    <col min="13" max="13" width="9" customWidth="1"/>
    <col min="14" max="14" width="11.42578125" bestFit="1" customWidth="1"/>
    <col min="15" max="15" width="10" bestFit="1" customWidth="1"/>
    <col min="16" max="16" width="10.5703125" bestFit="1" customWidth="1"/>
    <col min="18" max="18" width="6.140625" bestFit="1" customWidth="1"/>
    <col min="19" max="19" width="4.42578125" bestFit="1" customWidth="1"/>
    <col min="20" max="20" width="9.28515625" bestFit="1" customWidth="1"/>
    <col min="21" max="21" width="7.85546875" bestFit="1" customWidth="1"/>
    <col min="22" max="22" width="6.85546875" bestFit="1" customWidth="1"/>
    <col min="23" max="23" width="8.28515625" bestFit="1" customWidth="1"/>
    <col min="24" max="24" width="16.28515625" customWidth="1"/>
    <col min="25" max="25" width="12.85546875" customWidth="1"/>
    <col min="26" max="26" width="5.5703125" bestFit="1" customWidth="1"/>
    <col min="27" max="27" width="11.42578125" customWidth="1"/>
    <col min="28" max="28" width="8.28515625" customWidth="1"/>
    <col min="29" max="29" width="17.28515625" bestFit="1" customWidth="1"/>
    <col min="30" max="30" width="5.140625" bestFit="1" customWidth="1"/>
    <col min="31" max="31" width="13.140625" bestFit="1" customWidth="1"/>
    <col min="32" max="32" width="14.7109375" bestFit="1" customWidth="1"/>
    <col min="33" max="34" width="9.28515625" bestFit="1" customWidth="1"/>
    <col min="35" max="35" width="9.7109375" bestFit="1" customWidth="1"/>
    <col min="36" max="36" width="8.42578125" bestFit="1" customWidth="1"/>
    <col min="37" max="37" width="7.28515625" bestFit="1" customWidth="1"/>
    <col min="38" max="38" width="10" bestFit="1" customWidth="1"/>
    <col min="39" max="39" width="10.85546875" bestFit="1" customWidth="1"/>
    <col min="41" max="41" width="4.5703125" bestFit="1" customWidth="1"/>
  </cols>
  <sheetData>
    <row r="3" spans="1:41" x14ac:dyDescent="0.25">
      <c r="N3" s="46" t="s">
        <v>1792</v>
      </c>
      <c r="O3" s="46"/>
      <c r="P3" s="63" t="s">
        <v>3594</v>
      </c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</row>
    <row r="4" spans="1:41" x14ac:dyDescent="0.25">
      <c r="A4" s="48" t="s">
        <v>0</v>
      </c>
      <c r="B4" s="48" t="s">
        <v>1</v>
      </c>
      <c r="C4" s="48" t="s">
        <v>2</v>
      </c>
      <c r="D4" s="48" t="s">
        <v>3</v>
      </c>
      <c r="E4" s="48" t="s">
        <v>4</v>
      </c>
      <c r="F4" s="48" t="s">
        <v>5</v>
      </c>
      <c r="G4" s="48" t="s">
        <v>6</v>
      </c>
      <c r="H4" s="48" t="s">
        <v>7</v>
      </c>
      <c r="I4" s="48" t="s">
        <v>1650</v>
      </c>
      <c r="J4" s="4" t="s">
        <v>38</v>
      </c>
      <c r="K4" s="4" t="s">
        <v>39</v>
      </c>
      <c r="L4" s="4" t="s">
        <v>36</v>
      </c>
      <c r="M4" s="4" t="s">
        <v>37</v>
      </c>
      <c r="N4" s="4" t="s">
        <v>1652</v>
      </c>
      <c r="O4" s="4" t="s">
        <v>1651</v>
      </c>
      <c r="P4" s="4" t="s">
        <v>41</v>
      </c>
      <c r="Q4" s="4" t="s">
        <v>52</v>
      </c>
      <c r="R4" s="4" t="s">
        <v>40</v>
      </c>
      <c r="S4" s="4" t="s">
        <v>45</v>
      </c>
      <c r="T4" s="4" t="s">
        <v>46</v>
      </c>
      <c r="U4" s="4" t="s">
        <v>47</v>
      </c>
      <c r="V4" s="4" t="s">
        <v>49</v>
      </c>
      <c r="W4" s="4" t="s">
        <v>51</v>
      </c>
      <c r="X4" s="4" t="s">
        <v>50</v>
      </c>
      <c r="Y4" s="4" t="s">
        <v>43</v>
      </c>
      <c r="Z4" s="4" t="s">
        <v>44</v>
      </c>
      <c r="AA4" s="4" t="s">
        <v>42</v>
      </c>
      <c r="AB4" s="4" t="s">
        <v>48</v>
      </c>
      <c r="AC4" s="4" t="s">
        <v>81</v>
      </c>
      <c r="AD4" s="4" t="s">
        <v>53</v>
      </c>
      <c r="AE4" s="49" t="s">
        <v>54</v>
      </c>
      <c r="AF4" s="50"/>
      <c r="AG4" s="50"/>
      <c r="AH4" s="50"/>
      <c r="AI4" s="50"/>
      <c r="AJ4" s="50"/>
      <c r="AK4" s="50"/>
      <c r="AL4" s="50"/>
      <c r="AM4" s="50"/>
      <c r="AN4" s="50"/>
      <c r="AO4" s="50"/>
    </row>
    <row r="5" spans="1:41" ht="30" x14ac:dyDescent="0.25">
      <c r="A5" s="62" t="s">
        <v>66</v>
      </c>
      <c r="B5" s="62" t="s">
        <v>2237</v>
      </c>
      <c r="C5" s="62" t="s">
        <v>2238</v>
      </c>
      <c r="D5" s="62" t="s">
        <v>1167</v>
      </c>
      <c r="E5" s="62" t="s">
        <v>1184</v>
      </c>
      <c r="F5" s="62">
        <v>8</v>
      </c>
      <c r="G5" s="62" t="s">
        <v>35</v>
      </c>
      <c r="H5" s="62">
        <v>6.75</v>
      </c>
      <c r="I5" s="62">
        <f>H5*F5</f>
        <v>54</v>
      </c>
      <c r="J5" s="51">
        <f>_xlfn.RANK.AVG(I5,$I$5:$I$247)</f>
        <v>165</v>
      </c>
      <c r="K5" s="51">
        <f>_xlfn.RANK.EQ(I5,$I$5:$I$247)</f>
        <v>165</v>
      </c>
      <c r="L5" s="51">
        <f>SUMIF(G$5:G$247,G5,I$5:I$247)</f>
        <v>4518</v>
      </c>
      <c r="M5" s="51">
        <f>COUNTIF($G$5:$G$247,G5)</f>
        <v>52</v>
      </c>
      <c r="N5" s="51" t="b">
        <f>AND(J5&gt;100,"Pass", "fail")</f>
        <v>1</v>
      </c>
      <c r="O5" s="51" t="b">
        <f>OR(J5&gt;250,"pass",J5&lt;100,"fail")</f>
        <v>0</v>
      </c>
      <c r="P5" s="51" t="str">
        <f>_xlfn.CONCAT(G5,"-",F5)</f>
        <v>cans-8</v>
      </c>
      <c r="Q5" s="52" t="str">
        <f>_xlfn.CONCAT(H5,B5)</f>
        <v>6.75C005117</v>
      </c>
      <c r="R5" s="51" t="b">
        <f>EXACT(C5,D5)</f>
        <v>0</v>
      </c>
      <c r="S5" s="51"/>
      <c r="T5" s="51" t="str">
        <f>UPPER(G5)</f>
        <v>CANS</v>
      </c>
      <c r="U5" s="51" t="str">
        <f>LOWER(G5)</f>
        <v>cans</v>
      </c>
      <c r="V5" s="51">
        <f>SEARCH("p",A5)</f>
        <v>1</v>
      </c>
      <c r="W5" s="51" t="str">
        <f>_xlfn.TEXTJOIN(" ",TRUE,A5,F5)</f>
        <v>P027 8</v>
      </c>
      <c r="X5" s="51" t="str">
        <f>SUBSTITUTE(T5, "N","O")</f>
        <v>CAOS</v>
      </c>
      <c r="Y5" s="51" t="str">
        <f>LEFT(Q5, 3)</f>
        <v>6.7</v>
      </c>
      <c r="Z5" s="51" t="str">
        <f>RIGHT(O5,"2")</f>
        <v>SE</v>
      </c>
      <c r="AA5" s="51">
        <f>FIND("0",Q5)</f>
        <v>6</v>
      </c>
      <c r="AB5" s="51">
        <f>LEN(Q5)</f>
        <v>11</v>
      </c>
      <c r="AC5" s="51" t="s">
        <v>35</v>
      </c>
      <c r="AD5" s="51" t="s">
        <v>121</v>
      </c>
      <c r="AE5" s="48" t="s">
        <v>0</v>
      </c>
      <c r="AF5" s="48" t="s">
        <v>1</v>
      </c>
      <c r="AG5" s="48" t="s">
        <v>2</v>
      </c>
      <c r="AH5" s="48" t="s">
        <v>3</v>
      </c>
      <c r="AI5" s="48" t="s">
        <v>4</v>
      </c>
      <c r="AJ5" s="48" t="s">
        <v>5</v>
      </c>
      <c r="AK5" s="48" t="s">
        <v>6</v>
      </c>
      <c r="AL5" s="48" t="s">
        <v>7</v>
      </c>
      <c r="AM5" s="48" t="s">
        <v>1650</v>
      </c>
      <c r="AN5" s="53"/>
      <c r="AO5" s="48" t="s">
        <v>6</v>
      </c>
    </row>
    <row r="6" spans="1:41" ht="30" hidden="1" x14ac:dyDescent="0.25">
      <c r="A6" s="12" t="s">
        <v>55</v>
      </c>
      <c r="B6" s="12" t="s">
        <v>2239</v>
      </c>
      <c r="C6" s="12" t="s">
        <v>2240</v>
      </c>
      <c r="D6" s="12" t="s">
        <v>233</v>
      </c>
      <c r="E6" s="12" t="s">
        <v>2241</v>
      </c>
      <c r="F6" s="12">
        <v>1</v>
      </c>
      <c r="G6" s="12" t="s">
        <v>35</v>
      </c>
      <c r="H6" s="12">
        <v>6.75</v>
      </c>
      <c r="I6" s="12">
        <f t="shared" ref="I6:I69" si="0">H6*F6</f>
        <v>6.75</v>
      </c>
      <c r="J6" s="12">
        <f>_xlfn.RANK.AVG(I6,$I$5:$I$247)</f>
        <v>242</v>
      </c>
      <c r="K6" s="12">
        <f t="shared" ref="K6:K69" si="1">_xlfn.RANK.EQ(I6,$I$5:$I$247)</f>
        <v>241</v>
      </c>
      <c r="L6" s="12">
        <f t="shared" ref="L6:L69" si="2">SUMIF(G$5:G$247,G6,I$5:I$247)</f>
        <v>4518</v>
      </c>
      <c r="M6" s="12">
        <f t="shared" ref="M6:M69" si="3">COUNTIF($G$5:$G$247,G6)</f>
        <v>52</v>
      </c>
      <c r="N6" s="12"/>
      <c r="O6" s="12"/>
      <c r="P6" s="12" t="str">
        <f t="shared" ref="P6:P69" si="4">_xlfn.CONCAT(G6,"-",F6)</f>
        <v>cans-1</v>
      </c>
      <c r="Q6" s="17" t="str">
        <f t="shared" ref="Q6:Q69" si="5">_xlfn.CONCAT(H6,B6)</f>
        <v>6.75C001056</v>
      </c>
      <c r="R6" s="12" t="b">
        <f t="shared" ref="R6:R69" si="6">EXACT(C6,D6)</f>
        <v>0</v>
      </c>
      <c r="S6" s="12"/>
      <c r="T6" s="12" t="str">
        <f t="shared" ref="T6:T69" si="7">UPPER(G6)</f>
        <v>CANS</v>
      </c>
      <c r="U6" s="12" t="str">
        <f t="shared" ref="U6:U69" si="8">LOWER(G6)</f>
        <v>cans</v>
      </c>
      <c r="V6" s="12">
        <f t="shared" ref="V6:V69" si="9">SEARCH("p",A6)</f>
        <v>1</v>
      </c>
      <c r="W6" s="12"/>
      <c r="X6" s="12"/>
      <c r="Y6" s="12"/>
      <c r="Z6" s="12"/>
      <c r="AA6" s="12"/>
      <c r="AB6" s="12"/>
      <c r="AC6" s="12" t="s">
        <v>106</v>
      </c>
      <c r="AD6" s="12" t="s">
        <v>121</v>
      </c>
      <c r="AE6" s="12" t="s">
        <v>66</v>
      </c>
      <c r="AF6" s="12" t="s">
        <v>2237</v>
      </c>
      <c r="AG6" s="12" t="s">
        <v>2238</v>
      </c>
      <c r="AH6" s="12" t="s">
        <v>1167</v>
      </c>
      <c r="AI6" s="12" t="s">
        <v>1184</v>
      </c>
      <c r="AJ6" s="12">
        <v>8</v>
      </c>
      <c r="AK6" s="12" t="s">
        <v>35</v>
      </c>
      <c r="AL6" s="12">
        <v>6.75</v>
      </c>
      <c r="AM6" s="12">
        <f>AL6*AJ6</f>
        <v>54</v>
      </c>
      <c r="AO6" s="12" t="s">
        <v>13</v>
      </c>
    </row>
    <row r="7" spans="1:41" ht="30" hidden="1" x14ac:dyDescent="0.25">
      <c r="A7" s="12" t="s">
        <v>30</v>
      </c>
      <c r="B7" s="12" t="s">
        <v>2242</v>
      </c>
      <c r="C7" s="12" t="s">
        <v>2243</v>
      </c>
      <c r="D7" s="12" t="s">
        <v>128</v>
      </c>
      <c r="E7" s="12" t="s">
        <v>1197</v>
      </c>
      <c r="F7" s="12">
        <v>2</v>
      </c>
      <c r="G7" s="12" t="s">
        <v>106</v>
      </c>
      <c r="H7" s="12">
        <v>15</v>
      </c>
      <c r="I7" s="12">
        <f t="shared" si="0"/>
        <v>30</v>
      </c>
      <c r="J7" s="12">
        <f>_xlfn.RANK.AVG(I7,$I$5:$I$247)</f>
        <v>198</v>
      </c>
      <c r="K7" s="12">
        <f t="shared" si="1"/>
        <v>196</v>
      </c>
      <c r="L7" s="12">
        <f t="shared" si="2"/>
        <v>1357</v>
      </c>
      <c r="M7" s="12">
        <f t="shared" si="3"/>
        <v>14</v>
      </c>
      <c r="N7" s="12"/>
      <c r="O7" s="12"/>
      <c r="P7" s="12" t="str">
        <f t="shared" si="4"/>
        <v>bags-2</v>
      </c>
      <c r="Q7" s="17" t="str">
        <f t="shared" si="5"/>
        <v>15C007302</v>
      </c>
      <c r="R7" s="12" t="b">
        <f t="shared" si="6"/>
        <v>0</v>
      </c>
      <c r="S7" s="12"/>
      <c r="T7" s="12" t="str">
        <f t="shared" si="7"/>
        <v>BAGS</v>
      </c>
      <c r="U7" s="12" t="str">
        <f t="shared" si="8"/>
        <v>bags</v>
      </c>
      <c r="V7" s="12">
        <f t="shared" si="9"/>
        <v>1</v>
      </c>
      <c r="W7" s="12"/>
      <c r="X7" s="12"/>
      <c r="Y7" s="12"/>
      <c r="Z7" s="12"/>
      <c r="AA7" s="12"/>
      <c r="AB7" s="12"/>
      <c r="AC7" s="12" t="s">
        <v>13</v>
      </c>
      <c r="AD7" s="12" t="s">
        <v>121</v>
      </c>
      <c r="AE7" s="12" t="s">
        <v>55</v>
      </c>
      <c r="AF7" s="12" t="s">
        <v>2239</v>
      </c>
      <c r="AG7" s="12" t="s">
        <v>2240</v>
      </c>
      <c r="AH7" s="12" t="s">
        <v>233</v>
      </c>
      <c r="AI7" s="12" t="s">
        <v>2241</v>
      </c>
      <c r="AJ7" s="12">
        <v>1</v>
      </c>
      <c r="AK7" s="12" t="s">
        <v>35</v>
      </c>
      <c r="AL7" s="12">
        <v>6.75</v>
      </c>
      <c r="AM7" s="12">
        <f t="shared" ref="AM7:AM20" si="10">AL7*AJ7</f>
        <v>6.75</v>
      </c>
    </row>
    <row r="8" spans="1:41" ht="30" hidden="1" x14ac:dyDescent="0.25">
      <c r="A8" s="12" t="s">
        <v>359</v>
      </c>
      <c r="B8" s="12" t="s">
        <v>2244</v>
      </c>
      <c r="C8" s="12" t="s">
        <v>2245</v>
      </c>
      <c r="D8" s="12" t="s">
        <v>119</v>
      </c>
      <c r="E8" s="12" t="s">
        <v>2083</v>
      </c>
      <c r="F8" s="12">
        <v>7</v>
      </c>
      <c r="G8" s="12" t="s">
        <v>106</v>
      </c>
      <c r="H8" s="12">
        <v>17</v>
      </c>
      <c r="I8" s="12">
        <f t="shared" si="0"/>
        <v>119</v>
      </c>
      <c r="J8" s="12">
        <f>_xlfn.RANK.AVG(I8,$I$5:$I$247)</f>
        <v>88.5</v>
      </c>
      <c r="K8" s="12">
        <f t="shared" si="1"/>
        <v>88</v>
      </c>
      <c r="L8" s="12">
        <f t="shared" si="2"/>
        <v>1357</v>
      </c>
      <c r="M8" s="12">
        <f t="shared" si="3"/>
        <v>14</v>
      </c>
      <c r="N8" s="12"/>
      <c r="O8" s="12"/>
      <c r="P8" s="12" t="str">
        <f t="shared" si="4"/>
        <v>bags-7</v>
      </c>
      <c r="Q8" s="17" t="str">
        <f t="shared" si="5"/>
        <v>17C002747</v>
      </c>
      <c r="R8" s="12" t="b">
        <f t="shared" si="6"/>
        <v>0</v>
      </c>
      <c r="S8" s="12"/>
      <c r="T8" s="12" t="str">
        <f t="shared" si="7"/>
        <v>BAGS</v>
      </c>
      <c r="U8" s="12" t="str">
        <f t="shared" si="8"/>
        <v>bags</v>
      </c>
      <c r="V8" s="12">
        <f t="shared" si="9"/>
        <v>1</v>
      </c>
      <c r="W8" s="12"/>
      <c r="X8" s="12"/>
      <c r="Y8" s="12"/>
      <c r="Z8" s="12"/>
      <c r="AA8" s="12"/>
      <c r="AB8" s="12"/>
      <c r="AC8" s="12" t="s">
        <v>60</v>
      </c>
      <c r="AD8" s="12" t="s">
        <v>121</v>
      </c>
      <c r="AE8" s="12" t="s">
        <v>30</v>
      </c>
      <c r="AF8" s="12" t="s">
        <v>2242</v>
      </c>
      <c r="AG8" s="12" t="s">
        <v>2243</v>
      </c>
      <c r="AH8" s="12" t="s">
        <v>128</v>
      </c>
      <c r="AI8" s="12" t="s">
        <v>1197</v>
      </c>
      <c r="AJ8" s="12">
        <v>2</v>
      </c>
      <c r="AK8" s="12" t="s">
        <v>106</v>
      </c>
      <c r="AL8" s="12">
        <v>15</v>
      </c>
      <c r="AM8" s="12">
        <f t="shared" si="10"/>
        <v>30</v>
      </c>
    </row>
    <row r="9" spans="1:41" ht="30" hidden="1" x14ac:dyDescent="0.25">
      <c r="A9" s="12" t="s">
        <v>200</v>
      </c>
      <c r="B9" s="12" t="s">
        <v>2246</v>
      </c>
      <c r="C9" s="12" t="s">
        <v>2247</v>
      </c>
      <c r="D9" s="12" t="s">
        <v>2248</v>
      </c>
      <c r="E9" s="12" t="s">
        <v>2249</v>
      </c>
      <c r="F9" s="12">
        <v>2</v>
      </c>
      <c r="G9" s="12" t="s">
        <v>13</v>
      </c>
      <c r="H9" s="12">
        <v>15</v>
      </c>
      <c r="I9" s="12">
        <f t="shared" si="0"/>
        <v>30</v>
      </c>
      <c r="J9" s="12">
        <f t="shared" ref="J9:J72" si="11">_xlfn.RANK.AVG(I9,$I$5:$I$247)</f>
        <v>198</v>
      </c>
      <c r="K9" s="12">
        <f t="shared" si="1"/>
        <v>196</v>
      </c>
      <c r="L9" s="12">
        <f t="shared" si="2"/>
        <v>12307</v>
      </c>
      <c r="M9" s="12">
        <f t="shared" si="3"/>
        <v>101</v>
      </c>
      <c r="N9" s="12"/>
      <c r="O9" s="12"/>
      <c r="P9" s="12" t="str">
        <f t="shared" si="4"/>
        <v>ct-2</v>
      </c>
      <c r="Q9" s="17" t="str">
        <f t="shared" si="5"/>
        <v>15C004555</v>
      </c>
      <c r="R9" s="12" t="b">
        <f t="shared" si="6"/>
        <v>0</v>
      </c>
      <c r="S9" s="12"/>
      <c r="T9" s="12" t="str">
        <f t="shared" si="7"/>
        <v>CT</v>
      </c>
      <c r="U9" s="12" t="str">
        <f t="shared" si="8"/>
        <v>ct</v>
      </c>
      <c r="V9" s="12">
        <f t="shared" si="9"/>
        <v>1</v>
      </c>
      <c r="W9" s="12"/>
      <c r="X9" s="12"/>
      <c r="Y9" s="12"/>
      <c r="Z9" s="12"/>
      <c r="AA9" s="12"/>
      <c r="AB9" s="12"/>
      <c r="AC9" s="12" t="s">
        <v>904</v>
      </c>
      <c r="AD9" s="12" t="s">
        <v>218</v>
      </c>
      <c r="AE9" s="12" t="s">
        <v>359</v>
      </c>
      <c r="AF9" s="12" t="s">
        <v>2244</v>
      </c>
      <c r="AG9" s="12" t="s">
        <v>2245</v>
      </c>
      <c r="AH9" s="12" t="s">
        <v>119</v>
      </c>
      <c r="AI9" s="12" t="s">
        <v>2083</v>
      </c>
      <c r="AJ9" s="12">
        <v>7</v>
      </c>
      <c r="AK9" s="12" t="s">
        <v>106</v>
      </c>
      <c r="AL9" s="12">
        <v>17</v>
      </c>
      <c r="AM9" s="12">
        <f t="shared" si="10"/>
        <v>119</v>
      </c>
    </row>
    <row r="10" spans="1:41" x14ac:dyDescent="0.25">
      <c r="A10" s="62" t="s">
        <v>25</v>
      </c>
      <c r="B10" s="62" t="s">
        <v>2250</v>
      </c>
      <c r="C10" s="62" t="s">
        <v>2251</v>
      </c>
      <c r="D10" s="62" t="s">
        <v>194</v>
      </c>
      <c r="E10" s="62" t="s">
        <v>1155</v>
      </c>
      <c r="F10" s="62">
        <v>9</v>
      </c>
      <c r="G10" s="62" t="s">
        <v>13</v>
      </c>
      <c r="H10" s="62">
        <v>9</v>
      </c>
      <c r="I10" s="62">
        <f t="shared" si="0"/>
        <v>81</v>
      </c>
      <c r="J10" s="51">
        <f t="shared" si="11"/>
        <v>122.5</v>
      </c>
      <c r="K10" s="51">
        <f t="shared" si="1"/>
        <v>122</v>
      </c>
      <c r="L10" s="51">
        <f t="shared" si="2"/>
        <v>12307</v>
      </c>
      <c r="M10" s="51">
        <f t="shared" si="3"/>
        <v>101</v>
      </c>
      <c r="N10" s="51" t="b">
        <f t="shared" ref="N10:N13" si="12">AND(J10&gt;100,"Pass", "fail")</f>
        <v>1</v>
      </c>
      <c r="O10" s="51" t="b">
        <f t="shared" ref="O10:O13" si="13">OR(J10&gt;250,"pass",J10&lt;100,"fail")</f>
        <v>0</v>
      </c>
      <c r="P10" s="51" t="str">
        <f t="shared" si="4"/>
        <v>ct-9</v>
      </c>
      <c r="Q10" s="52" t="str">
        <f t="shared" si="5"/>
        <v>9C004658</v>
      </c>
      <c r="R10" s="51" t="b">
        <f t="shared" si="6"/>
        <v>0</v>
      </c>
      <c r="S10" s="51"/>
      <c r="T10" s="51" t="str">
        <f t="shared" si="7"/>
        <v>CT</v>
      </c>
      <c r="U10" s="51" t="str">
        <f t="shared" si="8"/>
        <v>ct</v>
      </c>
      <c r="V10" s="51">
        <f t="shared" si="9"/>
        <v>1</v>
      </c>
      <c r="W10" s="51" t="str">
        <f t="shared" ref="W10:W13" si="14">_xlfn.TEXTJOIN(" ",TRUE,A10,F10)</f>
        <v>P032 9</v>
      </c>
      <c r="X10" s="51" t="str">
        <f t="shared" ref="X10:X13" si="15">SUBSTITUTE(T10, "N","O")</f>
        <v>CT</v>
      </c>
      <c r="Y10" s="51" t="str">
        <f t="shared" ref="Y10:Y13" si="16">LEFT(Q10, 3)</f>
        <v>9C0</v>
      </c>
      <c r="Z10" s="51" t="str">
        <f t="shared" ref="Z10:Z13" si="17">RIGHT(O10,"2")</f>
        <v>SE</v>
      </c>
      <c r="AA10" s="51">
        <f t="shared" ref="AA10:AA13" si="18">FIND("0",Q10)</f>
        <v>3</v>
      </c>
      <c r="AB10" s="51">
        <f t="shared" ref="AB10:AB13" si="19">LEN(Q10)</f>
        <v>8</v>
      </c>
      <c r="AC10" s="51" t="s">
        <v>167</v>
      </c>
      <c r="AD10" s="51" t="s">
        <v>218</v>
      </c>
      <c r="AE10" s="51" t="s">
        <v>200</v>
      </c>
      <c r="AF10" s="51" t="s">
        <v>2246</v>
      </c>
      <c r="AG10" s="51" t="s">
        <v>2247</v>
      </c>
      <c r="AH10" s="51" t="s">
        <v>2248</v>
      </c>
      <c r="AI10" s="51" t="s">
        <v>2249</v>
      </c>
      <c r="AJ10" s="51">
        <v>2</v>
      </c>
      <c r="AK10" s="51" t="s">
        <v>13</v>
      </c>
      <c r="AL10" s="51">
        <v>15</v>
      </c>
      <c r="AM10" s="51">
        <f t="shared" si="10"/>
        <v>30</v>
      </c>
      <c r="AN10" s="53"/>
      <c r="AO10" s="51" t="s">
        <v>13</v>
      </c>
    </row>
    <row r="11" spans="1:41" ht="30" x14ac:dyDescent="0.25">
      <c r="A11" s="62" t="s">
        <v>125</v>
      </c>
      <c r="B11" s="62" t="s">
        <v>2252</v>
      </c>
      <c r="C11" s="62" t="s">
        <v>2253</v>
      </c>
      <c r="D11" s="62" t="s">
        <v>216</v>
      </c>
      <c r="E11" s="62" t="s">
        <v>1840</v>
      </c>
      <c r="F11" s="62">
        <v>9</v>
      </c>
      <c r="G11" s="62" t="s">
        <v>13</v>
      </c>
      <c r="H11" s="62">
        <v>17</v>
      </c>
      <c r="I11" s="62">
        <f t="shared" si="0"/>
        <v>153</v>
      </c>
      <c r="J11" s="51">
        <f t="shared" si="11"/>
        <v>58</v>
      </c>
      <c r="K11" s="51">
        <f t="shared" si="1"/>
        <v>57</v>
      </c>
      <c r="L11" s="51">
        <f t="shared" si="2"/>
        <v>12307</v>
      </c>
      <c r="M11" s="51">
        <f t="shared" si="3"/>
        <v>101</v>
      </c>
      <c r="N11" s="51" t="b">
        <f t="shared" si="12"/>
        <v>0</v>
      </c>
      <c r="O11" s="51" t="b">
        <f t="shared" si="13"/>
        <v>1</v>
      </c>
      <c r="P11" s="51" t="str">
        <f t="shared" si="4"/>
        <v>ct-9</v>
      </c>
      <c r="Q11" s="52" t="str">
        <f t="shared" si="5"/>
        <v>17C003220</v>
      </c>
      <c r="R11" s="51" t="b">
        <f t="shared" si="6"/>
        <v>0</v>
      </c>
      <c r="S11" s="51"/>
      <c r="T11" s="51" t="str">
        <f t="shared" si="7"/>
        <v>CT</v>
      </c>
      <c r="U11" s="51" t="str">
        <f t="shared" si="8"/>
        <v>ct</v>
      </c>
      <c r="V11" s="51">
        <f t="shared" si="9"/>
        <v>1</v>
      </c>
      <c r="W11" s="51" t="str">
        <f t="shared" si="14"/>
        <v>P028 9</v>
      </c>
      <c r="X11" s="51" t="str">
        <f t="shared" si="15"/>
        <v>CT</v>
      </c>
      <c r="Y11" s="51" t="str">
        <f t="shared" si="16"/>
        <v>17C</v>
      </c>
      <c r="Z11" s="51" t="str">
        <f t="shared" si="17"/>
        <v>UE</v>
      </c>
      <c r="AA11" s="51">
        <f t="shared" si="18"/>
        <v>4</v>
      </c>
      <c r="AB11" s="51">
        <f t="shared" si="19"/>
        <v>9</v>
      </c>
      <c r="AC11" s="51" t="s">
        <v>402</v>
      </c>
      <c r="AD11" s="51" t="s">
        <v>218</v>
      </c>
      <c r="AE11" s="51" t="s">
        <v>25</v>
      </c>
      <c r="AF11" s="51" t="s">
        <v>2250</v>
      </c>
      <c r="AG11" s="51" t="s">
        <v>2251</v>
      </c>
      <c r="AH11" s="51" t="s">
        <v>194</v>
      </c>
      <c r="AI11" s="51" t="s">
        <v>1155</v>
      </c>
      <c r="AJ11" s="51">
        <v>9</v>
      </c>
      <c r="AK11" s="51" t="s">
        <v>13</v>
      </c>
      <c r="AL11" s="51">
        <v>9</v>
      </c>
      <c r="AM11" s="51">
        <f t="shared" si="10"/>
        <v>81</v>
      </c>
      <c r="AN11" s="53"/>
      <c r="AO11" s="53"/>
    </row>
    <row r="12" spans="1:41" ht="30" x14ac:dyDescent="0.25">
      <c r="A12" s="62" t="s">
        <v>8</v>
      </c>
      <c r="B12" s="62" t="s">
        <v>2254</v>
      </c>
      <c r="C12" s="62" t="s">
        <v>2255</v>
      </c>
      <c r="D12" s="62" t="s">
        <v>967</v>
      </c>
      <c r="E12" s="62" t="s">
        <v>2256</v>
      </c>
      <c r="F12" s="62">
        <v>7</v>
      </c>
      <c r="G12" s="62" t="s">
        <v>13</v>
      </c>
      <c r="H12" s="62">
        <v>53</v>
      </c>
      <c r="I12" s="62">
        <f t="shared" si="0"/>
        <v>371</v>
      </c>
      <c r="J12" s="51">
        <f t="shared" si="11"/>
        <v>6</v>
      </c>
      <c r="K12" s="51">
        <f t="shared" si="1"/>
        <v>6</v>
      </c>
      <c r="L12" s="51">
        <f t="shared" si="2"/>
        <v>12307</v>
      </c>
      <c r="M12" s="51">
        <f t="shared" si="3"/>
        <v>101</v>
      </c>
      <c r="N12" s="51" t="b">
        <f t="shared" si="12"/>
        <v>0</v>
      </c>
      <c r="O12" s="51" t="b">
        <f t="shared" si="13"/>
        <v>1</v>
      </c>
      <c r="P12" s="51" t="str">
        <f t="shared" si="4"/>
        <v>ct-7</v>
      </c>
      <c r="Q12" s="52" t="str">
        <f t="shared" si="5"/>
        <v>53C001623</v>
      </c>
      <c r="R12" s="51" t="b">
        <f t="shared" si="6"/>
        <v>0</v>
      </c>
      <c r="S12" s="51"/>
      <c r="T12" s="51" t="str">
        <f t="shared" si="7"/>
        <v>CT</v>
      </c>
      <c r="U12" s="51" t="str">
        <f t="shared" si="8"/>
        <v>ct</v>
      </c>
      <c r="V12" s="51">
        <f t="shared" si="9"/>
        <v>1</v>
      </c>
      <c r="W12" s="51" t="str">
        <f t="shared" si="14"/>
        <v>P026 7</v>
      </c>
      <c r="X12" s="51" t="str">
        <f t="shared" si="15"/>
        <v>CT</v>
      </c>
      <c r="Y12" s="51" t="str">
        <f t="shared" si="16"/>
        <v>53C</v>
      </c>
      <c r="Z12" s="51" t="str">
        <f t="shared" si="17"/>
        <v>UE</v>
      </c>
      <c r="AA12" s="51">
        <f t="shared" si="18"/>
        <v>4</v>
      </c>
      <c r="AB12" s="51">
        <f t="shared" si="19"/>
        <v>9</v>
      </c>
      <c r="AC12" s="51" t="s">
        <v>407</v>
      </c>
      <c r="AD12" s="51" t="s">
        <v>218</v>
      </c>
      <c r="AE12" s="51" t="s">
        <v>125</v>
      </c>
      <c r="AF12" s="51" t="s">
        <v>2252</v>
      </c>
      <c r="AG12" s="51" t="s">
        <v>2253</v>
      </c>
      <c r="AH12" s="51" t="s">
        <v>216</v>
      </c>
      <c r="AI12" s="51" t="s">
        <v>1840</v>
      </c>
      <c r="AJ12" s="51">
        <v>9</v>
      </c>
      <c r="AK12" s="51" t="s">
        <v>13</v>
      </c>
      <c r="AL12" s="51">
        <v>17</v>
      </c>
      <c r="AM12" s="51">
        <f t="shared" si="10"/>
        <v>153</v>
      </c>
      <c r="AN12" s="53"/>
      <c r="AO12" s="53"/>
    </row>
    <row r="13" spans="1:41" ht="30" x14ac:dyDescent="0.25">
      <c r="A13" s="62" t="s">
        <v>162</v>
      </c>
      <c r="B13" s="62" t="s">
        <v>2257</v>
      </c>
      <c r="C13" s="62" t="s">
        <v>2258</v>
      </c>
      <c r="D13" s="62" t="s">
        <v>1687</v>
      </c>
      <c r="E13" s="62" t="s">
        <v>695</v>
      </c>
      <c r="F13" s="62">
        <v>8</v>
      </c>
      <c r="G13" s="62" t="s">
        <v>35</v>
      </c>
      <c r="H13" s="62">
        <v>16.25</v>
      </c>
      <c r="I13" s="62">
        <f t="shared" si="0"/>
        <v>130</v>
      </c>
      <c r="J13" s="51">
        <f t="shared" si="11"/>
        <v>76.5</v>
      </c>
      <c r="K13" s="51">
        <f t="shared" si="1"/>
        <v>76</v>
      </c>
      <c r="L13" s="51">
        <f t="shared" si="2"/>
        <v>4518</v>
      </c>
      <c r="M13" s="51">
        <f t="shared" si="3"/>
        <v>52</v>
      </c>
      <c r="N13" s="51" t="b">
        <f t="shared" si="12"/>
        <v>0</v>
      </c>
      <c r="O13" s="51" t="b">
        <f t="shared" si="13"/>
        <v>1</v>
      </c>
      <c r="P13" s="51" t="str">
        <f t="shared" si="4"/>
        <v>cans-8</v>
      </c>
      <c r="Q13" s="52" t="str">
        <f t="shared" si="5"/>
        <v>16.25C005118</v>
      </c>
      <c r="R13" s="51" t="b">
        <f t="shared" si="6"/>
        <v>0</v>
      </c>
      <c r="S13" s="51"/>
      <c r="T13" s="51" t="str">
        <f t="shared" si="7"/>
        <v>CANS</v>
      </c>
      <c r="U13" s="51" t="str">
        <f t="shared" si="8"/>
        <v>cans</v>
      </c>
      <c r="V13" s="51">
        <f t="shared" si="9"/>
        <v>1</v>
      </c>
      <c r="W13" s="51" t="str">
        <f t="shared" si="14"/>
        <v>P012 8</v>
      </c>
      <c r="X13" s="51" t="str">
        <f t="shared" si="15"/>
        <v>CAOS</v>
      </c>
      <c r="Y13" s="51" t="str">
        <f t="shared" si="16"/>
        <v>16.</v>
      </c>
      <c r="Z13" s="51" t="str">
        <f t="shared" si="17"/>
        <v>UE</v>
      </c>
      <c r="AA13" s="51">
        <f t="shared" si="18"/>
        <v>7</v>
      </c>
      <c r="AB13" s="51">
        <f t="shared" si="19"/>
        <v>12</v>
      </c>
      <c r="AC13" s="51" t="s">
        <v>269</v>
      </c>
      <c r="AD13" s="51" t="s">
        <v>91</v>
      </c>
      <c r="AE13" s="51" t="s">
        <v>8</v>
      </c>
      <c r="AF13" s="51" t="s">
        <v>2254</v>
      </c>
      <c r="AG13" s="51" t="s">
        <v>2255</v>
      </c>
      <c r="AH13" s="51" t="s">
        <v>967</v>
      </c>
      <c r="AI13" s="51" t="s">
        <v>2256</v>
      </c>
      <c r="AJ13" s="51">
        <v>7</v>
      </c>
      <c r="AK13" s="51" t="s">
        <v>13</v>
      </c>
      <c r="AL13" s="51">
        <v>53</v>
      </c>
      <c r="AM13" s="51">
        <f t="shared" si="10"/>
        <v>371</v>
      </c>
      <c r="AN13" s="53"/>
      <c r="AO13" s="53"/>
    </row>
    <row r="14" spans="1:41" ht="30" hidden="1" x14ac:dyDescent="0.25">
      <c r="A14" s="12" t="s">
        <v>76</v>
      </c>
      <c r="B14" s="12" t="s">
        <v>2259</v>
      </c>
      <c r="C14" s="12" t="s">
        <v>2260</v>
      </c>
      <c r="D14" s="12" t="s">
        <v>655</v>
      </c>
      <c r="E14" s="12" t="s">
        <v>557</v>
      </c>
      <c r="F14" s="12">
        <v>1</v>
      </c>
      <c r="G14" s="12" t="s">
        <v>60</v>
      </c>
      <c r="H14" s="12">
        <v>24</v>
      </c>
      <c r="I14" s="12">
        <f t="shared" si="0"/>
        <v>24</v>
      </c>
      <c r="J14" s="12">
        <f t="shared" si="11"/>
        <v>208.5</v>
      </c>
      <c r="K14" s="12">
        <f t="shared" si="1"/>
        <v>207</v>
      </c>
      <c r="L14" s="12">
        <f t="shared" si="2"/>
        <v>3427</v>
      </c>
      <c r="M14" s="12">
        <f t="shared" si="3"/>
        <v>31</v>
      </c>
      <c r="N14" s="12"/>
      <c r="O14" s="12"/>
      <c r="P14" s="12" t="str">
        <f t="shared" si="4"/>
        <v>bottles-1</v>
      </c>
      <c r="Q14" s="17" t="str">
        <f t="shared" si="5"/>
        <v>24C008682</v>
      </c>
      <c r="R14" s="12" t="b">
        <f t="shared" si="6"/>
        <v>0</v>
      </c>
      <c r="S14" s="12"/>
      <c r="T14" s="12" t="str">
        <f t="shared" si="7"/>
        <v>BOTTLES</v>
      </c>
      <c r="U14" s="12" t="str">
        <f t="shared" si="8"/>
        <v>bottles</v>
      </c>
      <c r="V14" s="12">
        <f t="shared" si="9"/>
        <v>1</v>
      </c>
      <c r="W14" s="12"/>
      <c r="X14" s="12"/>
      <c r="Y14" s="12"/>
      <c r="Z14" s="12"/>
      <c r="AA14" s="12"/>
      <c r="AB14" s="12"/>
      <c r="AC14" s="12" t="s">
        <v>245</v>
      </c>
      <c r="AD14" s="12" t="s">
        <v>359</v>
      </c>
      <c r="AE14" s="12" t="s">
        <v>162</v>
      </c>
      <c r="AF14" s="12" t="s">
        <v>2257</v>
      </c>
      <c r="AG14" s="12" t="s">
        <v>2258</v>
      </c>
      <c r="AH14" s="12" t="s">
        <v>1687</v>
      </c>
      <c r="AI14" s="12" t="s">
        <v>695</v>
      </c>
      <c r="AJ14" s="12">
        <v>8</v>
      </c>
      <c r="AK14" s="12" t="s">
        <v>35</v>
      </c>
      <c r="AL14" s="12">
        <v>16.25</v>
      </c>
      <c r="AM14" s="12">
        <f t="shared" si="10"/>
        <v>130</v>
      </c>
    </row>
    <row r="15" spans="1:41" ht="30" hidden="1" x14ac:dyDescent="0.25">
      <c r="A15" s="12" t="s">
        <v>107</v>
      </c>
      <c r="B15" s="12" t="s">
        <v>2261</v>
      </c>
      <c r="C15" s="12" t="s">
        <v>2262</v>
      </c>
      <c r="D15" s="12" t="s">
        <v>588</v>
      </c>
      <c r="E15" s="12" t="s">
        <v>1838</v>
      </c>
      <c r="F15" s="12">
        <v>10</v>
      </c>
      <c r="G15" s="12" t="s">
        <v>106</v>
      </c>
      <c r="H15" s="12">
        <v>16</v>
      </c>
      <c r="I15" s="12">
        <f t="shared" si="0"/>
        <v>160</v>
      </c>
      <c r="J15" s="12">
        <f t="shared" si="11"/>
        <v>50.5</v>
      </c>
      <c r="K15" s="12">
        <f t="shared" si="1"/>
        <v>48</v>
      </c>
      <c r="L15" s="12">
        <f t="shared" si="2"/>
        <v>1357</v>
      </c>
      <c r="M15" s="12">
        <f t="shared" si="3"/>
        <v>14</v>
      </c>
      <c r="N15" s="12"/>
      <c r="O15" s="12"/>
      <c r="P15" s="12" t="str">
        <f t="shared" si="4"/>
        <v>bags-10</v>
      </c>
      <c r="Q15" s="17" t="str">
        <f t="shared" si="5"/>
        <v>16C006548</v>
      </c>
      <c r="R15" s="12" t="b">
        <f t="shared" si="6"/>
        <v>0</v>
      </c>
      <c r="S15" s="12"/>
      <c r="T15" s="12" t="str">
        <f t="shared" si="7"/>
        <v>BAGS</v>
      </c>
      <c r="U15" s="12" t="str">
        <f t="shared" si="8"/>
        <v>bags</v>
      </c>
      <c r="V15" s="12">
        <f t="shared" si="9"/>
        <v>1</v>
      </c>
      <c r="W15" s="12"/>
      <c r="X15" s="12"/>
      <c r="Y15" s="12"/>
      <c r="Z15" s="12"/>
      <c r="AA15" s="12"/>
      <c r="AB15" s="12"/>
      <c r="AC15" s="12" t="s">
        <v>1786</v>
      </c>
      <c r="AD15" s="12" t="s">
        <v>359</v>
      </c>
      <c r="AE15" s="12" t="s">
        <v>76</v>
      </c>
      <c r="AF15" s="12" t="s">
        <v>2259</v>
      </c>
      <c r="AG15" s="12" t="s">
        <v>2260</v>
      </c>
      <c r="AH15" s="12" t="s">
        <v>655</v>
      </c>
      <c r="AI15" s="12" t="s">
        <v>557</v>
      </c>
      <c r="AJ15" s="12">
        <v>1</v>
      </c>
      <c r="AK15" s="12" t="s">
        <v>60</v>
      </c>
      <c r="AL15" s="12">
        <v>24</v>
      </c>
      <c r="AM15" s="12">
        <f t="shared" si="10"/>
        <v>24</v>
      </c>
    </row>
    <row r="16" spans="1:41" ht="30" hidden="1" x14ac:dyDescent="0.25">
      <c r="A16" s="12" t="s">
        <v>20</v>
      </c>
      <c r="B16" s="12" t="s">
        <v>2263</v>
      </c>
      <c r="C16" s="12" t="s">
        <v>2264</v>
      </c>
      <c r="D16" s="12" t="s">
        <v>902</v>
      </c>
      <c r="E16" s="12" t="s">
        <v>1827</v>
      </c>
      <c r="F16" s="12">
        <v>5</v>
      </c>
      <c r="G16" s="12" t="s">
        <v>904</v>
      </c>
      <c r="H16" s="12">
        <v>23</v>
      </c>
      <c r="I16" s="12">
        <f t="shared" si="0"/>
        <v>115</v>
      </c>
      <c r="J16" s="12">
        <f t="shared" si="11"/>
        <v>92.5</v>
      </c>
      <c r="K16" s="12">
        <f t="shared" si="1"/>
        <v>91</v>
      </c>
      <c r="L16" s="12">
        <f t="shared" si="2"/>
        <v>345</v>
      </c>
      <c r="M16" s="12">
        <f t="shared" si="3"/>
        <v>3</v>
      </c>
      <c r="N16" s="12"/>
      <c r="O16" s="12"/>
      <c r="P16" s="12" t="str">
        <f t="shared" si="4"/>
        <v>bars-5</v>
      </c>
      <c r="Q16" s="17" t="str">
        <f t="shared" si="5"/>
        <v>23C005545</v>
      </c>
      <c r="R16" s="12" t="b">
        <f t="shared" si="6"/>
        <v>0</v>
      </c>
      <c r="S16" s="12"/>
      <c r="T16" s="12" t="str">
        <f t="shared" si="7"/>
        <v>BARS</v>
      </c>
      <c r="U16" s="12" t="str">
        <f t="shared" si="8"/>
        <v>bars</v>
      </c>
      <c r="V16" s="12">
        <f t="shared" si="9"/>
        <v>1</v>
      </c>
      <c r="W16" s="12"/>
      <c r="X16" s="12"/>
      <c r="Y16" s="12"/>
      <c r="Z16" s="12"/>
      <c r="AA16" s="12"/>
      <c r="AB16" s="12"/>
      <c r="AC16" s="12" t="s">
        <v>19</v>
      </c>
      <c r="AD16" s="12" t="s">
        <v>359</v>
      </c>
      <c r="AE16" s="12" t="s">
        <v>107</v>
      </c>
      <c r="AF16" s="12" t="s">
        <v>2261</v>
      </c>
      <c r="AG16" s="12" t="s">
        <v>2262</v>
      </c>
      <c r="AH16" s="12" t="s">
        <v>588</v>
      </c>
      <c r="AI16" s="12" t="s">
        <v>1838</v>
      </c>
      <c r="AJ16" s="12">
        <v>10</v>
      </c>
      <c r="AK16" s="12" t="s">
        <v>106</v>
      </c>
      <c r="AL16" s="12">
        <v>16</v>
      </c>
      <c r="AM16" s="12">
        <f t="shared" si="10"/>
        <v>160</v>
      </c>
    </row>
    <row r="17" spans="1:41" ht="30" hidden="1" x14ac:dyDescent="0.25">
      <c r="A17" s="12" t="s">
        <v>519</v>
      </c>
      <c r="B17" s="12" t="s">
        <v>2265</v>
      </c>
      <c r="C17" s="12" t="s">
        <v>2266</v>
      </c>
      <c r="D17" s="12" t="s">
        <v>592</v>
      </c>
      <c r="E17" s="12" t="s">
        <v>1447</v>
      </c>
      <c r="F17" s="12">
        <v>8</v>
      </c>
      <c r="G17" s="12" t="s">
        <v>13</v>
      </c>
      <c r="H17" s="12">
        <v>19</v>
      </c>
      <c r="I17" s="12">
        <f t="shared" si="0"/>
        <v>152</v>
      </c>
      <c r="J17" s="12">
        <f t="shared" si="11"/>
        <v>60</v>
      </c>
      <c r="K17" s="12">
        <f t="shared" si="1"/>
        <v>60</v>
      </c>
      <c r="L17" s="12">
        <f t="shared" si="2"/>
        <v>12307</v>
      </c>
      <c r="M17" s="12">
        <f t="shared" si="3"/>
        <v>101</v>
      </c>
      <c r="N17" s="12"/>
      <c r="O17" s="12"/>
      <c r="P17" s="12" t="str">
        <f t="shared" si="4"/>
        <v>ct-8</v>
      </c>
      <c r="Q17" s="17" t="str">
        <f t="shared" si="5"/>
        <v>19C001877</v>
      </c>
      <c r="R17" s="12" t="b">
        <f t="shared" si="6"/>
        <v>0</v>
      </c>
      <c r="S17" s="12"/>
      <c r="T17" s="12" t="str">
        <f t="shared" si="7"/>
        <v>CT</v>
      </c>
      <c r="U17" s="12" t="str">
        <f t="shared" si="8"/>
        <v>ct</v>
      </c>
      <c r="V17" s="12">
        <f t="shared" si="9"/>
        <v>1</v>
      </c>
      <c r="W17" s="12"/>
      <c r="X17" s="12"/>
      <c r="Y17" s="12"/>
      <c r="Z17" s="12"/>
      <c r="AA17" s="12"/>
      <c r="AB17" s="12"/>
      <c r="AC17" s="12" t="s">
        <v>178</v>
      </c>
      <c r="AD17" s="12" t="s">
        <v>523</v>
      </c>
      <c r="AE17" s="12" t="s">
        <v>20</v>
      </c>
      <c r="AF17" s="12" t="s">
        <v>2263</v>
      </c>
      <c r="AG17" s="12" t="s">
        <v>2264</v>
      </c>
      <c r="AH17" s="12" t="s">
        <v>902</v>
      </c>
      <c r="AI17" s="12" t="s">
        <v>1827</v>
      </c>
      <c r="AJ17" s="12">
        <v>5</v>
      </c>
      <c r="AK17" s="12" t="s">
        <v>904</v>
      </c>
      <c r="AL17" s="12">
        <v>23</v>
      </c>
      <c r="AM17" s="12">
        <f t="shared" si="10"/>
        <v>115</v>
      </c>
    </row>
    <row r="18" spans="1:41" ht="30" x14ac:dyDescent="0.25">
      <c r="A18" s="62" t="s">
        <v>209</v>
      </c>
      <c r="B18" s="62" t="s">
        <v>2267</v>
      </c>
      <c r="C18" s="62" t="s">
        <v>2268</v>
      </c>
      <c r="D18" s="62" t="s">
        <v>1019</v>
      </c>
      <c r="E18" s="62" t="s">
        <v>1874</v>
      </c>
      <c r="F18" s="62">
        <v>10</v>
      </c>
      <c r="G18" s="62" t="s">
        <v>167</v>
      </c>
      <c r="H18" s="62">
        <v>13</v>
      </c>
      <c r="I18" s="62">
        <f t="shared" si="0"/>
        <v>130</v>
      </c>
      <c r="J18" s="51">
        <f t="shared" si="11"/>
        <v>76.5</v>
      </c>
      <c r="K18" s="51">
        <f t="shared" si="1"/>
        <v>76</v>
      </c>
      <c r="L18" s="51">
        <f t="shared" si="2"/>
        <v>961.5</v>
      </c>
      <c r="M18" s="51">
        <f t="shared" si="3"/>
        <v>12</v>
      </c>
      <c r="N18" s="51" t="b">
        <f>AND(J18&gt;100,"Pass", "fail")</f>
        <v>0</v>
      </c>
      <c r="O18" s="51" t="b">
        <f>OR(J18&gt;250,"pass",J18&lt;100,"fail")</f>
        <v>1</v>
      </c>
      <c r="P18" s="51" t="str">
        <f t="shared" si="4"/>
        <v>oz-10</v>
      </c>
      <c r="Q18" s="52" t="str">
        <f t="shared" si="5"/>
        <v>13C000135</v>
      </c>
      <c r="R18" s="51" t="b">
        <f t="shared" si="6"/>
        <v>0</v>
      </c>
      <c r="S18" s="51"/>
      <c r="T18" s="51" t="str">
        <f t="shared" si="7"/>
        <v>OZ</v>
      </c>
      <c r="U18" s="51" t="str">
        <f t="shared" si="8"/>
        <v>oz</v>
      </c>
      <c r="V18" s="51">
        <f t="shared" si="9"/>
        <v>1</v>
      </c>
      <c r="W18" s="51" t="str">
        <f>_xlfn.TEXTJOIN(" ",TRUE,A18,F18)</f>
        <v>P021 10</v>
      </c>
      <c r="X18" s="51" t="str">
        <f>SUBSTITUTE(T18, "N","O")</f>
        <v>OZ</v>
      </c>
      <c r="Y18" s="51" t="str">
        <f>LEFT(Q18, 3)</f>
        <v>13C</v>
      </c>
      <c r="Z18" s="51" t="str">
        <f>RIGHT(O18,"2")</f>
        <v>UE</v>
      </c>
      <c r="AA18" s="51">
        <f>FIND("0",Q18)</f>
        <v>4</v>
      </c>
      <c r="AB18" s="51">
        <f>LEN(Q18)</f>
        <v>9</v>
      </c>
      <c r="AC18" s="51"/>
      <c r="AD18" s="51" t="s">
        <v>523</v>
      </c>
      <c r="AE18" s="51" t="s">
        <v>519</v>
      </c>
      <c r="AF18" s="51" t="s">
        <v>2265</v>
      </c>
      <c r="AG18" s="51" t="s">
        <v>2266</v>
      </c>
      <c r="AH18" s="51" t="s">
        <v>592</v>
      </c>
      <c r="AI18" s="51" t="s">
        <v>1447</v>
      </c>
      <c r="AJ18" s="51">
        <v>8</v>
      </c>
      <c r="AK18" s="51" t="s">
        <v>13</v>
      </c>
      <c r="AL18" s="51">
        <v>19</v>
      </c>
      <c r="AM18" s="51">
        <f t="shared" si="10"/>
        <v>152</v>
      </c>
      <c r="AN18" s="53"/>
      <c r="AO18" s="53"/>
    </row>
    <row r="19" spans="1:41" ht="30" hidden="1" x14ac:dyDescent="0.25">
      <c r="A19" s="12" t="s">
        <v>121</v>
      </c>
      <c r="B19" s="12" t="s">
        <v>2269</v>
      </c>
      <c r="C19" s="12" t="s">
        <v>2270</v>
      </c>
      <c r="D19" s="12" t="s">
        <v>212</v>
      </c>
      <c r="E19" s="12" t="s">
        <v>311</v>
      </c>
      <c r="F19" s="12">
        <v>10</v>
      </c>
      <c r="G19" s="12" t="s">
        <v>13</v>
      </c>
      <c r="H19" s="12">
        <v>45</v>
      </c>
      <c r="I19" s="12">
        <f t="shared" si="0"/>
        <v>450</v>
      </c>
      <c r="J19" s="12">
        <f t="shared" si="11"/>
        <v>4</v>
      </c>
      <c r="K19" s="12">
        <f t="shared" si="1"/>
        <v>4</v>
      </c>
      <c r="L19" s="12">
        <f t="shared" si="2"/>
        <v>12307</v>
      </c>
      <c r="M19" s="12">
        <f t="shared" si="3"/>
        <v>101</v>
      </c>
      <c r="N19" s="12"/>
      <c r="O19" s="12"/>
      <c r="P19" s="12" t="str">
        <f t="shared" si="4"/>
        <v>ct-10</v>
      </c>
      <c r="Q19" s="17" t="str">
        <f t="shared" si="5"/>
        <v>45C007398</v>
      </c>
      <c r="R19" s="12" t="b">
        <f t="shared" si="6"/>
        <v>0</v>
      </c>
      <c r="S19" s="12"/>
      <c r="T19" s="12" t="str">
        <f t="shared" si="7"/>
        <v>CT</v>
      </c>
      <c r="U19" s="12" t="str">
        <f t="shared" si="8"/>
        <v>ct</v>
      </c>
      <c r="V19" s="12">
        <f t="shared" si="9"/>
        <v>1</v>
      </c>
      <c r="W19" s="12"/>
      <c r="X19" s="12"/>
      <c r="Y19" s="12"/>
      <c r="Z19" s="12"/>
      <c r="AA19" s="12"/>
      <c r="AB19" s="12"/>
      <c r="AD19" s="12" t="s">
        <v>523</v>
      </c>
      <c r="AE19" s="38" t="s">
        <v>209</v>
      </c>
      <c r="AF19" s="12" t="s">
        <v>2267</v>
      </c>
      <c r="AG19" s="12" t="s">
        <v>2268</v>
      </c>
      <c r="AH19" s="12" t="s">
        <v>1019</v>
      </c>
      <c r="AI19" s="12" t="s">
        <v>1874</v>
      </c>
      <c r="AJ19" s="12">
        <v>10</v>
      </c>
      <c r="AK19" s="12" t="s">
        <v>167</v>
      </c>
      <c r="AL19" s="12">
        <v>13</v>
      </c>
      <c r="AM19" s="12">
        <f t="shared" si="10"/>
        <v>130</v>
      </c>
    </row>
    <row r="20" spans="1:41" ht="30" x14ac:dyDescent="0.25">
      <c r="A20" s="62" t="s">
        <v>14</v>
      </c>
      <c r="B20" s="62" t="s">
        <v>799</v>
      </c>
      <c r="C20" s="62" t="s">
        <v>2271</v>
      </c>
      <c r="D20" s="62" t="s">
        <v>94</v>
      </c>
      <c r="E20" s="62" t="s">
        <v>2272</v>
      </c>
      <c r="F20" s="62">
        <v>5</v>
      </c>
      <c r="G20" s="62" t="s">
        <v>13</v>
      </c>
      <c r="H20" s="62">
        <v>16</v>
      </c>
      <c r="I20" s="62">
        <f t="shared" si="0"/>
        <v>80</v>
      </c>
      <c r="J20" s="51">
        <f t="shared" si="11"/>
        <v>128</v>
      </c>
      <c r="K20" s="51">
        <f t="shared" si="1"/>
        <v>125</v>
      </c>
      <c r="L20" s="51">
        <f t="shared" si="2"/>
        <v>12307</v>
      </c>
      <c r="M20" s="51">
        <f t="shared" si="3"/>
        <v>101</v>
      </c>
      <c r="N20" s="51" t="b">
        <f t="shared" ref="N20:N83" si="20">AND(J20&gt;100,"Pass", "fail")</f>
        <v>1</v>
      </c>
      <c r="O20" s="51" t="b">
        <f t="shared" ref="O20:O83" si="21">OR(J20&gt;250,"pass",J20&lt;100,"fail")</f>
        <v>0</v>
      </c>
      <c r="P20" s="51" t="str">
        <f t="shared" si="4"/>
        <v>ct-5</v>
      </c>
      <c r="Q20" s="52" t="str">
        <f t="shared" si="5"/>
        <v>16C003460</v>
      </c>
      <c r="R20" s="51" t="b">
        <f t="shared" si="6"/>
        <v>0</v>
      </c>
      <c r="S20" s="51"/>
      <c r="T20" s="51" t="str">
        <f t="shared" si="7"/>
        <v>CT</v>
      </c>
      <c r="U20" s="51" t="str">
        <f t="shared" si="8"/>
        <v>ct</v>
      </c>
      <c r="V20" s="51">
        <f t="shared" si="9"/>
        <v>1</v>
      </c>
      <c r="W20" s="51" t="str">
        <f t="shared" ref="W20:W83" si="22">_xlfn.TEXTJOIN(" ",TRUE,A20,F20)</f>
        <v>P022 5</v>
      </c>
      <c r="X20" s="51" t="str">
        <f t="shared" ref="X20:X83" si="23">SUBSTITUTE(T20, "N","O")</f>
        <v>CT</v>
      </c>
      <c r="Y20" s="51" t="str">
        <f t="shared" ref="Y20:Y83" si="24">LEFT(Q20, 3)</f>
        <v>16C</v>
      </c>
      <c r="Z20" s="51" t="str">
        <f t="shared" ref="Z20:Z83" si="25">RIGHT(O20,"2")</f>
        <v>SE</v>
      </c>
      <c r="AA20" s="51">
        <f t="shared" ref="AA20:AA83" si="26">FIND("0",Q20)</f>
        <v>4</v>
      </c>
      <c r="AB20" s="51">
        <f t="shared" ref="AB20:AB83" si="27">LEN(Q20)</f>
        <v>9</v>
      </c>
      <c r="AC20" s="53"/>
      <c r="AD20" s="54" t="s">
        <v>55</v>
      </c>
      <c r="AE20" s="55" t="s">
        <v>121</v>
      </c>
      <c r="AF20" s="56" t="s">
        <v>2269</v>
      </c>
      <c r="AG20" s="51" t="s">
        <v>2270</v>
      </c>
      <c r="AH20" s="51" t="s">
        <v>212</v>
      </c>
      <c r="AI20" s="51" t="s">
        <v>311</v>
      </c>
      <c r="AJ20" s="51">
        <v>10</v>
      </c>
      <c r="AK20" s="51" t="s">
        <v>13</v>
      </c>
      <c r="AL20" s="51">
        <v>45</v>
      </c>
      <c r="AM20" s="51">
        <f t="shared" si="10"/>
        <v>450</v>
      </c>
      <c r="AN20" s="53"/>
      <c r="AO20" s="53"/>
    </row>
    <row r="21" spans="1:41" ht="30" x14ac:dyDescent="0.25">
      <c r="A21" s="62" t="s">
        <v>121</v>
      </c>
      <c r="B21" s="62" t="s">
        <v>2273</v>
      </c>
      <c r="C21" s="62" t="s">
        <v>2274</v>
      </c>
      <c r="D21" s="62" t="s">
        <v>620</v>
      </c>
      <c r="E21" s="62" t="s">
        <v>2275</v>
      </c>
      <c r="F21" s="62">
        <v>5</v>
      </c>
      <c r="G21" s="62" t="s">
        <v>13</v>
      </c>
      <c r="H21" s="62">
        <v>12</v>
      </c>
      <c r="I21" s="62">
        <f t="shared" si="0"/>
        <v>60</v>
      </c>
      <c r="J21" s="51">
        <f t="shared" si="11"/>
        <v>158.5</v>
      </c>
      <c r="K21" s="51">
        <f t="shared" si="1"/>
        <v>157</v>
      </c>
      <c r="L21" s="51">
        <f t="shared" si="2"/>
        <v>12307</v>
      </c>
      <c r="M21" s="51">
        <f t="shared" si="3"/>
        <v>101</v>
      </c>
      <c r="N21" s="51" t="b">
        <f t="shared" si="20"/>
        <v>1</v>
      </c>
      <c r="O21" s="51" t="b">
        <f t="shared" si="21"/>
        <v>0</v>
      </c>
      <c r="P21" s="51" t="str">
        <f t="shared" si="4"/>
        <v>ct-5</v>
      </c>
      <c r="Q21" s="52" t="str">
        <f t="shared" si="5"/>
        <v>12C007593</v>
      </c>
      <c r="R21" s="51" t="b">
        <f t="shared" si="6"/>
        <v>0</v>
      </c>
      <c r="S21" s="51"/>
      <c r="T21" s="51" t="str">
        <f t="shared" si="7"/>
        <v>CT</v>
      </c>
      <c r="U21" s="51" t="str">
        <f t="shared" si="8"/>
        <v>ct</v>
      </c>
      <c r="V21" s="51">
        <f t="shared" si="9"/>
        <v>1</v>
      </c>
      <c r="W21" s="51" t="str">
        <f t="shared" si="22"/>
        <v>P001 5</v>
      </c>
      <c r="X21" s="51" t="str">
        <f t="shared" si="23"/>
        <v>CT</v>
      </c>
      <c r="Y21" s="51" t="str">
        <f t="shared" si="24"/>
        <v>12C</v>
      </c>
      <c r="Z21" s="51" t="str">
        <f t="shared" si="25"/>
        <v>SE</v>
      </c>
      <c r="AA21" s="51">
        <f t="shared" si="26"/>
        <v>4</v>
      </c>
      <c r="AB21" s="51">
        <f t="shared" si="27"/>
        <v>9</v>
      </c>
      <c r="AC21" s="53"/>
      <c r="AD21" s="51" t="s">
        <v>55</v>
      </c>
      <c r="AE21" s="57"/>
      <c r="AF21" s="53"/>
      <c r="AG21" s="53"/>
      <c r="AH21" s="53"/>
      <c r="AI21" s="53"/>
      <c r="AJ21" s="53"/>
      <c r="AK21" s="53"/>
      <c r="AL21" s="53"/>
      <c r="AM21" s="53"/>
      <c r="AN21" s="53"/>
      <c r="AO21" s="53"/>
    </row>
    <row r="22" spans="1:41" ht="30" x14ac:dyDescent="0.25">
      <c r="A22" s="62" t="s">
        <v>743</v>
      </c>
      <c r="B22" s="62" t="s">
        <v>2276</v>
      </c>
      <c r="C22" s="62" t="s">
        <v>2277</v>
      </c>
      <c r="D22" s="62" t="s">
        <v>1081</v>
      </c>
      <c r="E22" s="62" t="s">
        <v>1817</v>
      </c>
      <c r="F22" s="62">
        <v>4</v>
      </c>
      <c r="G22" s="62" t="s">
        <v>13</v>
      </c>
      <c r="H22" s="62">
        <v>15</v>
      </c>
      <c r="I22" s="62">
        <f t="shared" si="0"/>
        <v>60</v>
      </c>
      <c r="J22" s="51">
        <f t="shared" si="11"/>
        <v>158.5</v>
      </c>
      <c r="K22" s="51">
        <f t="shared" si="1"/>
        <v>157</v>
      </c>
      <c r="L22" s="51">
        <f t="shared" si="2"/>
        <v>12307</v>
      </c>
      <c r="M22" s="51">
        <f t="shared" si="3"/>
        <v>101</v>
      </c>
      <c r="N22" s="51" t="b">
        <f t="shared" si="20"/>
        <v>1</v>
      </c>
      <c r="O22" s="51" t="b">
        <f t="shared" si="21"/>
        <v>0</v>
      </c>
      <c r="P22" s="51" t="str">
        <f t="shared" si="4"/>
        <v>ct-4</v>
      </c>
      <c r="Q22" s="52" t="str">
        <f t="shared" si="5"/>
        <v>15C005371</v>
      </c>
      <c r="R22" s="51" t="b">
        <f t="shared" si="6"/>
        <v>0</v>
      </c>
      <c r="S22" s="51"/>
      <c r="T22" s="51" t="str">
        <f t="shared" si="7"/>
        <v>CT</v>
      </c>
      <c r="U22" s="51" t="str">
        <f t="shared" si="8"/>
        <v>ct</v>
      </c>
      <c r="V22" s="51">
        <f t="shared" si="9"/>
        <v>1</v>
      </c>
      <c r="W22" s="51" t="str">
        <f t="shared" si="22"/>
        <v>P007 4</v>
      </c>
      <c r="X22" s="51" t="str">
        <f t="shared" si="23"/>
        <v>CT</v>
      </c>
      <c r="Y22" s="51" t="str">
        <f t="shared" si="24"/>
        <v>15C</v>
      </c>
      <c r="Z22" s="51" t="str">
        <f t="shared" si="25"/>
        <v>SE</v>
      </c>
      <c r="AA22" s="51">
        <f t="shared" si="26"/>
        <v>4</v>
      </c>
      <c r="AB22" s="51">
        <f t="shared" si="27"/>
        <v>9</v>
      </c>
      <c r="AC22" s="53"/>
      <c r="AD22" s="51" t="s">
        <v>743</v>
      </c>
      <c r="AE22" s="57"/>
      <c r="AF22" s="53"/>
      <c r="AG22" s="53"/>
      <c r="AH22" s="53"/>
      <c r="AI22" s="53"/>
      <c r="AJ22" s="53"/>
      <c r="AK22" s="53"/>
      <c r="AL22" s="53"/>
      <c r="AM22" s="53"/>
      <c r="AN22" s="53"/>
      <c r="AO22" s="53"/>
    </row>
    <row r="23" spans="1:41" ht="30" x14ac:dyDescent="0.25">
      <c r="A23" s="62" t="s">
        <v>173</v>
      </c>
      <c r="B23" s="62" t="s">
        <v>2278</v>
      </c>
      <c r="C23" s="62" t="s">
        <v>2279</v>
      </c>
      <c r="D23" s="62" t="s">
        <v>1139</v>
      </c>
      <c r="E23" s="62" t="s">
        <v>2280</v>
      </c>
      <c r="F23" s="62">
        <v>11</v>
      </c>
      <c r="G23" s="62" t="s">
        <v>13</v>
      </c>
      <c r="H23" s="62">
        <v>16</v>
      </c>
      <c r="I23" s="62">
        <f t="shared" si="0"/>
        <v>176</v>
      </c>
      <c r="J23" s="51">
        <f t="shared" si="11"/>
        <v>39</v>
      </c>
      <c r="K23" s="51">
        <f t="shared" si="1"/>
        <v>38</v>
      </c>
      <c r="L23" s="51">
        <f t="shared" si="2"/>
        <v>12307</v>
      </c>
      <c r="M23" s="51">
        <f t="shared" si="3"/>
        <v>101</v>
      </c>
      <c r="N23" s="51" t="b">
        <f t="shared" si="20"/>
        <v>0</v>
      </c>
      <c r="O23" s="51" t="b">
        <f t="shared" si="21"/>
        <v>1</v>
      </c>
      <c r="P23" s="51" t="str">
        <f t="shared" si="4"/>
        <v>ct-11</v>
      </c>
      <c r="Q23" s="52" t="str">
        <f t="shared" si="5"/>
        <v>16C001590</v>
      </c>
      <c r="R23" s="51" t="b">
        <f t="shared" si="6"/>
        <v>0</v>
      </c>
      <c r="S23" s="51"/>
      <c r="T23" s="51" t="str">
        <f t="shared" si="7"/>
        <v>CT</v>
      </c>
      <c r="U23" s="51" t="str">
        <f t="shared" si="8"/>
        <v>ct</v>
      </c>
      <c r="V23" s="51">
        <f t="shared" si="9"/>
        <v>1</v>
      </c>
      <c r="W23" s="51" t="str">
        <f t="shared" si="22"/>
        <v>P033 11</v>
      </c>
      <c r="X23" s="51" t="str">
        <f t="shared" si="23"/>
        <v>CT</v>
      </c>
      <c r="Y23" s="51" t="str">
        <f t="shared" si="24"/>
        <v>16C</v>
      </c>
      <c r="Z23" s="51" t="str">
        <f t="shared" si="25"/>
        <v>UE</v>
      </c>
      <c r="AA23" s="51">
        <f t="shared" si="26"/>
        <v>4</v>
      </c>
      <c r="AB23" s="51">
        <f t="shared" si="27"/>
        <v>9</v>
      </c>
      <c r="AC23" s="53"/>
      <c r="AD23" s="51" t="s">
        <v>743</v>
      </c>
      <c r="AE23" s="57"/>
      <c r="AF23" s="53"/>
      <c r="AG23" s="53"/>
      <c r="AH23" s="53"/>
      <c r="AI23" s="53"/>
      <c r="AJ23" s="53"/>
      <c r="AK23" s="53"/>
      <c r="AL23" s="53"/>
      <c r="AM23" s="53"/>
      <c r="AN23" s="53"/>
      <c r="AO23" s="53"/>
    </row>
    <row r="24" spans="1:41" ht="30" x14ac:dyDescent="0.25">
      <c r="A24" s="62" t="s">
        <v>146</v>
      </c>
      <c r="B24" s="62" t="s">
        <v>2281</v>
      </c>
      <c r="C24" s="62" t="s">
        <v>2282</v>
      </c>
      <c r="D24" s="62" t="s">
        <v>207</v>
      </c>
      <c r="E24" s="62" t="s">
        <v>2241</v>
      </c>
      <c r="F24" s="62">
        <v>1</v>
      </c>
      <c r="G24" s="62" t="s">
        <v>35</v>
      </c>
      <c r="H24" s="62">
        <v>16</v>
      </c>
      <c r="I24" s="62">
        <f t="shared" si="0"/>
        <v>16</v>
      </c>
      <c r="J24" s="51">
        <f t="shared" si="11"/>
        <v>229</v>
      </c>
      <c r="K24" s="51">
        <f t="shared" si="1"/>
        <v>227</v>
      </c>
      <c r="L24" s="51">
        <f t="shared" si="2"/>
        <v>4518</v>
      </c>
      <c r="M24" s="51">
        <f t="shared" si="3"/>
        <v>52</v>
      </c>
      <c r="N24" s="51" t="b">
        <f t="shared" si="20"/>
        <v>1</v>
      </c>
      <c r="O24" s="51" t="b">
        <f t="shared" si="21"/>
        <v>0</v>
      </c>
      <c r="P24" s="51" t="str">
        <f t="shared" si="4"/>
        <v>cans-1</v>
      </c>
      <c r="Q24" s="52" t="str">
        <f t="shared" si="5"/>
        <v>16C001509</v>
      </c>
      <c r="R24" s="51" t="b">
        <f t="shared" si="6"/>
        <v>0</v>
      </c>
      <c r="S24" s="51"/>
      <c r="T24" s="51" t="str">
        <f t="shared" si="7"/>
        <v>CANS</v>
      </c>
      <c r="U24" s="51" t="str">
        <f t="shared" si="8"/>
        <v>cans</v>
      </c>
      <c r="V24" s="51">
        <f t="shared" si="9"/>
        <v>1</v>
      </c>
      <c r="W24" s="51" t="str">
        <f t="shared" si="22"/>
        <v>P010 1</v>
      </c>
      <c r="X24" s="51" t="str">
        <f t="shared" si="23"/>
        <v>CAOS</v>
      </c>
      <c r="Y24" s="51" t="str">
        <f t="shared" si="24"/>
        <v>16C</v>
      </c>
      <c r="Z24" s="51" t="str">
        <f t="shared" si="25"/>
        <v>SE</v>
      </c>
      <c r="AA24" s="51">
        <f t="shared" si="26"/>
        <v>4</v>
      </c>
      <c r="AB24" s="51">
        <f t="shared" si="27"/>
        <v>9</v>
      </c>
      <c r="AC24" s="53"/>
      <c r="AD24" s="51" t="s">
        <v>519</v>
      </c>
      <c r="AE24" s="57"/>
      <c r="AF24" s="53"/>
      <c r="AG24" s="53"/>
      <c r="AH24" s="53"/>
      <c r="AI24" s="53"/>
      <c r="AJ24" s="53"/>
      <c r="AK24" s="53"/>
      <c r="AL24" s="53"/>
      <c r="AM24" s="53"/>
      <c r="AN24" s="53"/>
      <c r="AO24" s="53"/>
    </row>
    <row r="25" spans="1:41" ht="30" x14ac:dyDescent="0.25">
      <c r="A25" s="62" t="s">
        <v>200</v>
      </c>
      <c r="B25" s="62" t="s">
        <v>2283</v>
      </c>
      <c r="C25" s="62" t="s">
        <v>2284</v>
      </c>
      <c r="D25" s="62" t="s">
        <v>28</v>
      </c>
      <c r="E25" s="62" t="s">
        <v>557</v>
      </c>
      <c r="F25" s="62">
        <v>9</v>
      </c>
      <c r="G25" s="62" t="s">
        <v>13</v>
      </c>
      <c r="H25" s="62">
        <v>14</v>
      </c>
      <c r="I25" s="62">
        <f t="shared" si="0"/>
        <v>126</v>
      </c>
      <c r="J25" s="51">
        <f t="shared" si="11"/>
        <v>80.5</v>
      </c>
      <c r="K25" s="51">
        <f t="shared" si="1"/>
        <v>79</v>
      </c>
      <c r="L25" s="51">
        <f t="shared" si="2"/>
        <v>12307</v>
      </c>
      <c r="M25" s="51">
        <f t="shared" si="3"/>
        <v>101</v>
      </c>
      <c r="N25" s="51" t="b">
        <f t="shared" si="20"/>
        <v>0</v>
      </c>
      <c r="O25" s="51" t="b">
        <f t="shared" si="21"/>
        <v>1</v>
      </c>
      <c r="P25" s="51" t="str">
        <f t="shared" si="4"/>
        <v>ct-9</v>
      </c>
      <c r="Q25" s="52" t="str">
        <f t="shared" si="5"/>
        <v>14C003233</v>
      </c>
      <c r="R25" s="51" t="b">
        <f t="shared" si="6"/>
        <v>0</v>
      </c>
      <c r="S25" s="51"/>
      <c r="T25" s="51" t="str">
        <f t="shared" si="7"/>
        <v>CT</v>
      </c>
      <c r="U25" s="51" t="str">
        <f t="shared" si="8"/>
        <v>ct</v>
      </c>
      <c r="V25" s="51">
        <f t="shared" si="9"/>
        <v>1</v>
      </c>
      <c r="W25" s="51" t="str">
        <f t="shared" si="22"/>
        <v>P036 9</v>
      </c>
      <c r="X25" s="51" t="str">
        <f t="shared" si="23"/>
        <v>CT</v>
      </c>
      <c r="Y25" s="51" t="str">
        <f t="shared" si="24"/>
        <v>14C</v>
      </c>
      <c r="Z25" s="51" t="str">
        <f t="shared" si="25"/>
        <v>UE</v>
      </c>
      <c r="AA25" s="51">
        <f t="shared" si="26"/>
        <v>4</v>
      </c>
      <c r="AB25" s="51">
        <f t="shared" si="27"/>
        <v>9</v>
      </c>
      <c r="AC25" s="53"/>
      <c r="AD25" s="51" t="s">
        <v>519</v>
      </c>
      <c r="AE25" s="57"/>
      <c r="AF25" s="53"/>
      <c r="AG25" s="53"/>
      <c r="AH25" s="53"/>
      <c r="AI25" s="53"/>
      <c r="AJ25" s="53"/>
      <c r="AK25" s="53"/>
      <c r="AL25" s="53"/>
      <c r="AM25" s="53"/>
      <c r="AN25" s="53"/>
      <c r="AO25" s="53"/>
    </row>
    <row r="26" spans="1:41" ht="30" x14ac:dyDescent="0.25">
      <c r="A26" s="62" t="s">
        <v>66</v>
      </c>
      <c r="B26" s="62" t="s">
        <v>2285</v>
      </c>
      <c r="C26" s="62" t="s">
        <v>2286</v>
      </c>
      <c r="D26" s="62" t="s">
        <v>1332</v>
      </c>
      <c r="E26" s="62" t="s">
        <v>1464</v>
      </c>
      <c r="F26" s="62">
        <v>2</v>
      </c>
      <c r="G26" s="62" t="s">
        <v>13</v>
      </c>
      <c r="H26" s="62">
        <v>15</v>
      </c>
      <c r="I26" s="62">
        <f t="shared" si="0"/>
        <v>30</v>
      </c>
      <c r="J26" s="51">
        <f t="shared" si="11"/>
        <v>198</v>
      </c>
      <c r="K26" s="51">
        <f t="shared" si="1"/>
        <v>196</v>
      </c>
      <c r="L26" s="51">
        <f t="shared" si="2"/>
        <v>12307</v>
      </c>
      <c r="M26" s="51">
        <f t="shared" si="3"/>
        <v>101</v>
      </c>
      <c r="N26" s="51" t="b">
        <f t="shared" si="20"/>
        <v>1</v>
      </c>
      <c r="O26" s="51" t="b">
        <f t="shared" si="21"/>
        <v>0</v>
      </c>
      <c r="P26" s="51" t="str">
        <f t="shared" si="4"/>
        <v>ct-2</v>
      </c>
      <c r="Q26" s="52" t="str">
        <f t="shared" si="5"/>
        <v>15C004493</v>
      </c>
      <c r="R26" s="51" t="b">
        <f t="shared" si="6"/>
        <v>0</v>
      </c>
      <c r="S26" s="51"/>
      <c r="T26" s="51" t="str">
        <f t="shared" si="7"/>
        <v>CT</v>
      </c>
      <c r="U26" s="51" t="str">
        <f t="shared" si="8"/>
        <v>ct</v>
      </c>
      <c r="V26" s="51">
        <f t="shared" si="9"/>
        <v>1</v>
      </c>
      <c r="W26" s="51" t="str">
        <f t="shared" si="22"/>
        <v>P027 2</v>
      </c>
      <c r="X26" s="51" t="str">
        <f t="shared" si="23"/>
        <v>CT</v>
      </c>
      <c r="Y26" s="51" t="str">
        <f t="shared" si="24"/>
        <v>15C</v>
      </c>
      <c r="Z26" s="51" t="str">
        <f t="shared" si="25"/>
        <v>SE</v>
      </c>
      <c r="AA26" s="51">
        <f t="shared" si="26"/>
        <v>4</v>
      </c>
      <c r="AB26" s="51">
        <f t="shared" si="27"/>
        <v>9</v>
      </c>
      <c r="AC26" s="53"/>
      <c r="AD26" s="51" t="s">
        <v>519</v>
      </c>
      <c r="AE26" s="57"/>
      <c r="AF26" s="53"/>
      <c r="AG26" s="53"/>
      <c r="AH26" s="53"/>
      <c r="AI26" s="53"/>
      <c r="AJ26" s="53"/>
      <c r="AK26" s="53"/>
      <c r="AL26" s="53"/>
      <c r="AM26" s="53"/>
      <c r="AN26" s="53"/>
      <c r="AO26" s="53"/>
    </row>
    <row r="27" spans="1:41" ht="30" x14ac:dyDescent="0.25">
      <c r="A27" s="62" t="s">
        <v>14</v>
      </c>
      <c r="B27" s="62" t="s">
        <v>2287</v>
      </c>
      <c r="C27" s="62" t="s">
        <v>2288</v>
      </c>
      <c r="D27" s="62" t="s">
        <v>1706</v>
      </c>
      <c r="E27" s="62" t="s">
        <v>1830</v>
      </c>
      <c r="F27" s="62">
        <v>2</v>
      </c>
      <c r="G27" s="62" t="s">
        <v>35</v>
      </c>
      <c r="H27" s="62">
        <v>16</v>
      </c>
      <c r="I27" s="62">
        <f t="shared" si="0"/>
        <v>32</v>
      </c>
      <c r="J27" s="51">
        <f t="shared" si="11"/>
        <v>194</v>
      </c>
      <c r="K27" s="51">
        <f t="shared" si="1"/>
        <v>193</v>
      </c>
      <c r="L27" s="51">
        <f t="shared" si="2"/>
        <v>4518</v>
      </c>
      <c r="M27" s="51">
        <f t="shared" si="3"/>
        <v>52</v>
      </c>
      <c r="N27" s="51" t="b">
        <f t="shared" si="20"/>
        <v>1</v>
      </c>
      <c r="O27" s="51" t="b">
        <f t="shared" si="21"/>
        <v>0</v>
      </c>
      <c r="P27" s="51" t="str">
        <f t="shared" si="4"/>
        <v>cans-2</v>
      </c>
      <c r="Q27" s="52" t="str">
        <f t="shared" si="5"/>
        <v>16C002035</v>
      </c>
      <c r="R27" s="51" t="b">
        <f t="shared" si="6"/>
        <v>0</v>
      </c>
      <c r="S27" s="51"/>
      <c r="T27" s="51" t="str">
        <f t="shared" si="7"/>
        <v>CANS</v>
      </c>
      <c r="U27" s="51" t="str">
        <f t="shared" si="8"/>
        <v>cans</v>
      </c>
      <c r="V27" s="51">
        <f t="shared" si="9"/>
        <v>1</v>
      </c>
      <c r="W27" s="51" t="str">
        <f t="shared" si="22"/>
        <v>P022 2</v>
      </c>
      <c r="X27" s="51" t="str">
        <f t="shared" si="23"/>
        <v>CAOS</v>
      </c>
      <c r="Y27" s="51" t="str">
        <f t="shared" si="24"/>
        <v>16C</v>
      </c>
      <c r="Z27" s="51" t="str">
        <f t="shared" si="25"/>
        <v>SE</v>
      </c>
      <c r="AA27" s="51">
        <f t="shared" si="26"/>
        <v>4</v>
      </c>
      <c r="AB27" s="51">
        <f t="shared" si="27"/>
        <v>9</v>
      </c>
      <c r="AC27" s="53"/>
      <c r="AD27" s="51" t="s">
        <v>519</v>
      </c>
      <c r="AE27" s="57"/>
      <c r="AF27" s="53"/>
      <c r="AG27" s="53"/>
      <c r="AH27" s="53"/>
      <c r="AI27" s="53"/>
      <c r="AJ27" s="53"/>
      <c r="AK27" s="53"/>
      <c r="AL27" s="53"/>
      <c r="AM27" s="53"/>
      <c r="AN27" s="53"/>
      <c r="AO27" s="53"/>
    </row>
    <row r="28" spans="1:41" ht="30" x14ac:dyDescent="0.25">
      <c r="A28" s="62" t="s">
        <v>187</v>
      </c>
      <c r="B28" s="62" t="s">
        <v>2289</v>
      </c>
      <c r="C28" s="62" t="s">
        <v>2290</v>
      </c>
      <c r="D28" s="62" t="s">
        <v>563</v>
      </c>
      <c r="E28" s="62" t="s">
        <v>2291</v>
      </c>
      <c r="F28" s="62">
        <v>4</v>
      </c>
      <c r="G28" s="62" t="s">
        <v>60</v>
      </c>
      <c r="H28" s="62">
        <v>18</v>
      </c>
      <c r="I28" s="62">
        <f t="shared" si="0"/>
        <v>72</v>
      </c>
      <c r="J28" s="51">
        <f t="shared" si="11"/>
        <v>141.5</v>
      </c>
      <c r="K28" s="51">
        <f t="shared" si="1"/>
        <v>137</v>
      </c>
      <c r="L28" s="51">
        <f t="shared" si="2"/>
        <v>3427</v>
      </c>
      <c r="M28" s="51">
        <f t="shared" si="3"/>
        <v>31</v>
      </c>
      <c r="N28" s="51" t="b">
        <f t="shared" si="20"/>
        <v>1</v>
      </c>
      <c r="O28" s="51" t="b">
        <f t="shared" si="21"/>
        <v>0</v>
      </c>
      <c r="P28" s="51" t="str">
        <f t="shared" si="4"/>
        <v>bottles-4</v>
      </c>
      <c r="Q28" s="52" t="str">
        <f t="shared" si="5"/>
        <v>18C008523</v>
      </c>
      <c r="R28" s="51" t="b">
        <f t="shared" si="6"/>
        <v>0</v>
      </c>
      <c r="S28" s="51"/>
      <c r="T28" s="51" t="str">
        <f t="shared" si="7"/>
        <v>BOTTLES</v>
      </c>
      <c r="U28" s="51" t="str">
        <f t="shared" si="8"/>
        <v>bottles</v>
      </c>
      <c r="V28" s="51">
        <f t="shared" si="9"/>
        <v>1</v>
      </c>
      <c r="W28" s="51" t="str">
        <f t="shared" si="22"/>
        <v>P029 4</v>
      </c>
      <c r="X28" s="51" t="str">
        <f t="shared" si="23"/>
        <v>BOTTLES</v>
      </c>
      <c r="Y28" s="51" t="str">
        <f t="shared" si="24"/>
        <v>18C</v>
      </c>
      <c r="Z28" s="51" t="str">
        <f t="shared" si="25"/>
        <v>SE</v>
      </c>
      <c r="AA28" s="51">
        <f t="shared" si="26"/>
        <v>4</v>
      </c>
      <c r="AB28" s="51">
        <f t="shared" si="27"/>
        <v>9</v>
      </c>
      <c r="AC28" s="53"/>
      <c r="AD28" s="51" t="s">
        <v>288</v>
      </c>
      <c r="AE28" s="57"/>
      <c r="AF28" s="53"/>
      <c r="AG28" s="53"/>
      <c r="AH28" s="53"/>
      <c r="AI28" s="53"/>
      <c r="AJ28" s="53"/>
      <c r="AK28" s="53"/>
      <c r="AL28" s="53"/>
      <c r="AM28" s="53"/>
      <c r="AN28" s="53"/>
      <c r="AO28" s="53"/>
    </row>
    <row r="29" spans="1:41" ht="30" x14ac:dyDescent="0.25">
      <c r="A29" s="62" t="s">
        <v>14</v>
      </c>
      <c r="B29" s="62" t="s">
        <v>2292</v>
      </c>
      <c r="C29" s="62" t="s">
        <v>2293</v>
      </c>
      <c r="D29" s="62" t="s">
        <v>1484</v>
      </c>
      <c r="E29" s="62" t="s">
        <v>1871</v>
      </c>
      <c r="F29" s="62">
        <v>2</v>
      </c>
      <c r="G29" s="62" t="s">
        <v>13</v>
      </c>
      <c r="H29" s="62">
        <v>26</v>
      </c>
      <c r="I29" s="62">
        <f t="shared" si="0"/>
        <v>52</v>
      </c>
      <c r="J29" s="51">
        <f t="shared" si="11"/>
        <v>166.5</v>
      </c>
      <c r="K29" s="51">
        <f t="shared" si="1"/>
        <v>166</v>
      </c>
      <c r="L29" s="51">
        <f t="shared" si="2"/>
        <v>12307</v>
      </c>
      <c r="M29" s="51">
        <f t="shared" si="3"/>
        <v>101</v>
      </c>
      <c r="N29" s="51" t="b">
        <f t="shared" si="20"/>
        <v>1</v>
      </c>
      <c r="O29" s="51" t="b">
        <f t="shared" si="21"/>
        <v>0</v>
      </c>
      <c r="P29" s="51" t="str">
        <f t="shared" si="4"/>
        <v>ct-2</v>
      </c>
      <c r="Q29" s="52" t="str">
        <f t="shared" si="5"/>
        <v>26C003213</v>
      </c>
      <c r="R29" s="51" t="b">
        <f t="shared" si="6"/>
        <v>0</v>
      </c>
      <c r="S29" s="51"/>
      <c r="T29" s="51" t="str">
        <f t="shared" si="7"/>
        <v>CT</v>
      </c>
      <c r="U29" s="51" t="str">
        <f t="shared" si="8"/>
        <v>ct</v>
      </c>
      <c r="V29" s="51">
        <f t="shared" si="9"/>
        <v>1</v>
      </c>
      <c r="W29" s="51" t="str">
        <f t="shared" si="22"/>
        <v>P022 2</v>
      </c>
      <c r="X29" s="51" t="str">
        <f t="shared" si="23"/>
        <v>CT</v>
      </c>
      <c r="Y29" s="51" t="str">
        <f t="shared" si="24"/>
        <v>26C</v>
      </c>
      <c r="Z29" s="51" t="str">
        <f t="shared" si="25"/>
        <v>SE</v>
      </c>
      <c r="AA29" s="51">
        <f t="shared" si="26"/>
        <v>4</v>
      </c>
      <c r="AB29" s="51">
        <f t="shared" si="27"/>
        <v>9</v>
      </c>
      <c r="AC29" s="53"/>
      <c r="AD29" s="51" t="s">
        <v>146</v>
      </c>
      <c r="AE29" s="57"/>
      <c r="AF29" s="53"/>
      <c r="AG29" s="53"/>
      <c r="AH29" s="53"/>
      <c r="AI29" s="53"/>
      <c r="AJ29" s="53"/>
      <c r="AK29" s="53"/>
      <c r="AL29" s="53"/>
      <c r="AM29" s="53"/>
      <c r="AN29" s="53"/>
      <c r="AO29" s="53"/>
    </row>
    <row r="30" spans="1:41" ht="30" x14ac:dyDescent="0.25">
      <c r="A30" s="62" t="s">
        <v>519</v>
      </c>
      <c r="B30" s="62" t="s">
        <v>2294</v>
      </c>
      <c r="C30" s="62" t="s">
        <v>2295</v>
      </c>
      <c r="D30" s="62" t="s">
        <v>370</v>
      </c>
      <c r="E30" s="62" t="s">
        <v>2296</v>
      </c>
      <c r="F30" s="62">
        <v>6</v>
      </c>
      <c r="G30" s="62" t="s">
        <v>167</v>
      </c>
      <c r="H30" s="62">
        <v>17</v>
      </c>
      <c r="I30" s="62">
        <f t="shared" si="0"/>
        <v>102</v>
      </c>
      <c r="J30" s="51">
        <f t="shared" si="11"/>
        <v>107</v>
      </c>
      <c r="K30" s="51">
        <f t="shared" si="1"/>
        <v>107</v>
      </c>
      <c r="L30" s="51">
        <f t="shared" si="2"/>
        <v>961.5</v>
      </c>
      <c r="M30" s="51">
        <f t="shared" si="3"/>
        <v>12</v>
      </c>
      <c r="N30" s="51" t="b">
        <f t="shared" si="20"/>
        <v>1</v>
      </c>
      <c r="O30" s="51" t="b">
        <f t="shared" si="21"/>
        <v>0</v>
      </c>
      <c r="P30" s="51" t="str">
        <f t="shared" si="4"/>
        <v>oz-6</v>
      </c>
      <c r="Q30" s="52" t="str">
        <f t="shared" si="5"/>
        <v>17C004645</v>
      </c>
      <c r="R30" s="51" t="b">
        <f t="shared" si="6"/>
        <v>0</v>
      </c>
      <c r="S30" s="51"/>
      <c r="T30" s="51" t="str">
        <f t="shared" si="7"/>
        <v>OZ</v>
      </c>
      <c r="U30" s="51" t="str">
        <f t="shared" si="8"/>
        <v>oz</v>
      </c>
      <c r="V30" s="51">
        <f t="shared" si="9"/>
        <v>1</v>
      </c>
      <c r="W30" s="51" t="str">
        <f t="shared" si="22"/>
        <v>P008 6</v>
      </c>
      <c r="X30" s="51" t="str">
        <f t="shared" si="23"/>
        <v>OZ</v>
      </c>
      <c r="Y30" s="51" t="str">
        <f t="shared" si="24"/>
        <v>17C</v>
      </c>
      <c r="Z30" s="51" t="str">
        <f t="shared" si="25"/>
        <v>SE</v>
      </c>
      <c r="AA30" s="51">
        <f t="shared" si="26"/>
        <v>4</v>
      </c>
      <c r="AB30" s="51">
        <f t="shared" si="27"/>
        <v>9</v>
      </c>
      <c r="AC30" s="53"/>
      <c r="AD30" s="51" t="s">
        <v>146</v>
      </c>
      <c r="AE30" s="57"/>
      <c r="AF30" s="53"/>
      <c r="AG30" s="53"/>
      <c r="AH30" s="53"/>
      <c r="AI30" s="53"/>
      <c r="AJ30" s="53"/>
      <c r="AK30" s="53"/>
      <c r="AL30" s="53"/>
      <c r="AM30" s="53"/>
      <c r="AN30" s="53"/>
      <c r="AO30" s="53"/>
    </row>
    <row r="31" spans="1:41" ht="30" x14ac:dyDescent="0.25">
      <c r="A31" s="62" t="s">
        <v>523</v>
      </c>
      <c r="B31" s="62" t="s">
        <v>2297</v>
      </c>
      <c r="C31" s="62" t="s">
        <v>2298</v>
      </c>
      <c r="D31" s="62" t="s">
        <v>1070</v>
      </c>
      <c r="E31" s="62" t="s">
        <v>386</v>
      </c>
      <c r="F31" s="62">
        <v>3</v>
      </c>
      <c r="G31" s="62" t="s">
        <v>1072</v>
      </c>
      <c r="H31" s="62">
        <v>16</v>
      </c>
      <c r="I31" s="62">
        <f t="shared" si="0"/>
        <v>48</v>
      </c>
      <c r="J31" s="51">
        <f t="shared" si="11"/>
        <v>170.5</v>
      </c>
      <c r="K31" s="51">
        <f t="shared" si="1"/>
        <v>170</v>
      </c>
      <c r="L31" s="51">
        <f t="shared" si="2"/>
        <v>1357</v>
      </c>
      <c r="M31" s="51">
        <f t="shared" si="3"/>
        <v>14</v>
      </c>
      <c r="N31" s="51" t="b">
        <f t="shared" si="20"/>
        <v>1</v>
      </c>
      <c r="O31" s="51" t="b">
        <f t="shared" si="21"/>
        <v>0</v>
      </c>
      <c r="P31" s="51" t="str">
        <f t="shared" si="4"/>
        <v>Bags-3</v>
      </c>
      <c r="Q31" s="52" t="str">
        <f t="shared" si="5"/>
        <v>16C005483</v>
      </c>
      <c r="R31" s="51" t="b">
        <f t="shared" si="6"/>
        <v>0</v>
      </c>
      <c r="S31" s="51"/>
      <c r="T31" s="51" t="str">
        <f t="shared" si="7"/>
        <v>BAGS</v>
      </c>
      <c r="U31" s="51" t="str">
        <f t="shared" si="8"/>
        <v>bags</v>
      </c>
      <c r="V31" s="51">
        <f t="shared" si="9"/>
        <v>1</v>
      </c>
      <c r="W31" s="51" t="str">
        <f t="shared" si="22"/>
        <v>P005 3</v>
      </c>
      <c r="X31" s="51" t="str">
        <f t="shared" si="23"/>
        <v>BAGS</v>
      </c>
      <c r="Y31" s="51" t="str">
        <f t="shared" si="24"/>
        <v>16C</v>
      </c>
      <c r="Z31" s="51" t="str">
        <f t="shared" si="25"/>
        <v>SE</v>
      </c>
      <c r="AA31" s="51">
        <f t="shared" si="26"/>
        <v>4</v>
      </c>
      <c r="AB31" s="51">
        <f t="shared" si="27"/>
        <v>9</v>
      </c>
      <c r="AC31" s="53"/>
      <c r="AD31" s="51" t="s">
        <v>146</v>
      </c>
      <c r="AE31" s="57"/>
      <c r="AF31" s="53"/>
      <c r="AG31" s="53"/>
      <c r="AH31" s="53"/>
      <c r="AI31" s="53"/>
      <c r="AJ31" s="53"/>
      <c r="AK31" s="53"/>
      <c r="AL31" s="53"/>
      <c r="AM31" s="53"/>
      <c r="AN31" s="53"/>
      <c r="AO31" s="53"/>
    </row>
    <row r="32" spans="1:41" ht="30" x14ac:dyDescent="0.25">
      <c r="A32" s="62" t="s">
        <v>218</v>
      </c>
      <c r="B32" s="62" t="s">
        <v>2299</v>
      </c>
      <c r="C32" s="62" t="s">
        <v>2300</v>
      </c>
      <c r="D32" s="62" t="s">
        <v>1649</v>
      </c>
      <c r="E32" s="62" t="s">
        <v>1397</v>
      </c>
      <c r="F32" s="62">
        <v>4</v>
      </c>
      <c r="G32" s="62" t="s">
        <v>60</v>
      </c>
      <c r="H32" s="62">
        <v>13</v>
      </c>
      <c r="I32" s="62">
        <f t="shared" si="0"/>
        <v>52</v>
      </c>
      <c r="J32" s="51">
        <f t="shared" si="11"/>
        <v>166.5</v>
      </c>
      <c r="K32" s="51">
        <f t="shared" si="1"/>
        <v>166</v>
      </c>
      <c r="L32" s="51">
        <f t="shared" si="2"/>
        <v>3427</v>
      </c>
      <c r="M32" s="51">
        <f t="shared" si="3"/>
        <v>31</v>
      </c>
      <c r="N32" s="51" t="b">
        <f t="shared" si="20"/>
        <v>1</v>
      </c>
      <c r="O32" s="51" t="b">
        <f t="shared" si="21"/>
        <v>0</v>
      </c>
      <c r="P32" s="51" t="str">
        <f t="shared" si="4"/>
        <v>bottles-4</v>
      </c>
      <c r="Q32" s="52" t="str">
        <f t="shared" si="5"/>
        <v>13C001599</v>
      </c>
      <c r="R32" s="51" t="b">
        <f t="shared" si="6"/>
        <v>0</v>
      </c>
      <c r="S32" s="51"/>
      <c r="T32" s="51" t="str">
        <f t="shared" si="7"/>
        <v>BOTTLES</v>
      </c>
      <c r="U32" s="51" t="str">
        <f t="shared" si="8"/>
        <v>bottles</v>
      </c>
      <c r="V32" s="51">
        <f t="shared" si="9"/>
        <v>1</v>
      </c>
      <c r="W32" s="51" t="str">
        <f t="shared" si="22"/>
        <v>P002 4</v>
      </c>
      <c r="X32" s="51" t="str">
        <f t="shared" si="23"/>
        <v>BOTTLES</v>
      </c>
      <c r="Y32" s="51" t="str">
        <f t="shared" si="24"/>
        <v>13C</v>
      </c>
      <c r="Z32" s="51" t="str">
        <f t="shared" si="25"/>
        <v>SE</v>
      </c>
      <c r="AA32" s="51">
        <f t="shared" si="26"/>
        <v>4</v>
      </c>
      <c r="AB32" s="51">
        <f t="shared" si="27"/>
        <v>9</v>
      </c>
      <c r="AC32" s="53"/>
      <c r="AD32" s="51" t="s">
        <v>146</v>
      </c>
      <c r="AE32" s="57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 spans="1:41" ht="30" x14ac:dyDescent="0.25">
      <c r="A33" s="62" t="s">
        <v>82</v>
      </c>
      <c r="B33" s="62" t="s">
        <v>2301</v>
      </c>
      <c r="C33" s="62" t="s">
        <v>2302</v>
      </c>
      <c r="D33" s="62" t="s">
        <v>354</v>
      </c>
      <c r="E33" s="62" t="s">
        <v>1836</v>
      </c>
      <c r="F33" s="62">
        <v>9</v>
      </c>
      <c r="G33" s="62" t="s">
        <v>167</v>
      </c>
      <c r="H33" s="62">
        <v>17</v>
      </c>
      <c r="I33" s="62">
        <f t="shared" si="0"/>
        <v>153</v>
      </c>
      <c r="J33" s="51">
        <f t="shared" si="11"/>
        <v>58</v>
      </c>
      <c r="K33" s="51">
        <f t="shared" si="1"/>
        <v>57</v>
      </c>
      <c r="L33" s="51">
        <f t="shared" si="2"/>
        <v>961.5</v>
      </c>
      <c r="M33" s="51">
        <f t="shared" si="3"/>
        <v>12</v>
      </c>
      <c r="N33" s="51" t="b">
        <f t="shared" si="20"/>
        <v>0</v>
      </c>
      <c r="O33" s="51" t="b">
        <f t="shared" si="21"/>
        <v>1</v>
      </c>
      <c r="P33" s="51" t="str">
        <f t="shared" si="4"/>
        <v>oz-9</v>
      </c>
      <c r="Q33" s="52" t="str">
        <f t="shared" si="5"/>
        <v>17C003788</v>
      </c>
      <c r="R33" s="51" t="b">
        <f t="shared" si="6"/>
        <v>0</v>
      </c>
      <c r="S33" s="51"/>
      <c r="T33" s="51" t="str">
        <f t="shared" si="7"/>
        <v>OZ</v>
      </c>
      <c r="U33" s="51" t="str">
        <f t="shared" si="8"/>
        <v>oz</v>
      </c>
      <c r="V33" s="51">
        <f t="shared" si="9"/>
        <v>1</v>
      </c>
      <c r="W33" s="51" t="str">
        <f t="shared" si="22"/>
        <v>P018 9</v>
      </c>
      <c r="X33" s="51" t="str">
        <f t="shared" si="23"/>
        <v>OZ</v>
      </c>
      <c r="Y33" s="51" t="str">
        <f t="shared" si="24"/>
        <v>17C</v>
      </c>
      <c r="Z33" s="51" t="str">
        <f t="shared" si="25"/>
        <v>UE</v>
      </c>
      <c r="AA33" s="51">
        <f t="shared" si="26"/>
        <v>4</v>
      </c>
      <c r="AB33" s="51">
        <f t="shared" si="27"/>
        <v>9</v>
      </c>
      <c r="AC33" s="53"/>
      <c r="AD33" s="51" t="s">
        <v>146</v>
      </c>
      <c r="AE33" s="57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spans="1:41" ht="30" x14ac:dyDescent="0.25">
      <c r="A34" s="62" t="s">
        <v>359</v>
      </c>
      <c r="B34" s="62" t="s">
        <v>2303</v>
      </c>
      <c r="C34" s="62" t="s">
        <v>2304</v>
      </c>
      <c r="D34" s="62" t="s">
        <v>537</v>
      </c>
      <c r="E34" s="62" t="s">
        <v>953</v>
      </c>
      <c r="F34" s="62">
        <v>2</v>
      </c>
      <c r="G34" s="62" t="s">
        <v>60</v>
      </c>
      <c r="H34" s="62">
        <v>10</v>
      </c>
      <c r="I34" s="62">
        <f t="shared" si="0"/>
        <v>20</v>
      </c>
      <c r="J34" s="51">
        <f t="shared" si="11"/>
        <v>216.5</v>
      </c>
      <c r="K34" s="51">
        <f t="shared" si="1"/>
        <v>215</v>
      </c>
      <c r="L34" s="51">
        <f t="shared" si="2"/>
        <v>3427</v>
      </c>
      <c r="M34" s="51">
        <f t="shared" si="3"/>
        <v>31</v>
      </c>
      <c r="N34" s="51" t="b">
        <f t="shared" si="20"/>
        <v>1</v>
      </c>
      <c r="O34" s="51" t="b">
        <f t="shared" si="21"/>
        <v>0</v>
      </c>
      <c r="P34" s="51" t="str">
        <f t="shared" si="4"/>
        <v>bottles-2</v>
      </c>
      <c r="Q34" s="52" t="str">
        <f t="shared" si="5"/>
        <v>10C004393</v>
      </c>
      <c r="R34" s="51" t="b">
        <f t="shared" si="6"/>
        <v>0</v>
      </c>
      <c r="S34" s="51"/>
      <c r="T34" s="51" t="str">
        <f t="shared" si="7"/>
        <v>BOTTLES</v>
      </c>
      <c r="U34" s="51" t="str">
        <f t="shared" si="8"/>
        <v>bottles</v>
      </c>
      <c r="V34" s="51">
        <f t="shared" si="9"/>
        <v>1</v>
      </c>
      <c r="W34" s="51" t="str">
        <f t="shared" si="22"/>
        <v>P004 2</v>
      </c>
      <c r="X34" s="51" t="str">
        <f t="shared" si="23"/>
        <v>BOTTLES</v>
      </c>
      <c r="Y34" s="51" t="str">
        <f t="shared" si="24"/>
        <v>10C</v>
      </c>
      <c r="Z34" s="51" t="str">
        <f t="shared" si="25"/>
        <v>SE</v>
      </c>
      <c r="AA34" s="51">
        <f t="shared" si="26"/>
        <v>2</v>
      </c>
      <c r="AB34" s="51">
        <f t="shared" si="27"/>
        <v>9</v>
      </c>
      <c r="AC34" s="53"/>
      <c r="AD34" s="51" t="s">
        <v>101</v>
      </c>
      <c r="AE34" s="57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spans="1:41" ht="30" x14ac:dyDescent="0.25">
      <c r="A35" s="62" t="s">
        <v>66</v>
      </c>
      <c r="B35" s="62" t="s">
        <v>2305</v>
      </c>
      <c r="C35" s="62" t="s">
        <v>2306</v>
      </c>
      <c r="D35" s="62" t="s">
        <v>741</v>
      </c>
      <c r="E35" s="62" t="s">
        <v>432</v>
      </c>
      <c r="F35" s="62">
        <v>6</v>
      </c>
      <c r="G35" s="62" t="s">
        <v>13</v>
      </c>
      <c r="H35" s="62">
        <v>16</v>
      </c>
      <c r="I35" s="62">
        <f t="shared" si="0"/>
        <v>96</v>
      </c>
      <c r="J35" s="51">
        <f t="shared" si="11"/>
        <v>112.5</v>
      </c>
      <c r="K35" s="51">
        <f t="shared" si="1"/>
        <v>110</v>
      </c>
      <c r="L35" s="51">
        <f t="shared" si="2"/>
        <v>12307</v>
      </c>
      <c r="M35" s="51">
        <f t="shared" si="3"/>
        <v>101</v>
      </c>
      <c r="N35" s="51" t="b">
        <f t="shared" si="20"/>
        <v>1</v>
      </c>
      <c r="O35" s="51" t="b">
        <f t="shared" si="21"/>
        <v>0</v>
      </c>
      <c r="P35" s="51" t="str">
        <f t="shared" si="4"/>
        <v>ct-6</v>
      </c>
      <c r="Q35" s="52" t="str">
        <f t="shared" si="5"/>
        <v>16C001530</v>
      </c>
      <c r="R35" s="51" t="b">
        <f t="shared" si="6"/>
        <v>0</v>
      </c>
      <c r="S35" s="51"/>
      <c r="T35" s="51" t="str">
        <f t="shared" si="7"/>
        <v>CT</v>
      </c>
      <c r="U35" s="51" t="str">
        <f t="shared" si="8"/>
        <v>ct</v>
      </c>
      <c r="V35" s="51">
        <f t="shared" si="9"/>
        <v>1</v>
      </c>
      <c r="W35" s="51" t="str">
        <f t="shared" si="22"/>
        <v>P027 6</v>
      </c>
      <c r="X35" s="51" t="str">
        <f t="shared" si="23"/>
        <v>CT</v>
      </c>
      <c r="Y35" s="51" t="str">
        <f t="shared" si="24"/>
        <v>16C</v>
      </c>
      <c r="Z35" s="51" t="str">
        <f t="shared" si="25"/>
        <v>SE</v>
      </c>
      <c r="AA35" s="51">
        <f t="shared" si="26"/>
        <v>4</v>
      </c>
      <c r="AB35" s="51">
        <f t="shared" si="27"/>
        <v>9</v>
      </c>
      <c r="AC35" s="53"/>
      <c r="AD35" s="51" t="s">
        <v>101</v>
      </c>
      <c r="AE35" s="57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spans="1:41" ht="30" x14ac:dyDescent="0.25">
      <c r="A36" s="62" t="s">
        <v>339</v>
      </c>
      <c r="B36" s="62" t="s">
        <v>1828</v>
      </c>
      <c r="C36" s="62" t="s">
        <v>2307</v>
      </c>
      <c r="D36" s="62" t="s">
        <v>156</v>
      </c>
      <c r="E36" s="62" t="s">
        <v>946</v>
      </c>
      <c r="F36" s="62">
        <v>2</v>
      </c>
      <c r="G36" s="62" t="s">
        <v>13</v>
      </c>
      <c r="H36" s="62">
        <v>16</v>
      </c>
      <c r="I36" s="62">
        <f t="shared" si="0"/>
        <v>32</v>
      </c>
      <c r="J36" s="51">
        <f t="shared" si="11"/>
        <v>194</v>
      </c>
      <c r="K36" s="51">
        <f t="shared" si="1"/>
        <v>193</v>
      </c>
      <c r="L36" s="51">
        <f t="shared" si="2"/>
        <v>12307</v>
      </c>
      <c r="M36" s="51">
        <f t="shared" si="3"/>
        <v>101</v>
      </c>
      <c r="N36" s="51" t="b">
        <f t="shared" si="20"/>
        <v>1</v>
      </c>
      <c r="O36" s="51" t="b">
        <f t="shared" si="21"/>
        <v>0</v>
      </c>
      <c r="P36" s="51" t="str">
        <f t="shared" si="4"/>
        <v>ct-2</v>
      </c>
      <c r="Q36" s="52" t="str">
        <f t="shared" si="5"/>
        <v>16C005909</v>
      </c>
      <c r="R36" s="51" t="b">
        <f t="shared" si="6"/>
        <v>0</v>
      </c>
      <c r="S36" s="51"/>
      <c r="T36" s="51" t="str">
        <f t="shared" si="7"/>
        <v>CT</v>
      </c>
      <c r="U36" s="51" t="str">
        <f t="shared" si="8"/>
        <v>ct</v>
      </c>
      <c r="V36" s="51">
        <f t="shared" si="9"/>
        <v>1</v>
      </c>
      <c r="W36" s="51" t="str">
        <f t="shared" si="22"/>
        <v>P037 2</v>
      </c>
      <c r="X36" s="51" t="str">
        <f t="shared" si="23"/>
        <v>CT</v>
      </c>
      <c r="Y36" s="51" t="str">
        <f t="shared" si="24"/>
        <v>16C</v>
      </c>
      <c r="Z36" s="51" t="str">
        <f t="shared" si="25"/>
        <v>SE</v>
      </c>
      <c r="AA36" s="51">
        <f t="shared" si="26"/>
        <v>4</v>
      </c>
      <c r="AB36" s="51">
        <f t="shared" si="27"/>
        <v>9</v>
      </c>
      <c r="AC36" s="53"/>
      <c r="AD36" s="51" t="s">
        <v>162</v>
      </c>
      <c r="AE36" s="57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spans="1:41" ht="30" x14ac:dyDescent="0.25">
      <c r="A37" s="62" t="s">
        <v>66</v>
      </c>
      <c r="B37" s="62" t="s">
        <v>2308</v>
      </c>
      <c r="C37" s="62" t="s">
        <v>2309</v>
      </c>
      <c r="D37" s="62" t="s">
        <v>2310</v>
      </c>
      <c r="E37" s="62" t="s">
        <v>889</v>
      </c>
      <c r="F37" s="62">
        <v>9</v>
      </c>
      <c r="G37" s="62" t="s">
        <v>13</v>
      </c>
      <c r="H37" s="62">
        <v>16</v>
      </c>
      <c r="I37" s="62">
        <f t="shared" si="0"/>
        <v>144</v>
      </c>
      <c r="J37" s="51">
        <f t="shared" si="11"/>
        <v>64</v>
      </c>
      <c r="K37" s="51">
        <f t="shared" si="1"/>
        <v>64</v>
      </c>
      <c r="L37" s="51">
        <f t="shared" si="2"/>
        <v>12307</v>
      </c>
      <c r="M37" s="51">
        <f t="shared" si="3"/>
        <v>101</v>
      </c>
      <c r="N37" s="51" t="b">
        <f t="shared" si="20"/>
        <v>0</v>
      </c>
      <c r="O37" s="51" t="b">
        <f t="shared" si="21"/>
        <v>1</v>
      </c>
      <c r="P37" s="51" t="str">
        <f t="shared" si="4"/>
        <v>ct-9</v>
      </c>
      <c r="Q37" s="52" t="str">
        <f t="shared" si="5"/>
        <v>16C001231</v>
      </c>
      <c r="R37" s="51" t="b">
        <f t="shared" si="6"/>
        <v>0</v>
      </c>
      <c r="S37" s="51"/>
      <c r="T37" s="51" t="str">
        <f t="shared" si="7"/>
        <v>CT</v>
      </c>
      <c r="U37" s="51" t="str">
        <f t="shared" si="8"/>
        <v>ct</v>
      </c>
      <c r="V37" s="51">
        <f t="shared" si="9"/>
        <v>1</v>
      </c>
      <c r="W37" s="51" t="str">
        <f t="shared" si="22"/>
        <v>P027 9</v>
      </c>
      <c r="X37" s="51" t="str">
        <f t="shared" si="23"/>
        <v>CT</v>
      </c>
      <c r="Y37" s="51" t="str">
        <f t="shared" si="24"/>
        <v>16C</v>
      </c>
      <c r="Z37" s="51" t="str">
        <f t="shared" si="25"/>
        <v>UE</v>
      </c>
      <c r="AA37" s="51">
        <f t="shared" si="26"/>
        <v>4</v>
      </c>
      <c r="AB37" s="51">
        <f t="shared" si="27"/>
        <v>9</v>
      </c>
      <c r="AC37" s="53"/>
      <c r="AD37" s="51" t="s">
        <v>162</v>
      </c>
      <c r="AE37" s="57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spans="1:41" ht="30" x14ac:dyDescent="0.25">
      <c r="A38" s="62" t="s">
        <v>116</v>
      </c>
      <c r="B38" s="62" t="s">
        <v>2311</v>
      </c>
      <c r="C38" s="62" t="s">
        <v>2312</v>
      </c>
      <c r="D38" s="62" t="s">
        <v>378</v>
      </c>
      <c r="E38" s="62" t="s">
        <v>1899</v>
      </c>
      <c r="F38" s="62">
        <v>8</v>
      </c>
      <c r="G38" s="62" t="s">
        <v>13</v>
      </c>
      <c r="H38" s="62">
        <v>33</v>
      </c>
      <c r="I38" s="62">
        <f t="shared" si="0"/>
        <v>264</v>
      </c>
      <c r="J38" s="51">
        <f t="shared" si="11"/>
        <v>12</v>
      </c>
      <c r="K38" s="51">
        <f t="shared" si="1"/>
        <v>12</v>
      </c>
      <c r="L38" s="51">
        <f t="shared" si="2"/>
        <v>12307</v>
      </c>
      <c r="M38" s="51">
        <f t="shared" si="3"/>
        <v>101</v>
      </c>
      <c r="N38" s="51" t="b">
        <f t="shared" si="20"/>
        <v>0</v>
      </c>
      <c r="O38" s="51" t="b">
        <f t="shared" si="21"/>
        <v>1</v>
      </c>
      <c r="P38" s="51" t="str">
        <f t="shared" si="4"/>
        <v>ct-8</v>
      </c>
      <c r="Q38" s="52" t="str">
        <f t="shared" si="5"/>
        <v>33C000892</v>
      </c>
      <c r="R38" s="51" t="b">
        <f t="shared" si="6"/>
        <v>0</v>
      </c>
      <c r="S38" s="51"/>
      <c r="T38" s="51" t="str">
        <f t="shared" si="7"/>
        <v>CT</v>
      </c>
      <c r="U38" s="51" t="str">
        <f t="shared" si="8"/>
        <v>ct</v>
      </c>
      <c r="V38" s="51">
        <f t="shared" si="9"/>
        <v>1</v>
      </c>
      <c r="W38" s="51" t="str">
        <f t="shared" si="22"/>
        <v>P013 8</v>
      </c>
      <c r="X38" s="51" t="str">
        <f t="shared" si="23"/>
        <v>CT</v>
      </c>
      <c r="Y38" s="51" t="str">
        <f t="shared" si="24"/>
        <v>33C</v>
      </c>
      <c r="Z38" s="51" t="str">
        <f t="shared" si="25"/>
        <v>UE</v>
      </c>
      <c r="AA38" s="51">
        <f t="shared" si="26"/>
        <v>4</v>
      </c>
      <c r="AB38" s="51">
        <f t="shared" si="27"/>
        <v>9</v>
      </c>
      <c r="AC38" s="53"/>
      <c r="AD38" s="51" t="s">
        <v>162</v>
      </c>
      <c r="AE38" s="57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spans="1:41" ht="30" x14ac:dyDescent="0.25">
      <c r="A39" s="62" t="s">
        <v>218</v>
      </c>
      <c r="B39" s="62" t="s">
        <v>2313</v>
      </c>
      <c r="C39" s="62" t="s">
        <v>2314</v>
      </c>
      <c r="D39" s="62" t="s">
        <v>574</v>
      </c>
      <c r="E39" s="62" t="s">
        <v>2315</v>
      </c>
      <c r="F39" s="62">
        <v>8</v>
      </c>
      <c r="G39" s="62" t="s">
        <v>402</v>
      </c>
      <c r="H39" s="62">
        <v>20</v>
      </c>
      <c r="I39" s="62">
        <f t="shared" si="0"/>
        <v>160</v>
      </c>
      <c r="J39" s="51">
        <f t="shared" si="11"/>
        <v>50.5</v>
      </c>
      <c r="K39" s="51">
        <f t="shared" si="1"/>
        <v>48</v>
      </c>
      <c r="L39" s="51">
        <f t="shared" si="2"/>
        <v>576</v>
      </c>
      <c r="M39" s="51">
        <f t="shared" si="3"/>
        <v>5</v>
      </c>
      <c r="N39" s="51" t="b">
        <f t="shared" si="20"/>
        <v>0</v>
      </c>
      <c r="O39" s="51" t="b">
        <f t="shared" si="21"/>
        <v>1</v>
      </c>
      <c r="P39" s="51" t="str">
        <f t="shared" si="4"/>
        <v>pack-8</v>
      </c>
      <c r="Q39" s="52" t="str">
        <f t="shared" si="5"/>
        <v>20C001053</v>
      </c>
      <c r="R39" s="51" t="b">
        <f t="shared" si="6"/>
        <v>0</v>
      </c>
      <c r="S39" s="51"/>
      <c r="T39" s="51" t="str">
        <f t="shared" si="7"/>
        <v>PACK</v>
      </c>
      <c r="U39" s="51" t="str">
        <f t="shared" si="8"/>
        <v>pack</v>
      </c>
      <c r="V39" s="51">
        <f t="shared" si="9"/>
        <v>1</v>
      </c>
      <c r="W39" s="51" t="str">
        <f t="shared" si="22"/>
        <v>P002 8</v>
      </c>
      <c r="X39" s="51" t="str">
        <f t="shared" si="23"/>
        <v>PACK</v>
      </c>
      <c r="Y39" s="51" t="str">
        <f t="shared" si="24"/>
        <v>20C</v>
      </c>
      <c r="Z39" s="51" t="str">
        <f t="shared" si="25"/>
        <v>UE</v>
      </c>
      <c r="AA39" s="51">
        <f t="shared" si="26"/>
        <v>2</v>
      </c>
      <c r="AB39" s="51">
        <f t="shared" si="27"/>
        <v>9</v>
      </c>
      <c r="AC39" s="53"/>
      <c r="AD39" s="51" t="s">
        <v>162</v>
      </c>
      <c r="AE39" s="57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spans="1:41" ht="30" x14ac:dyDescent="0.25">
      <c r="A40" s="62" t="s">
        <v>459</v>
      </c>
      <c r="B40" s="62" t="s">
        <v>2316</v>
      </c>
      <c r="C40" s="62" t="s">
        <v>2317</v>
      </c>
      <c r="D40" s="62" t="s">
        <v>1796</v>
      </c>
      <c r="E40" s="62" t="s">
        <v>2318</v>
      </c>
      <c r="F40" s="62">
        <v>10</v>
      </c>
      <c r="G40" s="62" t="s">
        <v>13</v>
      </c>
      <c r="H40" s="62">
        <v>15</v>
      </c>
      <c r="I40" s="62">
        <f t="shared" si="0"/>
        <v>150</v>
      </c>
      <c r="J40" s="51">
        <f t="shared" si="11"/>
        <v>61.5</v>
      </c>
      <c r="K40" s="51">
        <f t="shared" si="1"/>
        <v>61</v>
      </c>
      <c r="L40" s="51">
        <f t="shared" si="2"/>
        <v>12307</v>
      </c>
      <c r="M40" s="51">
        <f t="shared" si="3"/>
        <v>101</v>
      </c>
      <c r="N40" s="51" t="b">
        <f t="shared" si="20"/>
        <v>0</v>
      </c>
      <c r="O40" s="51" t="b">
        <f t="shared" si="21"/>
        <v>1</v>
      </c>
      <c r="P40" s="51" t="str">
        <f t="shared" si="4"/>
        <v>ct-10</v>
      </c>
      <c r="Q40" s="52" t="str">
        <f t="shared" si="5"/>
        <v>15C007468</v>
      </c>
      <c r="R40" s="51" t="b">
        <f t="shared" si="6"/>
        <v>0</v>
      </c>
      <c r="S40" s="51"/>
      <c r="T40" s="51" t="str">
        <f t="shared" si="7"/>
        <v>CT</v>
      </c>
      <c r="U40" s="51" t="str">
        <f t="shared" si="8"/>
        <v>ct</v>
      </c>
      <c r="V40" s="51">
        <f t="shared" si="9"/>
        <v>1</v>
      </c>
      <c r="W40" s="51" t="str">
        <f t="shared" si="22"/>
        <v>P038 10</v>
      </c>
      <c r="X40" s="51" t="str">
        <f t="shared" si="23"/>
        <v>CT</v>
      </c>
      <c r="Y40" s="51" t="str">
        <f t="shared" si="24"/>
        <v>15C</v>
      </c>
      <c r="Z40" s="51" t="str">
        <f t="shared" si="25"/>
        <v>UE</v>
      </c>
      <c r="AA40" s="51">
        <f t="shared" si="26"/>
        <v>4</v>
      </c>
      <c r="AB40" s="51">
        <f t="shared" si="27"/>
        <v>9</v>
      </c>
      <c r="AC40" s="53"/>
      <c r="AD40" s="51" t="s">
        <v>116</v>
      </c>
      <c r="AE40" s="57"/>
      <c r="AF40" s="53"/>
      <c r="AG40" s="53"/>
      <c r="AH40" s="53"/>
      <c r="AI40" s="53"/>
      <c r="AJ40" s="53"/>
      <c r="AK40" s="53"/>
      <c r="AL40" s="53"/>
      <c r="AM40" s="53"/>
      <c r="AN40" s="53"/>
      <c r="AO40" s="53"/>
    </row>
    <row r="41" spans="1:41" ht="30" x14ac:dyDescent="0.25">
      <c r="A41" s="62" t="s">
        <v>14</v>
      </c>
      <c r="B41" s="62" t="s">
        <v>2319</v>
      </c>
      <c r="C41" s="62" t="s">
        <v>2320</v>
      </c>
      <c r="D41" s="62" t="s">
        <v>277</v>
      </c>
      <c r="E41" s="62" t="s">
        <v>2321</v>
      </c>
      <c r="F41" s="62">
        <v>1</v>
      </c>
      <c r="G41" s="62" t="s">
        <v>13</v>
      </c>
      <c r="H41" s="62">
        <v>15</v>
      </c>
      <c r="I41" s="62">
        <f t="shared" si="0"/>
        <v>15</v>
      </c>
      <c r="J41" s="51">
        <f t="shared" si="11"/>
        <v>232.5</v>
      </c>
      <c r="K41" s="51">
        <f t="shared" si="1"/>
        <v>232</v>
      </c>
      <c r="L41" s="51">
        <f t="shared" si="2"/>
        <v>12307</v>
      </c>
      <c r="M41" s="51">
        <f t="shared" si="3"/>
        <v>101</v>
      </c>
      <c r="N41" s="51" t="b">
        <f t="shared" si="20"/>
        <v>1</v>
      </c>
      <c r="O41" s="51" t="b">
        <f t="shared" si="21"/>
        <v>0</v>
      </c>
      <c r="P41" s="51" t="str">
        <f t="shared" si="4"/>
        <v>ct-1</v>
      </c>
      <c r="Q41" s="52" t="str">
        <f t="shared" si="5"/>
        <v>15C001299</v>
      </c>
      <c r="R41" s="51" t="b">
        <f t="shared" si="6"/>
        <v>0</v>
      </c>
      <c r="S41" s="51"/>
      <c r="T41" s="51" t="str">
        <f t="shared" si="7"/>
        <v>CT</v>
      </c>
      <c r="U41" s="51" t="str">
        <f t="shared" si="8"/>
        <v>ct</v>
      </c>
      <c r="V41" s="51">
        <f t="shared" si="9"/>
        <v>1</v>
      </c>
      <c r="W41" s="51" t="str">
        <f t="shared" si="22"/>
        <v>P022 1</v>
      </c>
      <c r="X41" s="51" t="str">
        <f t="shared" si="23"/>
        <v>CT</v>
      </c>
      <c r="Y41" s="51" t="str">
        <f t="shared" si="24"/>
        <v>15C</v>
      </c>
      <c r="Z41" s="51" t="str">
        <f t="shared" si="25"/>
        <v>SE</v>
      </c>
      <c r="AA41" s="51">
        <f t="shared" si="26"/>
        <v>4</v>
      </c>
      <c r="AB41" s="51">
        <f t="shared" si="27"/>
        <v>9</v>
      </c>
      <c r="AC41" s="53"/>
      <c r="AD41" s="51" t="s">
        <v>116</v>
      </c>
      <c r="AE41" s="57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spans="1:41" ht="30" x14ac:dyDescent="0.25">
      <c r="A42" s="62" t="s">
        <v>168</v>
      </c>
      <c r="B42" s="62" t="s">
        <v>2322</v>
      </c>
      <c r="C42" s="62" t="s">
        <v>2323</v>
      </c>
      <c r="D42" s="62" t="s">
        <v>421</v>
      </c>
      <c r="E42" s="62" t="s">
        <v>837</v>
      </c>
      <c r="F42" s="62">
        <v>10</v>
      </c>
      <c r="G42" s="62" t="s">
        <v>60</v>
      </c>
      <c r="H42" s="62">
        <v>22</v>
      </c>
      <c r="I42" s="62">
        <f t="shared" si="0"/>
        <v>220</v>
      </c>
      <c r="J42" s="51">
        <f t="shared" si="11"/>
        <v>21.5</v>
      </c>
      <c r="K42" s="51">
        <f t="shared" si="1"/>
        <v>21</v>
      </c>
      <c r="L42" s="51">
        <f t="shared" si="2"/>
        <v>3427</v>
      </c>
      <c r="M42" s="51">
        <f t="shared" si="3"/>
        <v>31</v>
      </c>
      <c r="N42" s="51" t="b">
        <f t="shared" si="20"/>
        <v>0</v>
      </c>
      <c r="O42" s="51" t="b">
        <f t="shared" si="21"/>
        <v>1</v>
      </c>
      <c r="P42" s="51" t="str">
        <f t="shared" si="4"/>
        <v>bottles-10</v>
      </c>
      <c r="Q42" s="52" t="str">
        <f t="shared" si="5"/>
        <v>22C004015</v>
      </c>
      <c r="R42" s="51" t="b">
        <f t="shared" si="6"/>
        <v>0</v>
      </c>
      <c r="S42" s="51"/>
      <c r="T42" s="51" t="str">
        <f t="shared" si="7"/>
        <v>BOTTLES</v>
      </c>
      <c r="U42" s="51" t="str">
        <f t="shared" si="8"/>
        <v>bottles</v>
      </c>
      <c r="V42" s="51">
        <f t="shared" si="9"/>
        <v>1</v>
      </c>
      <c r="W42" s="51" t="str">
        <f t="shared" si="22"/>
        <v>P017 10</v>
      </c>
      <c r="X42" s="51" t="str">
        <f t="shared" si="23"/>
        <v>BOTTLES</v>
      </c>
      <c r="Y42" s="51" t="str">
        <f t="shared" si="24"/>
        <v>22C</v>
      </c>
      <c r="Z42" s="51" t="str">
        <f t="shared" si="25"/>
        <v>UE</v>
      </c>
      <c r="AA42" s="51">
        <f t="shared" si="26"/>
        <v>4</v>
      </c>
      <c r="AB42" s="51">
        <f t="shared" si="27"/>
        <v>9</v>
      </c>
      <c r="AC42" s="53"/>
      <c r="AD42" s="51" t="s">
        <v>116</v>
      </c>
      <c r="AE42" s="57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spans="1:41" ht="30" x14ac:dyDescent="0.25">
      <c r="A43" s="62" t="s">
        <v>162</v>
      </c>
      <c r="B43" s="62" t="s">
        <v>2324</v>
      </c>
      <c r="C43" s="62" t="s">
        <v>2325</v>
      </c>
      <c r="D43" s="62" t="s">
        <v>620</v>
      </c>
      <c r="E43" s="62" t="s">
        <v>425</v>
      </c>
      <c r="F43" s="62">
        <v>3</v>
      </c>
      <c r="G43" s="62" t="s">
        <v>13</v>
      </c>
      <c r="H43" s="62">
        <v>12</v>
      </c>
      <c r="I43" s="62">
        <f t="shared" si="0"/>
        <v>36</v>
      </c>
      <c r="J43" s="51">
        <f t="shared" si="11"/>
        <v>183.5</v>
      </c>
      <c r="K43" s="51">
        <f t="shared" si="1"/>
        <v>183</v>
      </c>
      <c r="L43" s="51">
        <f t="shared" si="2"/>
        <v>12307</v>
      </c>
      <c r="M43" s="51">
        <f t="shared" si="3"/>
        <v>101</v>
      </c>
      <c r="N43" s="51" t="b">
        <f t="shared" si="20"/>
        <v>1</v>
      </c>
      <c r="O43" s="51" t="b">
        <f t="shared" si="21"/>
        <v>0</v>
      </c>
      <c r="P43" s="51" t="str">
        <f t="shared" si="4"/>
        <v>ct-3</v>
      </c>
      <c r="Q43" s="52" t="str">
        <f t="shared" si="5"/>
        <v>12C004950</v>
      </c>
      <c r="R43" s="51" t="b">
        <f t="shared" si="6"/>
        <v>0</v>
      </c>
      <c r="S43" s="51"/>
      <c r="T43" s="51" t="str">
        <f t="shared" si="7"/>
        <v>CT</v>
      </c>
      <c r="U43" s="51" t="str">
        <f t="shared" si="8"/>
        <v>ct</v>
      </c>
      <c r="V43" s="51">
        <f t="shared" si="9"/>
        <v>1</v>
      </c>
      <c r="W43" s="51" t="str">
        <f t="shared" si="22"/>
        <v>P012 3</v>
      </c>
      <c r="X43" s="51" t="str">
        <f t="shared" si="23"/>
        <v>CT</v>
      </c>
      <c r="Y43" s="51" t="str">
        <f t="shared" si="24"/>
        <v>12C</v>
      </c>
      <c r="Z43" s="51" t="str">
        <f t="shared" si="25"/>
        <v>SE</v>
      </c>
      <c r="AA43" s="51">
        <f t="shared" si="26"/>
        <v>4</v>
      </c>
      <c r="AB43" s="51">
        <f t="shared" si="27"/>
        <v>9</v>
      </c>
      <c r="AC43" s="53"/>
      <c r="AD43" s="51" t="s">
        <v>30</v>
      </c>
      <c r="AE43" s="57"/>
      <c r="AF43" s="53"/>
      <c r="AG43" s="53"/>
      <c r="AH43" s="53"/>
      <c r="AI43" s="53"/>
      <c r="AJ43" s="53"/>
      <c r="AK43" s="53"/>
      <c r="AL43" s="53"/>
      <c r="AM43" s="53"/>
      <c r="AN43" s="53"/>
      <c r="AO43" s="53"/>
    </row>
    <row r="44" spans="1:41" ht="30" x14ac:dyDescent="0.25">
      <c r="A44" s="62" t="s">
        <v>146</v>
      </c>
      <c r="B44" s="62" t="s">
        <v>2326</v>
      </c>
      <c r="C44" s="62" t="s">
        <v>2327</v>
      </c>
      <c r="D44" s="62" t="s">
        <v>616</v>
      </c>
      <c r="E44" s="62" t="s">
        <v>2328</v>
      </c>
      <c r="F44" s="62">
        <v>10</v>
      </c>
      <c r="G44" s="62" t="s">
        <v>13</v>
      </c>
      <c r="H44" s="62">
        <v>18</v>
      </c>
      <c r="I44" s="62">
        <f t="shared" si="0"/>
        <v>180</v>
      </c>
      <c r="J44" s="51">
        <f t="shared" si="11"/>
        <v>36.5</v>
      </c>
      <c r="K44" s="51">
        <f t="shared" si="1"/>
        <v>36</v>
      </c>
      <c r="L44" s="51">
        <f t="shared" si="2"/>
        <v>12307</v>
      </c>
      <c r="M44" s="51">
        <f t="shared" si="3"/>
        <v>101</v>
      </c>
      <c r="N44" s="51" t="b">
        <f t="shared" si="20"/>
        <v>0</v>
      </c>
      <c r="O44" s="51" t="b">
        <f t="shared" si="21"/>
        <v>1</v>
      </c>
      <c r="P44" s="51" t="str">
        <f t="shared" si="4"/>
        <v>ct-10</v>
      </c>
      <c r="Q44" s="52" t="str">
        <f t="shared" si="5"/>
        <v>18C006086</v>
      </c>
      <c r="R44" s="51" t="b">
        <f t="shared" si="6"/>
        <v>0</v>
      </c>
      <c r="S44" s="51"/>
      <c r="T44" s="51" t="str">
        <f t="shared" si="7"/>
        <v>CT</v>
      </c>
      <c r="U44" s="51" t="str">
        <f t="shared" si="8"/>
        <v>ct</v>
      </c>
      <c r="V44" s="51">
        <f t="shared" si="9"/>
        <v>1</v>
      </c>
      <c r="W44" s="51" t="str">
        <f t="shared" si="22"/>
        <v>P010 10</v>
      </c>
      <c r="X44" s="51" t="str">
        <f t="shared" si="23"/>
        <v>CT</v>
      </c>
      <c r="Y44" s="51" t="str">
        <f t="shared" si="24"/>
        <v>18C</v>
      </c>
      <c r="Z44" s="51" t="str">
        <f t="shared" si="25"/>
        <v>UE</v>
      </c>
      <c r="AA44" s="51">
        <f t="shared" si="26"/>
        <v>4</v>
      </c>
      <c r="AB44" s="51">
        <f t="shared" si="27"/>
        <v>9</v>
      </c>
      <c r="AC44" s="53"/>
      <c r="AD44" s="51" t="s">
        <v>30</v>
      </c>
      <c r="AE44" s="57"/>
      <c r="AF44" s="53"/>
      <c r="AG44" s="53"/>
      <c r="AH44" s="53"/>
      <c r="AI44" s="53"/>
      <c r="AJ44" s="53"/>
      <c r="AK44" s="53"/>
      <c r="AL44" s="53"/>
      <c r="AM44" s="53"/>
      <c r="AN44" s="53"/>
      <c r="AO44" s="53"/>
    </row>
    <row r="45" spans="1:41" ht="30" x14ac:dyDescent="0.25">
      <c r="A45" s="62" t="s">
        <v>125</v>
      </c>
      <c r="B45" s="62" t="s">
        <v>2329</v>
      </c>
      <c r="C45" s="62" t="s">
        <v>2330</v>
      </c>
      <c r="D45" s="62" t="s">
        <v>975</v>
      </c>
      <c r="E45" s="62" t="s">
        <v>1850</v>
      </c>
      <c r="F45" s="62">
        <v>1</v>
      </c>
      <c r="G45" s="62" t="s">
        <v>13</v>
      </c>
      <c r="H45" s="62">
        <v>17</v>
      </c>
      <c r="I45" s="62">
        <f t="shared" si="0"/>
        <v>17</v>
      </c>
      <c r="J45" s="51">
        <f t="shared" si="11"/>
        <v>223.5</v>
      </c>
      <c r="K45" s="51">
        <f t="shared" si="1"/>
        <v>223</v>
      </c>
      <c r="L45" s="51">
        <f t="shared" si="2"/>
        <v>12307</v>
      </c>
      <c r="M45" s="51">
        <f t="shared" si="3"/>
        <v>101</v>
      </c>
      <c r="N45" s="51" t="b">
        <f t="shared" si="20"/>
        <v>1</v>
      </c>
      <c r="O45" s="51" t="b">
        <f t="shared" si="21"/>
        <v>0</v>
      </c>
      <c r="P45" s="51" t="str">
        <f t="shared" si="4"/>
        <v>ct-1</v>
      </c>
      <c r="Q45" s="52" t="str">
        <f t="shared" si="5"/>
        <v>17C000156</v>
      </c>
      <c r="R45" s="51" t="b">
        <f t="shared" si="6"/>
        <v>0</v>
      </c>
      <c r="S45" s="51"/>
      <c r="T45" s="51" t="str">
        <f t="shared" si="7"/>
        <v>CT</v>
      </c>
      <c r="U45" s="51" t="str">
        <f t="shared" si="8"/>
        <v>ct</v>
      </c>
      <c r="V45" s="51">
        <f t="shared" si="9"/>
        <v>1</v>
      </c>
      <c r="W45" s="51" t="str">
        <f t="shared" si="22"/>
        <v>P028 1</v>
      </c>
      <c r="X45" s="51" t="str">
        <f t="shared" si="23"/>
        <v>CT</v>
      </c>
      <c r="Y45" s="51" t="str">
        <f t="shared" si="24"/>
        <v>17C</v>
      </c>
      <c r="Z45" s="51" t="str">
        <f t="shared" si="25"/>
        <v>SE</v>
      </c>
      <c r="AA45" s="51">
        <f t="shared" si="26"/>
        <v>4</v>
      </c>
      <c r="AB45" s="51">
        <f t="shared" si="27"/>
        <v>9</v>
      </c>
      <c r="AC45" s="53"/>
      <c r="AD45" s="51" t="s">
        <v>30</v>
      </c>
      <c r="AE45" s="57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 spans="1:41" ht="30" x14ac:dyDescent="0.25">
      <c r="A46" s="62" t="s">
        <v>187</v>
      </c>
      <c r="B46" s="62" t="s">
        <v>2331</v>
      </c>
      <c r="C46" s="62" t="s">
        <v>2332</v>
      </c>
      <c r="D46" s="62" t="s">
        <v>1522</v>
      </c>
      <c r="E46" s="62" t="s">
        <v>2219</v>
      </c>
      <c r="F46" s="62">
        <v>4</v>
      </c>
      <c r="G46" s="62" t="s">
        <v>13</v>
      </c>
      <c r="H46" s="62">
        <v>16</v>
      </c>
      <c r="I46" s="62">
        <f t="shared" si="0"/>
        <v>64</v>
      </c>
      <c r="J46" s="51">
        <f t="shared" si="11"/>
        <v>154.5</v>
      </c>
      <c r="K46" s="51">
        <f t="shared" si="1"/>
        <v>154</v>
      </c>
      <c r="L46" s="51">
        <f t="shared" si="2"/>
        <v>12307</v>
      </c>
      <c r="M46" s="51">
        <f t="shared" si="3"/>
        <v>101</v>
      </c>
      <c r="N46" s="51" t="b">
        <f t="shared" si="20"/>
        <v>1</v>
      </c>
      <c r="O46" s="51" t="b">
        <f t="shared" si="21"/>
        <v>0</v>
      </c>
      <c r="P46" s="51" t="str">
        <f t="shared" si="4"/>
        <v>ct-4</v>
      </c>
      <c r="Q46" s="52" t="str">
        <f t="shared" si="5"/>
        <v>16C006694</v>
      </c>
      <c r="R46" s="51" t="b">
        <f t="shared" si="6"/>
        <v>0</v>
      </c>
      <c r="S46" s="51"/>
      <c r="T46" s="51" t="str">
        <f t="shared" si="7"/>
        <v>CT</v>
      </c>
      <c r="U46" s="51" t="str">
        <f t="shared" si="8"/>
        <v>ct</v>
      </c>
      <c r="V46" s="51">
        <f t="shared" si="9"/>
        <v>1</v>
      </c>
      <c r="W46" s="51" t="str">
        <f t="shared" si="22"/>
        <v>P029 4</v>
      </c>
      <c r="X46" s="51" t="str">
        <f t="shared" si="23"/>
        <v>CT</v>
      </c>
      <c r="Y46" s="51" t="str">
        <f t="shared" si="24"/>
        <v>16C</v>
      </c>
      <c r="Z46" s="51" t="str">
        <f t="shared" si="25"/>
        <v>SE</v>
      </c>
      <c r="AA46" s="51">
        <f t="shared" si="26"/>
        <v>4</v>
      </c>
      <c r="AB46" s="51">
        <f t="shared" si="27"/>
        <v>9</v>
      </c>
      <c r="AC46" s="53"/>
      <c r="AD46" s="51" t="s">
        <v>30</v>
      </c>
      <c r="AE46" s="57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spans="1:41" ht="30" x14ac:dyDescent="0.25">
      <c r="A47" s="62" t="s">
        <v>339</v>
      </c>
      <c r="B47" s="62" t="s">
        <v>2333</v>
      </c>
      <c r="C47" s="62" t="s">
        <v>2334</v>
      </c>
      <c r="D47" s="62" t="s">
        <v>797</v>
      </c>
      <c r="E47" s="62" t="s">
        <v>1805</v>
      </c>
      <c r="F47" s="62">
        <v>7</v>
      </c>
      <c r="G47" s="62" t="s">
        <v>13</v>
      </c>
      <c r="H47" s="62">
        <v>14</v>
      </c>
      <c r="I47" s="62">
        <f t="shared" si="0"/>
        <v>98</v>
      </c>
      <c r="J47" s="51">
        <f t="shared" si="11"/>
        <v>108</v>
      </c>
      <c r="K47" s="51">
        <f t="shared" si="1"/>
        <v>108</v>
      </c>
      <c r="L47" s="51">
        <f t="shared" si="2"/>
        <v>12307</v>
      </c>
      <c r="M47" s="51">
        <f t="shared" si="3"/>
        <v>101</v>
      </c>
      <c r="N47" s="51" t="b">
        <f t="shared" si="20"/>
        <v>1</v>
      </c>
      <c r="O47" s="51" t="b">
        <f t="shared" si="21"/>
        <v>0</v>
      </c>
      <c r="P47" s="51" t="str">
        <f t="shared" si="4"/>
        <v>ct-7</v>
      </c>
      <c r="Q47" s="52" t="str">
        <f t="shared" si="5"/>
        <v>14C007367</v>
      </c>
      <c r="R47" s="51" t="b">
        <f t="shared" si="6"/>
        <v>0</v>
      </c>
      <c r="S47" s="51"/>
      <c r="T47" s="51" t="str">
        <f t="shared" si="7"/>
        <v>CT</v>
      </c>
      <c r="U47" s="51" t="str">
        <f t="shared" si="8"/>
        <v>ct</v>
      </c>
      <c r="V47" s="51">
        <f t="shared" si="9"/>
        <v>1</v>
      </c>
      <c r="W47" s="51" t="str">
        <f t="shared" si="22"/>
        <v>P037 7</v>
      </c>
      <c r="X47" s="51" t="str">
        <f t="shared" si="23"/>
        <v>CT</v>
      </c>
      <c r="Y47" s="51" t="str">
        <f t="shared" si="24"/>
        <v>14C</v>
      </c>
      <c r="Z47" s="51" t="str">
        <f t="shared" si="25"/>
        <v>SE</v>
      </c>
      <c r="AA47" s="51">
        <f t="shared" si="26"/>
        <v>4</v>
      </c>
      <c r="AB47" s="51">
        <f t="shared" si="27"/>
        <v>9</v>
      </c>
      <c r="AC47" s="53"/>
      <c r="AD47" s="51" t="s">
        <v>30</v>
      </c>
      <c r="AE47" s="57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spans="1:41" ht="30" x14ac:dyDescent="0.25">
      <c r="A48" s="62" t="s">
        <v>82</v>
      </c>
      <c r="B48" s="62" t="s">
        <v>2335</v>
      </c>
      <c r="C48" s="62" t="s">
        <v>2336</v>
      </c>
      <c r="D48" s="62" t="s">
        <v>846</v>
      </c>
      <c r="E48" s="62" t="s">
        <v>1851</v>
      </c>
      <c r="F48" s="62">
        <v>1</v>
      </c>
      <c r="G48" s="62" t="s">
        <v>60</v>
      </c>
      <c r="H48" s="62">
        <v>23</v>
      </c>
      <c r="I48" s="62">
        <f t="shared" si="0"/>
        <v>23</v>
      </c>
      <c r="J48" s="51">
        <f t="shared" si="11"/>
        <v>211.5</v>
      </c>
      <c r="K48" s="51">
        <f t="shared" si="1"/>
        <v>211</v>
      </c>
      <c r="L48" s="51">
        <f t="shared" si="2"/>
        <v>3427</v>
      </c>
      <c r="M48" s="51">
        <f t="shared" si="3"/>
        <v>31</v>
      </c>
      <c r="N48" s="51" t="b">
        <f t="shared" si="20"/>
        <v>1</v>
      </c>
      <c r="O48" s="51" t="b">
        <f t="shared" si="21"/>
        <v>0</v>
      </c>
      <c r="P48" s="51" t="str">
        <f t="shared" si="4"/>
        <v>bottles-1</v>
      </c>
      <c r="Q48" s="52" t="str">
        <f t="shared" si="5"/>
        <v>23C006500</v>
      </c>
      <c r="R48" s="51" t="b">
        <f t="shared" si="6"/>
        <v>0</v>
      </c>
      <c r="S48" s="51"/>
      <c r="T48" s="51" t="str">
        <f t="shared" si="7"/>
        <v>BOTTLES</v>
      </c>
      <c r="U48" s="51" t="str">
        <f t="shared" si="8"/>
        <v>bottles</v>
      </c>
      <c r="V48" s="51">
        <f t="shared" si="9"/>
        <v>1</v>
      </c>
      <c r="W48" s="51" t="str">
        <f t="shared" si="22"/>
        <v>P018 1</v>
      </c>
      <c r="X48" s="51" t="str">
        <f t="shared" si="23"/>
        <v>BOTTLES</v>
      </c>
      <c r="Y48" s="51" t="str">
        <f t="shared" si="24"/>
        <v>23C</v>
      </c>
      <c r="Z48" s="51" t="str">
        <f t="shared" si="25"/>
        <v>SE</v>
      </c>
      <c r="AA48" s="51">
        <f t="shared" si="26"/>
        <v>4</v>
      </c>
      <c r="AB48" s="51">
        <f t="shared" si="27"/>
        <v>9</v>
      </c>
      <c r="AC48" s="53"/>
      <c r="AD48" s="51" t="s">
        <v>107</v>
      </c>
      <c r="AE48" s="57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spans="1:41" ht="30" x14ac:dyDescent="0.25">
      <c r="A49" s="62" t="s">
        <v>240</v>
      </c>
      <c r="B49" s="62" t="s">
        <v>880</v>
      </c>
      <c r="C49" s="62" t="s">
        <v>2337</v>
      </c>
      <c r="D49" s="62" t="s">
        <v>1881</v>
      </c>
      <c r="E49" s="62" t="s">
        <v>2338</v>
      </c>
      <c r="F49" s="62">
        <v>11</v>
      </c>
      <c r="G49" s="62" t="s">
        <v>106</v>
      </c>
      <c r="H49" s="62">
        <v>17</v>
      </c>
      <c r="I49" s="62">
        <f t="shared" si="0"/>
        <v>187</v>
      </c>
      <c r="J49" s="51">
        <f t="shared" si="11"/>
        <v>31.5</v>
      </c>
      <c r="K49" s="51">
        <f t="shared" si="1"/>
        <v>31</v>
      </c>
      <c r="L49" s="51">
        <f t="shared" si="2"/>
        <v>1357</v>
      </c>
      <c r="M49" s="51">
        <f t="shared" si="3"/>
        <v>14</v>
      </c>
      <c r="N49" s="51" t="b">
        <f t="shared" si="20"/>
        <v>0</v>
      </c>
      <c r="O49" s="51" t="b">
        <f t="shared" si="21"/>
        <v>1</v>
      </c>
      <c r="P49" s="51" t="str">
        <f t="shared" si="4"/>
        <v>bags-11</v>
      </c>
      <c r="Q49" s="52" t="str">
        <f t="shared" si="5"/>
        <v>17C007540</v>
      </c>
      <c r="R49" s="51" t="b">
        <f t="shared" si="6"/>
        <v>0</v>
      </c>
      <c r="S49" s="51"/>
      <c r="T49" s="51" t="str">
        <f t="shared" si="7"/>
        <v>BAGS</v>
      </c>
      <c r="U49" s="51" t="str">
        <f t="shared" si="8"/>
        <v>bags</v>
      </c>
      <c r="V49" s="51">
        <f t="shared" si="9"/>
        <v>1</v>
      </c>
      <c r="W49" s="51" t="str">
        <f t="shared" si="22"/>
        <v>P024 11</v>
      </c>
      <c r="X49" s="51" t="str">
        <f t="shared" si="23"/>
        <v>BAGS</v>
      </c>
      <c r="Y49" s="51" t="str">
        <f t="shared" si="24"/>
        <v>17C</v>
      </c>
      <c r="Z49" s="51" t="str">
        <f t="shared" si="25"/>
        <v>UE</v>
      </c>
      <c r="AA49" s="51">
        <f t="shared" si="26"/>
        <v>4</v>
      </c>
      <c r="AB49" s="51">
        <f t="shared" si="27"/>
        <v>9</v>
      </c>
      <c r="AC49" s="53"/>
      <c r="AD49" s="51" t="s">
        <v>107</v>
      </c>
      <c r="AE49" s="57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spans="1:41" ht="30" x14ac:dyDescent="0.25">
      <c r="A50" s="62" t="s">
        <v>523</v>
      </c>
      <c r="B50" s="62" t="s">
        <v>2339</v>
      </c>
      <c r="C50" s="62" t="s">
        <v>2340</v>
      </c>
      <c r="D50" s="62" t="s">
        <v>990</v>
      </c>
      <c r="E50" s="62" t="s">
        <v>611</v>
      </c>
      <c r="F50" s="62">
        <v>6</v>
      </c>
      <c r="G50" s="62" t="s">
        <v>407</v>
      </c>
      <c r="H50" s="62">
        <v>12.5</v>
      </c>
      <c r="I50" s="62">
        <f t="shared" si="0"/>
        <v>75</v>
      </c>
      <c r="J50" s="51">
        <f t="shared" si="11"/>
        <v>134.5</v>
      </c>
      <c r="K50" s="51">
        <f t="shared" si="1"/>
        <v>134</v>
      </c>
      <c r="L50" s="51">
        <f t="shared" si="2"/>
        <v>801.5</v>
      </c>
      <c r="M50" s="51">
        <f t="shared" si="3"/>
        <v>10</v>
      </c>
      <c r="N50" s="51" t="b">
        <f t="shared" si="20"/>
        <v>1</v>
      </c>
      <c r="O50" s="51" t="b">
        <f t="shared" si="21"/>
        <v>0</v>
      </c>
      <c r="P50" s="51" t="str">
        <f t="shared" si="4"/>
        <v>pk-6</v>
      </c>
      <c r="Q50" s="52" t="str">
        <f t="shared" si="5"/>
        <v>12.5C003793</v>
      </c>
      <c r="R50" s="51" t="b">
        <f t="shared" si="6"/>
        <v>0</v>
      </c>
      <c r="S50" s="51"/>
      <c r="T50" s="51" t="str">
        <f t="shared" si="7"/>
        <v>PK</v>
      </c>
      <c r="U50" s="51" t="str">
        <f t="shared" si="8"/>
        <v>pk</v>
      </c>
      <c r="V50" s="51">
        <f t="shared" si="9"/>
        <v>1</v>
      </c>
      <c r="W50" s="51" t="str">
        <f t="shared" si="22"/>
        <v>P005 6</v>
      </c>
      <c r="X50" s="51" t="str">
        <f t="shared" si="23"/>
        <v>PK</v>
      </c>
      <c r="Y50" s="51" t="str">
        <f t="shared" si="24"/>
        <v>12.</v>
      </c>
      <c r="Z50" s="51" t="str">
        <f t="shared" si="25"/>
        <v>SE</v>
      </c>
      <c r="AA50" s="51">
        <f t="shared" si="26"/>
        <v>6</v>
      </c>
      <c r="AB50" s="51">
        <f t="shared" si="27"/>
        <v>11</v>
      </c>
      <c r="AC50" s="53"/>
      <c r="AD50" s="51" t="s">
        <v>168</v>
      </c>
      <c r="AE50" s="57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spans="1:41" ht="30" x14ac:dyDescent="0.25">
      <c r="A51" s="62" t="s">
        <v>55</v>
      </c>
      <c r="B51" s="62" t="s">
        <v>439</v>
      </c>
      <c r="C51" s="62" t="s">
        <v>2341</v>
      </c>
      <c r="D51" s="62" t="s">
        <v>1876</v>
      </c>
      <c r="E51" s="62" t="s">
        <v>1836</v>
      </c>
      <c r="F51" s="62">
        <v>11</v>
      </c>
      <c r="G51" s="62" t="s">
        <v>13</v>
      </c>
      <c r="H51" s="62">
        <v>42</v>
      </c>
      <c r="I51" s="62">
        <f t="shared" si="0"/>
        <v>462</v>
      </c>
      <c r="J51" s="51">
        <f t="shared" si="11"/>
        <v>3</v>
      </c>
      <c r="K51" s="51">
        <f t="shared" si="1"/>
        <v>3</v>
      </c>
      <c r="L51" s="51">
        <f t="shared" si="2"/>
        <v>12307</v>
      </c>
      <c r="M51" s="51">
        <f t="shared" si="3"/>
        <v>101</v>
      </c>
      <c r="N51" s="51" t="b">
        <f t="shared" si="20"/>
        <v>0</v>
      </c>
      <c r="O51" s="51" t="b">
        <f t="shared" si="21"/>
        <v>1</v>
      </c>
      <c r="P51" s="51" t="str">
        <f t="shared" si="4"/>
        <v>ct-11</v>
      </c>
      <c r="Q51" s="52" t="str">
        <f t="shared" si="5"/>
        <v>42C000687</v>
      </c>
      <c r="R51" s="51" t="b">
        <f t="shared" si="6"/>
        <v>0</v>
      </c>
      <c r="S51" s="51"/>
      <c r="T51" s="51" t="str">
        <f t="shared" si="7"/>
        <v>CT</v>
      </c>
      <c r="U51" s="51" t="str">
        <f t="shared" si="8"/>
        <v>ct</v>
      </c>
      <c r="V51" s="51">
        <f t="shared" si="9"/>
        <v>1</v>
      </c>
      <c r="W51" s="51" t="str">
        <f t="shared" si="22"/>
        <v>P006 11</v>
      </c>
      <c r="X51" s="51" t="str">
        <f t="shared" si="23"/>
        <v>CT</v>
      </c>
      <c r="Y51" s="51" t="str">
        <f t="shared" si="24"/>
        <v>42C</v>
      </c>
      <c r="Z51" s="51" t="str">
        <f t="shared" si="25"/>
        <v>UE</v>
      </c>
      <c r="AA51" s="51">
        <f t="shared" si="26"/>
        <v>4</v>
      </c>
      <c r="AB51" s="51">
        <f t="shared" si="27"/>
        <v>9</v>
      </c>
      <c r="AC51" s="53"/>
      <c r="AD51" s="51" t="s">
        <v>168</v>
      </c>
      <c r="AE51" s="57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spans="1:41" ht="30" x14ac:dyDescent="0.25">
      <c r="A52" s="62" t="s">
        <v>162</v>
      </c>
      <c r="B52" s="62" t="s">
        <v>2342</v>
      </c>
      <c r="C52" s="62" t="s">
        <v>2343</v>
      </c>
      <c r="D52" s="62" t="s">
        <v>1717</v>
      </c>
      <c r="E52" s="62" t="s">
        <v>2182</v>
      </c>
      <c r="F52" s="62">
        <v>7</v>
      </c>
      <c r="G52" s="62" t="s">
        <v>60</v>
      </c>
      <c r="H52" s="62">
        <v>22</v>
      </c>
      <c r="I52" s="62">
        <f t="shared" si="0"/>
        <v>154</v>
      </c>
      <c r="J52" s="51">
        <f t="shared" si="11"/>
        <v>55.5</v>
      </c>
      <c r="K52" s="51">
        <f t="shared" si="1"/>
        <v>55</v>
      </c>
      <c r="L52" s="51">
        <f t="shared" si="2"/>
        <v>3427</v>
      </c>
      <c r="M52" s="51">
        <f t="shared" si="3"/>
        <v>31</v>
      </c>
      <c r="N52" s="51" t="b">
        <f t="shared" si="20"/>
        <v>0</v>
      </c>
      <c r="O52" s="51" t="b">
        <f t="shared" si="21"/>
        <v>1</v>
      </c>
      <c r="P52" s="51" t="str">
        <f t="shared" si="4"/>
        <v>bottles-7</v>
      </c>
      <c r="Q52" s="52" t="str">
        <f t="shared" si="5"/>
        <v>22C003868</v>
      </c>
      <c r="R52" s="51" t="b">
        <f t="shared" si="6"/>
        <v>0</v>
      </c>
      <c r="S52" s="51"/>
      <c r="T52" s="51" t="str">
        <f t="shared" si="7"/>
        <v>BOTTLES</v>
      </c>
      <c r="U52" s="51" t="str">
        <f t="shared" si="8"/>
        <v>bottles</v>
      </c>
      <c r="V52" s="51">
        <f t="shared" si="9"/>
        <v>1</v>
      </c>
      <c r="W52" s="51" t="str">
        <f t="shared" si="22"/>
        <v>P012 7</v>
      </c>
      <c r="X52" s="51" t="str">
        <f t="shared" si="23"/>
        <v>BOTTLES</v>
      </c>
      <c r="Y52" s="51" t="str">
        <f t="shared" si="24"/>
        <v>22C</v>
      </c>
      <c r="Z52" s="51" t="str">
        <f t="shared" si="25"/>
        <v>UE</v>
      </c>
      <c r="AA52" s="51">
        <f t="shared" si="26"/>
        <v>4</v>
      </c>
      <c r="AB52" s="51">
        <f t="shared" si="27"/>
        <v>9</v>
      </c>
      <c r="AC52" s="53"/>
      <c r="AD52" s="51" t="s">
        <v>168</v>
      </c>
      <c r="AE52" s="57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 spans="1:41" ht="30" x14ac:dyDescent="0.25">
      <c r="A53" s="62" t="s">
        <v>30</v>
      </c>
      <c r="B53" s="62" t="s">
        <v>2344</v>
      </c>
      <c r="C53" s="62" t="s">
        <v>2345</v>
      </c>
      <c r="D53" s="62" t="s">
        <v>171</v>
      </c>
      <c r="E53" s="62" t="s">
        <v>2346</v>
      </c>
      <c r="F53" s="62">
        <v>2</v>
      </c>
      <c r="G53" s="62" t="s">
        <v>35</v>
      </c>
      <c r="H53" s="62">
        <v>6.75</v>
      </c>
      <c r="I53" s="62">
        <f t="shared" si="0"/>
        <v>13.5</v>
      </c>
      <c r="J53" s="51">
        <f t="shared" si="11"/>
        <v>236</v>
      </c>
      <c r="K53" s="51">
        <f t="shared" si="1"/>
        <v>236</v>
      </c>
      <c r="L53" s="51">
        <f t="shared" si="2"/>
        <v>4518</v>
      </c>
      <c r="M53" s="51">
        <f t="shared" si="3"/>
        <v>52</v>
      </c>
      <c r="N53" s="51" t="b">
        <f t="shared" si="20"/>
        <v>1</v>
      </c>
      <c r="O53" s="51" t="b">
        <f t="shared" si="21"/>
        <v>0</v>
      </c>
      <c r="P53" s="51" t="str">
        <f t="shared" si="4"/>
        <v>cans-2</v>
      </c>
      <c r="Q53" s="52" t="str">
        <f t="shared" si="5"/>
        <v>6.75C006955</v>
      </c>
      <c r="R53" s="51" t="b">
        <f t="shared" si="6"/>
        <v>0</v>
      </c>
      <c r="S53" s="51"/>
      <c r="T53" s="51" t="str">
        <f t="shared" si="7"/>
        <v>CANS</v>
      </c>
      <c r="U53" s="51" t="str">
        <f t="shared" si="8"/>
        <v>cans</v>
      </c>
      <c r="V53" s="51">
        <f t="shared" si="9"/>
        <v>1</v>
      </c>
      <c r="W53" s="51" t="str">
        <f t="shared" si="22"/>
        <v>P014 2</v>
      </c>
      <c r="X53" s="51" t="str">
        <f t="shared" si="23"/>
        <v>CAOS</v>
      </c>
      <c r="Y53" s="51" t="str">
        <f t="shared" si="24"/>
        <v>6.7</v>
      </c>
      <c r="Z53" s="51" t="str">
        <f t="shared" si="25"/>
        <v>SE</v>
      </c>
      <c r="AA53" s="51">
        <f t="shared" si="26"/>
        <v>6</v>
      </c>
      <c r="AB53" s="51">
        <f t="shared" si="27"/>
        <v>11</v>
      </c>
      <c r="AC53" s="53"/>
      <c r="AD53" s="51" t="s">
        <v>168</v>
      </c>
      <c r="AE53" s="57"/>
      <c r="AF53" s="53"/>
      <c r="AG53" s="53"/>
      <c r="AH53" s="53"/>
      <c r="AI53" s="53"/>
      <c r="AJ53" s="53"/>
      <c r="AK53" s="53"/>
      <c r="AL53" s="53"/>
      <c r="AM53" s="53"/>
      <c r="AN53" s="53"/>
      <c r="AO53" s="53"/>
    </row>
    <row r="54" spans="1:41" ht="30" x14ac:dyDescent="0.25">
      <c r="A54" s="62" t="s">
        <v>168</v>
      </c>
      <c r="B54" s="62" t="s">
        <v>1198</v>
      </c>
      <c r="C54" s="62" t="s">
        <v>2347</v>
      </c>
      <c r="D54" s="62" t="s">
        <v>797</v>
      </c>
      <c r="E54" s="62" t="s">
        <v>2348</v>
      </c>
      <c r="F54" s="62">
        <v>10</v>
      </c>
      <c r="G54" s="62" t="s">
        <v>13</v>
      </c>
      <c r="H54" s="62">
        <v>14</v>
      </c>
      <c r="I54" s="62">
        <f t="shared" si="0"/>
        <v>140</v>
      </c>
      <c r="J54" s="51">
        <f t="shared" si="11"/>
        <v>68.5</v>
      </c>
      <c r="K54" s="51">
        <f t="shared" si="1"/>
        <v>67</v>
      </c>
      <c r="L54" s="51">
        <f t="shared" si="2"/>
        <v>12307</v>
      </c>
      <c r="M54" s="51">
        <f t="shared" si="3"/>
        <v>101</v>
      </c>
      <c r="N54" s="51" t="b">
        <f t="shared" si="20"/>
        <v>0</v>
      </c>
      <c r="O54" s="51" t="b">
        <f t="shared" si="21"/>
        <v>1</v>
      </c>
      <c r="P54" s="51" t="str">
        <f t="shared" si="4"/>
        <v>ct-10</v>
      </c>
      <c r="Q54" s="52" t="str">
        <f t="shared" si="5"/>
        <v>14C006171</v>
      </c>
      <c r="R54" s="51" t="b">
        <f t="shared" si="6"/>
        <v>0</v>
      </c>
      <c r="S54" s="51"/>
      <c r="T54" s="51" t="str">
        <f t="shared" si="7"/>
        <v>CT</v>
      </c>
      <c r="U54" s="51" t="str">
        <f t="shared" si="8"/>
        <v>ct</v>
      </c>
      <c r="V54" s="51">
        <f t="shared" si="9"/>
        <v>1</v>
      </c>
      <c r="W54" s="51" t="str">
        <f t="shared" si="22"/>
        <v>P017 10</v>
      </c>
      <c r="X54" s="51" t="str">
        <f t="shared" si="23"/>
        <v>CT</v>
      </c>
      <c r="Y54" s="51" t="str">
        <f t="shared" si="24"/>
        <v>14C</v>
      </c>
      <c r="Z54" s="51" t="str">
        <f t="shared" si="25"/>
        <v>UE</v>
      </c>
      <c r="AA54" s="51">
        <f t="shared" si="26"/>
        <v>4</v>
      </c>
      <c r="AB54" s="51">
        <f t="shared" si="27"/>
        <v>9</v>
      </c>
      <c r="AC54" s="53"/>
      <c r="AD54" s="51" t="s">
        <v>82</v>
      </c>
      <c r="AE54" s="57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spans="1:41" ht="30" x14ac:dyDescent="0.25">
      <c r="A55" s="62" t="s">
        <v>25</v>
      </c>
      <c r="B55" s="62" t="s">
        <v>2349</v>
      </c>
      <c r="C55" s="62" t="s">
        <v>2350</v>
      </c>
      <c r="D55" s="62" t="s">
        <v>144</v>
      </c>
      <c r="E55" s="62" t="s">
        <v>1305</v>
      </c>
      <c r="F55" s="62">
        <v>4</v>
      </c>
      <c r="G55" s="62" t="s">
        <v>13</v>
      </c>
      <c r="H55" s="62">
        <v>42</v>
      </c>
      <c r="I55" s="62">
        <f t="shared" si="0"/>
        <v>168</v>
      </c>
      <c r="J55" s="51">
        <f t="shared" si="11"/>
        <v>42.5</v>
      </c>
      <c r="K55" s="51">
        <f t="shared" si="1"/>
        <v>42</v>
      </c>
      <c r="L55" s="51">
        <f t="shared" si="2"/>
        <v>12307</v>
      </c>
      <c r="M55" s="51">
        <f t="shared" si="3"/>
        <v>101</v>
      </c>
      <c r="N55" s="51" t="b">
        <f t="shared" si="20"/>
        <v>0</v>
      </c>
      <c r="O55" s="51" t="b">
        <f t="shared" si="21"/>
        <v>1</v>
      </c>
      <c r="P55" s="51" t="str">
        <f t="shared" si="4"/>
        <v>ct-4</v>
      </c>
      <c r="Q55" s="52" t="str">
        <f t="shared" si="5"/>
        <v>42C005657</v>
      </c>
      <c r="R55" s="51" t="b">
        <f t="shared" si="6"/>
        <v>0</v>
      </c>
      <c r="S55" s="51"/>
      <c r="T55" s="51" t="str">
        <f t="shared" si="7"/>
        <v>CT</v>
      </c>
      <c r="U55" s="51" t="str">
        <f t="shared" si="8"/>
        <v>ct</v>
      </c>
      <c r="V55" s="51">
        <f t="shared" si="9"/>
        <v>1</v>
      </c>
      <c r="W55" s="51" t="str">
        <f t="shared" si="22"/>
        <v>P032 4</v>
      </c>
      <c r="X55" s="51" t="str">
        <f t="shared" si="23"/>
        <v>CT</v>
      </c>
      <c r="Y55" s="51" t="str">
        <f t="shared" si="24"/>
        <v>42C</v>
      </c>
      <c r="Z55" s="51" t="str">
        <f t="shared" si="25"/>
        <v>UE</v>
      </c>
      <c r="AA55" s="51">
        <f t="shared" si="26"/>
        <v>4</v>
      </c>
      <c r="AB55" s="51">
        <f t="shared" si="27"/>
        <v>9</v>
      </c>
      <c r="AC55" s="53"/>
      <c r="AD55" s="51" t="s">
        <v>82</v>
      </c>
      <c r="AE55" s="57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spans="1:41" ht="30" x14ac:dyDescent="0.25">
      <c r="A56" s="62" t="s">
        <v>61</v>
      </c>
      <c r="B56" s="62" t="s">
        <v>2351</v>
      </c>
      <c r="C56" s="62" t="s">
        <v>2352</v>
      </c>
      <c r="D56" s="62" t="s">
        <v>703</v>
      </c>
      <c r="E56" s="62" t="s">
        <v>2113</v>
      </c>
      <c r="F56" s="62">
        <v>1</v>
      </c>
      <c r="G56" s="62" t="s">
        <v>35</v>
      </c>
      <c r="H56" s="62">
        <v>16.25</v>
      </c>
      <c r="I56" s="62">
        <f t="shared" si="0"/>
        <v>16.25</v>
      </c>
      <c r="J56" s="51">
        <f t="shared" si="11"/>
        <v>225.5</v>
      </c>
      <c r="K56" s="51">
        <f t="shared" si="1"/>
        <v>225</v>
      </c>
      <c r="L56" s="51">
        <f t="shared" si="2"/>
        <v>4518</v>
      </c>
      <c r="M56" s="51">
        <f t="shared" si="3"/>
        <v>52</v>
      </c>
      <c r="N56" s="51" t="b">
        <f t="shared" si="20"/>
        <v>1</v>
      </c>
      <c r="O56" s="51" t="b">
        <f t="shared" si="21"/>
        <v>0</v>
      </c>
      <c r="P56" s="51" t="str">
        <f t="shared" si="4"/>
        <v>cans-1</v>
      </c>
      <c r="Q56" s="52" t="str">
        <f t="shared" si="5"/>
        <v>16.25C007652</v>
      </c>
      <c r="R56" s="51" t="b">
        <f t="shared" si="6"/>
        <v>0</v>
      </c>
      <c r="S56" s="51"/>
      <c r="T56" s="51" t="str">
        <f t="shared" si="7"/>
        <v>CANS</v>
      </c>
      <c r="U56" s="51" t="str">
        <f t="shared" si="8"/>
        <v>cans</v>
      </c>
      <c r="V56" s="51">
        <f t="shared" si="9"/>
        <v>1</v>
      </c>
      <c r="W56" s="51" t="str">
        <f t="shared" si="22"/>
        <v>P023 1</v>
      </c>
      <c r="X56" s="51" t="str">
        <f t="shared" si="23"/>
        <v>CAOS</v>
      </c>
      <c r="Y56" s="51" t="str">
        <f t="shared" si="24"/>
        <v>16.</v>
      </c>
      <c r="Z56" s="51" t="str">
        <f t="shared" si="25"/>
        <v>SE</v>
      </c>
      <c r="AA56" s="51">
        <f t="shared" si="26"/>
        <v>7</v>
      </c>
      <c r="AB56" s="51">
        <f t="shared" si="27"/>
        <v>12</v>
      </c>
      <c r="AC56" s="53"/>
      <c r="AD56" s="51" t="s">
        <v>82</v>
      </c>
      <c r="AE56" s="57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spans="1:41" ht="30" x14ac:dyDescent="0.25">
      <c r="A57" s="62" t="s">
        <v>146</v>
      </c>
      <c r="B57" s="62" t="s">
        <v>2353</v>
      </c>
      <c r="C57" s="62" t="s">
        <v>2354</v>
      </c>
      <c r="D57" s="62" t="s">
        <v>263</v>
      </c>
      <c r="E57" s="62" t="s">
        <v>2318</v>
      </c>
      <c r="F57" s="62">
        <v>5</v>
      </c>
      <c r="G57" s="62" t="s">
        <v>13</v>
      </c>
      <c r="H57" s="62">
        <v>14</v>
      </c>
      <c r="I57" s="62">
        <f t="shared" si="0"/>
        <v>70</v>
      </c>
      <c r="J57" s="51">
        <f t="shared" si="11"/>
        <v>147</v>
      </c>
      <c r="K57" s="51">
        <f t="shared" si="1"/>
        <v>147</v>
      </c>
      <c r="L57" s="51">
        <f t="shared" si="2"/>
        <v>12307</v>
      </c>
      <c r="M57" s="51">
        <f t="shared" si="3"/>
        <v>101</v>
      </c>
      <c r="N57" s="51" t="b">
        <f t="shared" si="20"/>
        <v>1</v>
      </c>
      <c r="O57" s="51" t="b">
        <f t="shared" si="21"/>
        <v>0</v>
      </c>
      <c r="P57" s="51" t="str">
        <f t="shared" si="4"/>
        <v>ct-5</v>
      </c>
      <c r="Q57" s="52" t="str">
        <f t="shared" si="5"/>
        <v>14C003313</v>
      </c>
      <c r="R57" s="51" t="b">
        <f t="shared" si="6"/>
        <v>0</v>
      </c>
      <c r="S57" s="51"/>
      <c r="T57" s="51" t="str">
        <f t="shared" si="7"/>
        <v>CT</v>
      </c>
      <c r="U57" s="51" t="str">
        <f t="shared" si="8"/>
        <v>ct</v>
      </c>
      <c r="V57" s="51">
        <f t="shared" si="9"/>
        <v>1</v>
      </c>
      <c r="W57" s="51" t="str">
        <f t="shared" si="22"/>
        <v>P010 5</v>
      </c>
      <c r="X57" s="51" t="str">
        <f t="shared" si="23"/>
        <v>CT</v>
      </c>
      <c r="Y57" s="51" t="str">
        <f t="shared" si="24"/>
        <v>14C</v>
      </c>
      <c r="Z57" s="51" t="str">
        <f t="shared" si="25"/>
        <v>SE</v>
      </c>
      <c r="AA57" s="51">
        <f t="shared" si="26"/>
        <v>4</v>
      </c>
      <c r="AB57" s="51">
        <f t="shared" si="27"/>
        <v>9</v>
      </c>
      <c r="AC57" s="53"/>
      <c r="AD57" s="51" t="s">
        <v>82</v>
      </c>
      <c r="AE57" s="57"/>
      <c r="AF57" s="53"/>
      <c r="AG57" s="53"/>
      <c r="AH57" s="53"/>
      <c r="AI57" s="53"/>
      <c r="AJ57" s="53"/>
      <c r="AK57" s="53"/>
      <c r="AL57" s="53"/>
      <c r="AM57" s="53"/>
      <c r="AN57" s="53"/>
      <c r="AO57" s="53"/>
    </row>
    <row r="58" spans="1:41" ht="30" x14ac:dyDescent="0.25">
      <c r="A58" s="62" t="s">
        <v>30</v>
      </c>
      <c r="B58" s="62" t="s">
        <v>2355</v>
      </c>
      <c r="C58" s="62" t="s">
        <v>2356</v>
      </c>
      <c r="D58" s="62" t="s">
        <v>1878</v>
      </c>
      <c r="E58" s="62" t="s">
        <v>24</v>
      </c>
      <c r="F58" s="62">
        <v>1</v>
      </c>
      <c r="G58" s="62" t="s">
        <v>13</v>
      </c>
      <c r="H58" s="62">
        <v>14</v>
      </c>
      <c r="I58" s="62">
        <f t="shared" si="0"/>
        <v>14</v>
      </c>
      <c r="J58" s="51">
        <f t="shared" si="11"/>
        <v>234.5</v>
      </c>
      <c r="K58" s="51">
        <f t="shared" si="1"/>
        <v>234</v>
      </c>
      <c r="L58" s="51">
        <f t="shared" si="2"/>
        <v>12307</v>
      </c>
      <c r="M58" s="51">
        <f t="shared" si="3"/>
        <v>101</v>
      </c>
      <c r="N58" s="51" t="b">
        <f t="shared" si="20"/>
        <v>1</v>
      </c>
      <c r="O58" s="51" t="b">
        <f t="shared" si="21"/>
        <v>0</v>
      </c>
      <c r="P58" s="51" t="str">
        <f t="shared" si="4"/>
        <v>ct-1</v>
      </c>
      <c r="Q58" s="52" t="str">
        <f t="shared" si="5"/>
        <v>14C000140</v>
      </c>
      <c r="R58" s="51" t="b">
        <f t="shared" si="6"/>
        <v>0</v>
      </c>
      <c r="S58" s="51"/>
      <c r="T58" s="51" t="str">
        <f t="shared" si="7"/>
        <v>CT</v>
      </c>
      <c r="U58" s="51" t="str">
        <f t="shared" si="8"/>
        <v>ct</v>
      </c>
      <c r="V58" s="51">
        <f t="shared" si="9"/>
        <v>1</v>
      </c>
      <c r="W58" s="51" t="str">
        <f t="shared" si="22"/>
        <v>P014 1</v>
      </c>
      <c r="X58" s="51" t="str">
        <f t="shared" si="23"/>
        <v>CT</v>
      </c>
      <c r="Y58" s="51" t="str">
        <f t="shared" si="24"/>
        <v>14C</v>
      </c>
      <c r="Z58" s="51" t="str">
        <f t="shared" si="25"/>
        <v>SE</v>
      </c>
      <c r="AA58" s="51">
        <f t="shared" si="26"/>
        <v>4</v>
      </c>
      <c r="AB58" s="51">
        <f t="shared" si="27"/>
        <v>9</v>
      </c>
      <c r="AC58" s="53"/>
      <c r="AD58" s="51" t="s">
        <v>76</v>
      </c>
      <c r="AE58" s="57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spans="1:41" ht="30" x14ac:dyDescent="0.25">
      <c r="A59" s="62" t="s">
        <v>743</v>
      </c>
      <c r="B59" s="62" t="s">
        <v>2357</v>
      </c>
      <c r="C59" s="62" t="s">
        <v>2358</v>
      </c>
      <c r="D59" s="62" t="s">
        <v>1589</v>
      </c>
      <c r="E59" s="62" t="s">
        <v>1797</v>
      </c>
      <c r="F59" s="62">
        <v>4</v>
      </c>
      <c r="G59" s="62" t="s">
        <v>269</v>
      </c>
      <c r="H59" s="62">
        <v>14</v>
      </c>
      <c r="I59" s="62">
        <f t="shared" si="0"/>
        <v>56</v>
      </c>
      <c r="J59" s="51">
        <f t="shared" si="11"/>
        <v>162.5</v>
      </c>
      <c r="K59" s="51">
        <f t="shared" si="1"/>
        <v>162</v>
      </c>
      <c r="L59" s="51">
        <f t="shared" si="2"/>
        <v>559</v>
      </c>
      <c r="M59" s="51">
        <f t="shared" si="3"/>
        <v>7</v>
      </c>
      <c r="N59" s="51" t="b">
        <f t="shared" si="20"/>
        <v>1</v>
      </c>
      <c r="O59" s="51" t="b">
        <f t="shared" si="21"/>
        <v>0</v>
      </c>
      <c r="P59" s="51" t="str">
        <f t="shared" si="4"/>
        <v>ct.-4</v>
      </c>
      <c r="Q59" s="52" t="str">
        <f t="shared" si="5"/>
        <v>14C008879</v>
      </c>
      <c r="R59" s="51" t="b">
        <f t="shared" si="6"/>
        <v>0</v>
      </c>
      <c r="S59" s="51"/>
      <c r="T59" s="51" t="str">
        <f t="shared" si="7"/>
        <v>CT.</v>
      </c>
      <c r="U59" s="51" t="str">
        <f t="shared" si="8"/>
        <v>ct.</v>
      </c>
      <c r="V59" s="51">
        <f t="shared" si="9"/>
        <v>1</v>
      </c>
      <c r="W59" s="51" t="str">
        <f t="shared" si="22"/>
        <v>P007 4</v>
      </c>
      <c r="X59" s="51" t="str">
        <f t="shared" si="23"/>
        <v>CT.</v>
      </c>
      <c r="Y59" s="51" t="str">
        <f t="shared" si="24"/>
        <v>14C</v>
      </c>
      <c r="Z59" s="51" t="str">
        <f t="shared" si="25"/>
        <v>SE</v>
      </c>
      <c r="AA59" s="51">
        <f t="shared" si="26"/>
        <v>4</v>
      </c>
      <c r="AB59" s="51">
        <f t="shared" si="27"/>
        <v>9</v>
      </c>
      <c r="AC59" s="53"/>
      <c r="AD59" s="51" t="s">
        <v>76</v>
      </c>
      <c r="AE59" s="57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spans="1:41" ht="30" x14ac:dyDescent="0.25">
      <c r="A60" s="62" t="s">
        <v>25</v>
      </c>
      <c r="B60" s="62" t="s">
        <v>2359</v>
      </c>
      <c r="C60" s="62" t="s">
        <v>2360</v>
      </c>
      <c r="D60" s="62" t="s">
        <v>1477</v>
      </c>
      <c r="E60" s="62" t="s">
        <v>470</v>
      </c>
      <c r="F60" s="62">
        <v>1</v>
      </c>
      <c r="G60" s="62" t="s">
        <v>13</v>
      </c>
      <c r="H60" s="62">
        <v>15</v>
      </c>
      <c r="I60" s="62">
        <f t="shared" si="0"/>
        <v>15</v>
      </c>
      <c r="J60" s="51">
        <f t="shared" si="11"/>
        <v>232.5</v>
      </c>
      <c r="K60" s="51">
        <f t="shared" si="1"/>
        <v>232</v>
      </c>
      <c r="L60" s="51">
        <f t="shared" si="2"/>
        <v>12307</v>
      </c>
      <c r="M60" s="51">
        <f t="shared" si="3"/>
        <v>101</v>
      </c>
      <c r="N60" s="51" t="b">
        <f t="shared" si="20"/>
        <v>1</v>
      </c>
      <c r="O60" s="51" t="b">
        <f t="shared" si="21"/>
        <v>0</v>
      </c>
      <c r="P60" s="51" t="str">
        <f t="shared" si="4"/>
        <v>ct-1</v>
      </c>
      <c r="Q60" s="52" t="str">
        <f t="shared" si="5"/>
        <v>15C003054</v>
      </c>
      <c r="R60" s="51" t="b">
        <f t="shared" si="6"/>
        <v>0</v>
      </c>
      <c r="S60" s="51"/>
      <c r="T60" s="51" t="str">
        <f t="shared" si="7"/>
        <v>CT</v>
      </c>
      <c r="U60" s="51" t="str">
        <f t="shared" si="8"/>
        <v>ct</v>
      </c>
      <c r="V60" s="51">
        <f t="shared" si="9"/>
        <v>1</v>
      </c>
      <c r="W60" s="51" t="str">
        <f t="shared" si="22"/>
        <v>P032 1</v>
      </c>
      <c r="X60" s="51" t="str">
        <f t="shared" si="23"/>
        <v>CT</v>
      </c>
      <c r="Y60" s="51" t="str">
        <f t="shared" si="24"/>
        <v>15C</v>
      </c>
      <c r="Z60" s="51" t="str">
        <f t="shared" si="25"/>
        <v>SE</v>
      </c>
      <c r="AA60" s="51">
        <f t="shared" si="26"/>
        <v>4</v>
      </c>
      <c r="AB60" s="51">
        <f t="shared" si="27"/>
        <v>9</v>
      </c>
      <c r="AC60" s="53"/>
      <c r="AD60" s="51" t="s">
        <v>76</v>
      </c>
      <c r="AE60" s="57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spans="1:41" ht="30" x14ac:dyDescent="0.25">
      <c r="A61" s="62" t="s">
        <v>82</v>
      </c>
      <c r="B61" s="62" t="s">
        <v>2361</v>
      </c>
      <c r="C61" s="62" t="s">
        <v>2362</v>
      </c>
      <c r="D61" s="62" t="s">
        <v>1167</v>
      </c>
      <c r="E61" s="62" t="s">
        <v>1824</v>
      </c>
      <c r="F61" s="62">
        <v>6</v>
      </c>
      <c r="G61" s="62" t="s">
        <v>35</v>
      </c>
      <c r="H61" s="62">
        <v>6.75</v>
      </c>
      <c r="I61" s="62">
        <f t="shared" si="0"/>
        <v>40.5</v>
      </c>
      <c r="J61" s="51">
        <f t="shared" si="11"/>
        <v>176</v>
      </c>
      <c r="K61" s="51">
        <f t="shared" si="1"/>
        <v>176</v>
      </c>
      <c r="L61" s="51">
        <f t="shared" si="2"/>
        <v>4518</v>
      </c>
      <c r="M61" s="51">
        <f t="shared" si="3"/>
        <v>52</v>
      </c>
      <c r="N61" s="51" t="b">
        <f t="shared" si="20"/>
        <v>1</v>
      </c>
      <c r="O61" s="51" t="b">
        <f t="shared" si="21"/>
        <v>0</v>
      </c>
      <c r="P61" s="51" t="str">
        <f t="shared" si="4"/>
        <v>cans-6</v>
      </c>
      <c r="Q61" s="52" t="str">
        <f t="shared" si="5"/>
        <v>6.75C007001</v>
      </c>
      <c r="R61" s="51" t="b">
        <f t="shared" si="6"/>
        <v>0</v>
      </c>
      <c r="S61" s="51"/>
      <c r="T61" s="51" t="str">
        <f t="shared" si="7"/>
        <v>CANS</v>
      </c>
      <c r="U61" s="51" t="str">
        <f t="shared" si="8"/>
        <v>cans</v>
      </c>
      <c r="V61" s="51">
        <f t="shared" si="9"/>
        <v>1</v>
      </c>
      <c r="W61" s="51" t="str">
        <f t="shared" si="22"/>
        <v>P018 6</v>
      </c>
      <c r="X61" s="51" t="str">
        <f t="shared" si="23"/>
        <v>CAOS</v>
      </c>
      <c r="Y61" s="51" t="str">
        <f t="shared" si="24"/>
        <v>6.7</v>
      </c>
      <c r="Z61" s="51" t="str">
        <f t="shared" si="25"/>
        <v>SE</v>
      </c>
      <c r="AA61" s="51">
        <f t="shared" si="26"/>
        <v>6</v>
      </c>
      <c r="AB61" s="51">
        <f t="shared" si="27"/>
        <v>11</v>
      </c>
      <c r="AC61" s="53"/>
      <c r="AD61" s="51" t="s">
        <v>209</v>
      </c>
      <c r="AE61" s="57"/>
      <c r="AF61" s="53"/>
      <c r="AG61" s="53"/>
      <c r="AH61" s="53"/>
      <c r="AI61" s="53"/>
      <c r="AJ61" s="53"/>
      <c r="AK61" s="53"/>
      <c r="AL61" s="53"/>
      <c r="AM61" s="53"/>
      <c r="AN61" s="53"/>
      <c r="AO61" s="53"/>
    </row>
    <row r="62" spans="1:41" ht="30" x14ac:dyDescent="0.25">
      <c r="A62" s="62" t="s">
        <v>240</v>
      </c>
      <c r="B62" s="62" t="s">
        <v>2363</v>
      </c>
      <c r="C62" s="62" t="s">
        <v>2364</v>
      </c>
      <c r="D62" s="62" t="s">
        <v>1054</v>
      </c>
      <c r="E62" s="62" t="s">
        <v>2365</v>
      </c>
      <c r="F62" s="62">
        <v>7</v>
      </c>
      <c r="G62" s="62" t="s">
        <v>60</v>
      </c>
      <c r="H62" s="62">
        <v>23</v>
      </c>
      <c r="I62" s="62">
        <f t="shared" si="0"/>
        <v>161</v>
      </c>
      <c r="J62" s="51">
        <f t="shared" si="11"/>
        <v>47</v>
      </c>
      <c r="K62" s="51">
        <f t="shared" si="1"/>
        <v>47</v>
      </c>
      <c r="L62" s="51">
        <f t="shared" si="2"/>
        <v>3427</v>
      </c>
      <c r="M62" s="51">
        <f t="shared" si="3"/>
        <v>31</v>
      </c>
      <c r="N62" s="51" t="b">
        <f t="shared" si="20"/>
        <v>0</v>
      </c>
      <c r="O62" s="51" t="b">
        <f t="shared" si="21"/>
        <v>1</v>
      </c>
      <c r="P62" s="51" t="str">
        <f t="shared" si="4"/>
        <v>bottles-7</v>
      </c>
      <c r="Q62" s="52" t="str">
        <f t="shared" si="5"/>
        <v>23C000903</v>
      </c>
      <c r="R62" s="51" t="b">
        <f t="shared" si="6"/>
        <v>0</v>
      </c>
      <c r="S62" s="51"/>
      <c r="T62" s="51" t="str">
        <f t="shared" si="7"/>
        <v>BOTTLES</v>
      </c>
      <c r="U62" s="51" t="str">
        <f t="shared" si="8"/>
        <v>bottles</v>
      </c>
      <c r="V62" s="51">
        <f t="shared" si="9"/>
        <v>1</v>
      </c>
      <c r="W62" s="51" t="str">
        <f t="shared" si="22"/>
        <v>P024 7</v>
      </c>
      <c r="X62" s="51" t="str">
        <f t="shared" si="23"/>
        <v>BOTTLES</v>
      </c>
      <c r="Y62" s="51" t="str">
        <f t="shared" si="24"/>
        <v>23C</v>
      </c>
      <c r="Z62" s="51" t="str">
        <f t="shared" si="25"/>
        <v>UE</v>
      </c>
      <c r="AA62" s="51">
        <f t="shared" si="26"/>
        <v>4</v>
      </c>
      <c r="AB62" s="51">
        <f t="shared" si="27"/>
        <v>9</v>
      </c>
      <c r="AC62" s="53"/>
      <c r="AD62" s="51" t="s">
        <v>14</v>
      </c>
      <c r="AE62" s="57"/>
      <c r="AF62" s="53"/>
      <c r="AG62" s="53"/>
      <c r="AH62" s="53"/>
      <c r="AI62" s="53"/>
      <c r="AJ62" s="53"/>
      <c r="AK62" s="53"/>
      <c r="AL62" s="53"/>
      <c r="AM62" s="53"/>
      <c r="AN62" s="53"/>
      <c r="AO62" s="53"/>
    </row>
    <row r="63" spans="1:41" ht="30" x14ac:dyDescent="0.25">
      <c r="A63" s="62" t="s">
        <v>218</v>
      </c>
      <c r="B63" s="62" t="s">
        <v>2366</v>
      </c>
      <c r="C63" s="62" t="s">
        <v>2367</v>
      </c>
      <c r="D63" s="62" t="s">
        <v>785</v>
      </c>
      <c r="E63" s="62" t="s">
        <v>1862</v>
      </c>
      <c r="F63" s="62">
        <v>2</v>
      </c>
      <c r="G63" s="62" t="s">
        <v>13</v>
      </c>
      <c r="H63" s="62">
        <v>29</v>
      </c>
      <c r="I63" s="62">
        <f t="shared" si="0"/>
        <v>58</v>
      </c>
      <c r="J63" s="51">
        <f t="shared" si="11"/>
        <v>161</v>
      </c>
      <c r="K63" s="51">
        <f t="shared" si="1"/>
        <v>161</v>
      </c>
      <c r="L63" s="51">
        <f t="shared" si="2"/>
        <v>12307</v>
      </c>
      <c r="M63" s="51">
        <f t="shared" si="3"/>
        <v>101</v>
      </c>
      <c r="N63" s="51" t="b">
        <f t="shared" si="20"/>
        <v>1</v>
      </c>
      <c r="O63" s="51" t="b">
        <f t="shared" si="21"/>
        <v>0</v>
      </c>
      <c r="P63" s="51" t="str">
        <f t="shared" si="4"/>
        <v>ct-2</v>
      </c>
      <c r="Q63" s="52" t="str">
        <f t="shared" si="5"/>
        <v>29C008997</v>
      </c>
      <c r="R63" s="51" t="b">
        <f t="shared" si="6"/>
        <v>0</v>
      </c>
      <c r="S63" s="51"/>
      <c r="T63" s="51" t="str">
        <f t="shared" si="7"/>
        <v>CT</v>
      </c>
      <c r="U63" s="51" t="str">
        <f t="shared" si="8"/>
        <v>ct</v>
      </c>
      <c r="V63" s="51">
        <f t="shared" si="9"/>
        <v>1</v>
      </c>
      <c r="W63" s="51" t="str">
        <f t="shared" si="22"/>
        <v>P002 2</v>
      </c>
      <c r="X63" s="51" t="str">
        <f t="shared" si="23"/>
        <v>CT</v>
      </c>
      <c r="Y63" s="51" t="str">
        <f t="shared" si="24"/>
        <v>29C</v>
      </c>
      <c r="Z63" s="51" t="str">
        <f t="shared" si="25"/>
        <v>SE</v>
      </c>
      <c r="AA63" s="51">
        <f t="shared" si="26"/>
        <v>4</v>
      </c>
      <c r="AB63" s="51">
        <f t="shared" si="27"/>
        <v>9</v>
      </c>
      <c r="AC63" s="53"/>
      <c r="AD63" s="51" t="s">
        <v>14</v>
      </c>
      <c r="AE63" s="57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spans="1:41" ht="30" x14ac:dyDescent="0.25">
      <c r="A64" s="62" t="s">
        <v>76</v>
      </c>
      <c r="B64" s="62" t="s">
        <v>2368</v>
      </c>
      <c r="C64" s="62" t="s">
        <v>2369</v>
      </c>
      <c r="D64" s="62" t="s">
        <v>1433</v>
      </c>
      <c r="E64" s="62" t="s">
        <v>790</v>
      </c>
      <c r="F64" s="62">
        <v>9</v>
      </c>
      <c r="G64" s="62" t="s">
        <v>13</v>
      </c>
      <c r="H64" s="62">
        <v>13</v>
      </c>
      <c r="I64" s="62">
        <f t="shared" si="0"/>
        <v>117</v>
      </c>
      <c r="J64" s="51">
        <f t="shared" si="11"/>
        <v>90</v>
      </c>
      <c r="K64" s="51">
        <f t="shared" si="1"/>
        <v>90</v>
      </c>
      <c r="L64" s="51">
        <f t="shared" si="2"/>
        <v>12307</v>
      </c>
      <c r="M64" s="51">
        <f t="shared" si="3"/>
        <v>101</v>
      </c>
      <c r="N64" s="51" t="b">
        <f t="shared" si="20"/>
        <v>0</v>
      </c>
      <c r="O64" s="51" t="b">
        <f t="shared" si="21"/>
        <v>1</v>
      </c>
      <c r="P64" s="51" t="str">
        <f t="shared" si="4"/>
        <v>ct-9</v>
      </c>
      <c r="Q64" s="52" t="str">
        <f t="shared" si="5"/>
        <v>13C002576</v>
      </c>
      <c r="R64" s="51" t="b">
        <f t="shared" si="6"/>
        <v>0</v>
      </c>
      <c r="S64" s="51"/>
      <c r="T64" s="51" t="str">
        <f t="shared" si="7"/>
        <v>CT</v>
      </c>
      <c r="U64" s="51" t="str">
        <f t="shared" si="8"/>
        <v>ct</v>
      </c>
      <c r="V64" s="51">
        <f t="shared" si="9"/>
        <v>1</v>
      </c>
      <c r="W64" s="51" t="str">
        <f t="shared" si="22"/>
        <v>P019 9</v>
      </c>
      <c r="X64" s="51" t="str">
        <f t="shared" si="23"/>
        <v>CT</v>
      </c>
      <c r="Y64" s="51" t="str">
        <f t="shared" si="24"/>
        <v>13C</v>
      </c>
      <c r="Z64" s="51" t="str">
        <f t="shared" si="25"/>
        <v>UE</v>
      </c>
      <c r="AA64" s="51">
        <f t="shared" si="26"/>
        <v>4</v>
      </c>
      <c r="AB64" s="51">
        <f t="shared" si="27"/>
        <v>9</v>
      </c>
      <c r="AC64" s="53"/>
      <c r="AD64" s="51" t="s">
        <v>14</v>
      </c>
      <c r="AE64" s="57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spans="1:41" ht="30" x14ac:dyDescent="0.25">
      <c r="A65" s="62" t="s">
        <v>91</v>
      </c>
      <c r="B65" s="62" t="s">
        <v>2370</v>
      </c>
      <c r="C65" s="62" t="s">
        <v>2371</v>
      </c>
      <c r="D65" s="62" t="s">
        <v>449</v>
      </c>
      <c r="E65" s="62" t="s">
        <v>2372</v>
      </c>
      <c r="F65" s="62">
        <v>11</v>
      </c>
      <c r="G65" s="62" t="s">
        <v>269</v>
      </c>
      <c r="H65" s="62">
        <v>13</v>
      </c>
      <c r="I65" s="62">
        <f t="shared" si="0"/>
        <v>143</v>
      </c>
      <c r="J65" s="51">
        <f t="shared" si="11"/>
        <v>65.5</v>
      </c>
      <c r="K65" s="51">
        <f t="shared" si="1"/>
        <v>65</v>
      </c>
      <c r="L65" s="51">
        <f t="shared" si="2"/>
        <v>559</v>
      </c>
      <c r="M65" s="51">
        <f t="shared" si="3"/>
        <v>7</v>
      </c>
      <c r="N65" s="51" t="b">
        <f t="shared" si="20"/>
        <v>0</v>
      </c>
      <c r="O65" s="51" t="b">
        <f t="shared" si="21"/>
        <v>1</v>
      </c>
      <c r="P65" s="51" t="str">
        <f t="shared" si="4"/>
        <v>ct.-11</v>
      </c>
      <c r="Q65" s="52" t="str">
        <f t="shared" si="5"/>
        <v>13C004149</v>
      </c>
      <c r="R65" s="51" t="b">
        <f t="shared" si="6"/>
        <v>0</v>
      </c>
      <c r="S65" s="51"/>
      <c r="T65" s="51" t="str">
        <f t="shared" si="7"/>
        <v>CT.</v>
      </c>
      <c r="U65" s="51" t="str">
        <f t="shared" si="8"/>
        <v>ct.</v>
      </c>
      <c r="V65" s="51">
        <f t="shared" si="9"/>
        <v>1</v>
      </c>
      <c r="W65" s="51" t="str">
        <f t="shared" si="22"/>
        <v>P003 11</v>
      </c>
      <c r="X65" s="51" t="str">
        <f t="shared" si="23"/>
        <v>CT.</v>
      </c>
      <c r="Y65" s="51" t="str">
        <f t="shared" si="24"/>
        <v>13C</v>
      </c>
      <c r="Z65" s="51" t="str">
        <f t="shared" si="25"/>
        <v>UE</v>
      </c>
      <c r="AA65" s="51">
        <f t="shared" si="26"/>
        <v>4</v>
      </c>
      <c r="AB65" s="51">
        <f t="shared" si="27"/>
        <v>9</v>
      </c>
      <c r="AC65" s="53"/>
      <c r="AD65" s="51" t="s">
        <v>14</v>
      </c>
      <c r="AE65" s="57"/>
      <c r="AF65" s="53"/>
      <c r="AG65" s="53"/>
      <c r="AH65" s="53"/>
      <c r="AI65" s="53"/>
      <c r="AJ65" s="53"/>
      <c r="AK65" s="53"/>
      <c r="AL65" s="53"/>
      <c r="AM65" s="53"/>
      <c r="AN65" s="53"/>
      <c r="AO65" s="53"/>
    </row>
    <row r="66" spans="1:41" ht="30" x14ac:dyDescent="0.25">
      <c r="A66" s="62" t="s">
        <v>162</v>
      </c>
      <c r="B66" s="62" t="s">
        <v>2373</v>
      </c>
      <c r="C66" s="62" t="s">
        <v>2374</v>
      </c>
      <c r="D66" s="62" t="s">
        <v>212</v>
      </c>
      <c r="E66" s="62" t="s">
        <v>153</v>
      </c>
      <c r="F66" s="62">
        <v>5</v>
      </c>
      <c r="G66" s="62" t="s">
        <v>13</v>
      </c>
      <c r="H66" s="62">
        <v>45</v>
      </c>
      <c r="I66" s="62">
        <f t="shared" si="0"/>
        <v>225</v>
      </c>
      <c r="J66" s="51">
        <f t="shared" si="11"/>
        <v>20</v>
      </c>
      <c r="K66" s="51">
        <f t="shared" si="1"/>
        <v>20</v>
      </c>
      <c r="L66" s="51">
        <f t="shared" si="2"/>
        <v>12307</v>
      </c>
      <c r="M66" s="51">
        <f t="shared" si="3"/>
        <v>101</v>
      </c>
      <c r="N66" s="51" t="b">
        <f t="shared" si="20"/>
        <v>0</v>
      </c>
      <c r="O66" s="51" t="b">
        <f t="shared" si="21"/>
        <v>1</v>
      </c>
      <c r="P66" s="51" t="str">
        <f t="shared" si="4"/>
        <v>ct-5</v>
      </c>
      <c r="Q66" s="52" t="str">
        <f t="shared" si="5"/>
        <v>45C006794</v>
      </c>
      <c r="R66" s="51" t="b">
        <f t="shared" si="6"/>
        <v>0</v>
      </c>
      <c r="S66" s="51"/>
      <c r="T66" s="51" t="str">
        <f t="shared" si="7"/>
        <v>CT</v>
      </c>
      <c r="U66" s="51" t="str">
        <f t="shared" si="8"/>
        <v>ct</v>
      </c>
      <c r="V66" s="51">
        <f t="shared" si="9"/>
        <v>1</v>
      </c>
      <c r="W66" s="51" t="str">
        <f t="shared" si="22"/>
        <v>P012 5</v>
      </c>
      <c r="X66" s="51" t="str">
        <f t="shared" si="23"/>
        <v>CT</v>
      </c>
      <c r="Y66" s="51" t="str">
        <f t="shared" si="24"/>
        <v>45C</v>
      </c>
      <c r="Z66" s="51" t="str">
        <f t="shared" si="25"/>
        <v>UE</v>
      </c>
      <c r="AA66" s="51">
        <f t="shared" si="26"/>
        <v>4</v>
      </c>
      <c r="AB66" s="51">
        <f t="shared" si="27"/>
        <v>9</v>
      </c>
      <c r="AC66" s="53"/>
      <c r="AD66" s="51" t="s">
        <v>14</v>
      </c>
      <c r="AE66" s="57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spans="1:41" ht="30" x14ac:dyDescent="0.25">
      <c r="A67" s="62" t="s">
        <v>76</v>
      </c>
      <c r="B67" s="62" t="s">
        <v>2375</v>
      </c>
      <c r="C67" s="62" t="s">
        <v>2376</v>
      </c>
      <c r="D67" s="62" t="s">
        <v>1480</v>
      </c>
      <c r="E67" s="62" t="s">
        <v>2125</v>
      </c>
      <c r="F67" s="62">
        <v>11</v>
      </c>
      <c r="G67" s="62" t="s">
        <v>13</v>
      </c>
      <c r="H67" s="62">
        <v>13</v>
      </c>
      <c r="I67" s="62">
        <f t="shared" si="0"/>
        <v>143</v>
      </c>
      <c r="J67" s="51">
        <f t="shared" si="11"/>
        <v>65.5</v>
      </c>
      <c r="K67" s="51">
        <f t="shared" si="1"/>
        <v>65</v>
      </c>
      <c r="L67" s="51">
        <f t="shared" si="2"/>
        <v>12307</v>
      </c>
      <c r="M67" s="51">
        <f t="shared" si="3"/>
        <v>101</v>
      </c>
      <c r="N67" s="51" t="b">
        <f t="shared" si="20"/>
        <v>0</v>
      </c>
      <c r="O67" s="51" t="b">
        <f t="shared" si="21"/>
        <v>1</v>
      </c>
      <c r="P67" s="51" t="str">
        <f t="shared" si="4"/>
        <v>ct-11</v>
      </c>
      <c r="Q67" s="52" t="str">
        <f t="shared" si="5"/>
        <v>13C005064</v>
      </c>
      <c r="R67" s="51" t="b">
        <f t="shared" si="6"/>
        <v>0</v>
      </c>
      <c r="S67" s="51"/>
      <c r="T67" s="51" t="str">
        <f t="shared" si="7"/>
        <v>CT</v>
      </c>
      <c r="U67" s="51" t="str">
        <f t="shared" si="8"/>
        <v>ct</v>
      </c>
      <c r="V67" s="51">
        <f t="shared" si="9"/>
        <v>1</v>
      </c>
      <c r="W67" s="51" t="str">
        <f t="shared" si="22"/>
        <v>P019 11</v>
      </c>
      <c r="X67" s="51" t="str">
        <f t="shared" si="23"/>
        <v>CT</v>
      </c>
      <c r="Y67" s="51" t="str">
        <f t="shared" si="24"/>
        <v>13C</v>
      </c>
      <c r="Z67" s="51" t="str">
        <f t="shared" si="25"/>
        <v>UE</v>
      </c>
      <c r="AA67" s="51">
        <f t="shared" si="26"/>
        <v>4</v>
      </c>
      <c r="AB67" s="51">
        <f t="shared" si="27"/>
        <v>9</v>
      </c>
      <c r="AC67" s="53"/>
      <c r="AD67" s="51" t="s">
        <v>61</v>
      </c>
      <c r="AE67" s="57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spans="1:41" ht="30" x14ac:dyDescent="0.25">
      <c r="A68" s="62" t="s">
        <v>30</v>
      </c>
      <c r="B68" s="62" t="s">
        <v>2377</v>
      </c>
      <c r="C68" s="62" t="s">
        <v>2378</v>
      </c>
      <c r="D68" s="62" t="s">
        <v>661</v>
      </c>
      <c r="E68" s="62" t="s">
        <v>2379</v>
      </c>
      <c r="F68" s="62">
        <v>1</v>
      </c>
      <c r="G68" s="62" t="s">
        <v>407</v>
      </c>
      <c r="H68" s="62">
        <v>12</v>
      </c>
      <c r="I68" s="62">
        <f t="shared" si="0"/>
        <v>12</v>
      </c>
      <c r="J68" s="51">
        <f t="shared" si="11"/>
        <v>238</v>
      </c>
      <c r="K68" s="51">
        <f t="shared" si="1"/>
        <v>238</v>
      </c>
      <c r="L68" s="51">
        <f t="shared" si="2"/>
        <v>801.5</v>
      </c>
      <c r="M68" s="51">
        <f t="shared" si="3"/>
        <v>10</v>
      </c>
      <c r="N68" s="51" t="b">
        <f t="shared" si="20"/>
        <v>1</v>
      </c>
      <c r="O68" s="51" t="b">
        <f t="shared" si="21"/>
        <v>0</v>
      </c>
      <c r="P68" s="51" t="str">
        <f t="shared" si="4"/>
        <v>pk-1</v>
      </c>
      <c r="Q68" s="52" t="str">
        <f t="shared" si="5"/>
        <v>12C005274</v>
      </c>
      <c r="R68" s="51" t="b">
        <f t="shared" si="6"/>
        <v>0</v>
      </c>
      <c r="S68" s="51"/>
      <c r="T68" s="51" t="str">
        <f t="shared" si="7"/>
        <v>PK</v>
      </c>
      <c r="U68" s="51" t="str">
        <f t="shared" si="8"/>
        <v>pk</v>
      </c>
      <c r="V68" s="51">
        <f t="shared" si="9"/>
        <v>1</v>
      </c>
      <c r="W68" s="51" t="str">
        <f t="shared" si="22"/>
        <v>P014 1</v>
      </c>
      <c r="X68" s="51" t="str">
        <f t="shared" si="23"/>
        <v>PK</v>
      </c>
      <c r="Y68" s="51" t="str">
        <f t="shared" si="24"/>
        <v>12C</v>
      </c>
      <c r="Z68" s="51" t="str">
        <f t="shared" si="25"/>
        <v>SE</v>
      </c>
      <c r="AA68" s="51">
        <f t="shared" si="26"/>
        <v>4</v>
      </c>
      <c r="AB68" s="51">
        <f t="shared" si="27"/>
        <v>9</v>
      </c>
      <c r="AC68" s="53"/>
      <c r="AD68" s="51" t="s">
        <v>61</v>
      </c>
      <c r="AE68" s="57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spans="1:41" ht="30" x14ac:dyDescent="0.25">
      <c r="A69" s="62" t="s">
        <v>25</v>
      </c>
      <c r="B69" s="62" t="s">
        <v>2380</v>
      </c>
      <c r="C69" s="62" t="s">
        <v>2381</v>
      </c>
      <c r="D69" s="62" t="s">
        <v>526</v>
      </c>
      <c r="E69" s="62" t="s">
        <v>564</v>
      </c>
      <c r="F69" s="62">
        <v>1</v>
      </c>
      <c r="G69" s="62" t="s">
        <v>13</v>
      </c>
      <c r="H69" s="62">
        <v>13</v>
      </c>
      <c r="I69" s="62">
        <f t="shared" si="0"/>
        <v>13</v>
      </c>
      <c r="J69" s="51">
        <f t="shared" si="11"/>
        <v>237</v>
      </c>
      <c r="K69" s="51">
        <f t="shared" si="1"/>
        <v>237</v>
      </c>
      <c r="L69" s="51">
        <f t="shared" si="2"/>
        <v>12307</v>
      </c>
      <c r="M69" s="51">
        <f t="shared" si="3"/>
        <v>101</v>
      </c>
      <c r="N69" s="51" t="b">
        <f t="shared" si="20"/>
        <v>1</v>
      </c>
      <c r="O69" s="51" t="b">
        <f t="shared" si="21"/>
        <v>0</v>
      </c>
      <c r="P69" s="51" t="str">
        <f t="shared" si="4"/>
        <v>ct-1</v>
      </c>
      <c r="Q69" s="52" t="str">
        <f t="shared" si="5"/>
        <v>13C006146</v>
      </c>
      <c r="R69" s="51" t="b">
        <f t="shared" si="6"/>
        <v>0</v>
      </c>
      <c r="S69" s="51"/>
      <c r="T69" s="51" t="str">
        <f t="shared" si="7"/>
        <v>CT</v>
      </c>
      <c r="U69" s="51" t="str">
        <f t="shared" si="8"/>
        <v>ct</v>
      </c>
      <c r="V69" s="51">
        <f t="shared" si="9"/>
        <v>1</v>
      </c>
      <c r="W69" s="51" t="str">
        <f t="shared" si="22"/>
        <v>P032 1</v>
      </c>
      <c r="X69" s="51" t="str">
        <f t="shared" si="23"/>
        <v>CT</v>
      </c>
      <c r="Y69" s="51" t="str">
        <f t="shared" si="24"/>
        <v>13C</v>
      </c>
      <c r="Z69" s="51" t="str">
        <f t="shared" si="25"/>
        <v>SE</v>
      </c>
      <c r="AA69" s="51">
        <f t="shared" si="26"/>
        <v>4</v>
      </c>
      <c r="AB69" s="51">
        <f t="shared" si="27"/>
        <v>9</v>
      </c>
      <c r="AC69" s="53"/>
      <c r="AD69" s="51" t="s">
        <v>240</v>
      </c>
      <c r="AE69" s="57"/>
      <c r="AF69" s="53"/>
      <c r="AG69" s="53"/>
      <c r="AH69" s="53"/>
      <c r="AI69" s="53"/>
      <c r="AJ69" s="53"/>
      <c r="AK69" s="53"/>
      <c r="AL69" s="53"/>
      <c r="AM69" s="53"/>
      <c r="AN69" s="53"/>
      <c r="AO69" s="53"/>
    </row>
    <row r="70" spans="1:41" ht="30" x14ac:dyDescent="0.25">
      <c r="A70" s="62" t="s">
        <v>101</v>
      </c>
      <c r="B70" s="62" t="s">
        <v>2382</v>
      </c>
      <c r="C70" s="62" t="s">
        <v>2383</v>
      </c>
      <c r="D70" s="62" t="s">
        <v>476</v>
      </c>
      <c r="E70" s="62" t="s">
        <v>2159</v>
      </c>
      <c r="F70" s="62">
        <v>8</v>
      </c>
      <c r="G70" s="62" t="s">
        <v>13</v>
      </c>
      <c r="H70" s="62">
        <v>32</v>
      </c>
      <c r="I70" s="62">
        <f t="shared" ref="I70:I133" si="28">H70*F70</f>
        <v>256</v>
      </c>
      <c r="J70" s="51">
        <f t="shared" si="11"/>
        <v>14</v>
      </c>
      <c r="K70" s="51">
        <f t="shared" ref="K70:K133" si="29">_xlfn.RANK.EQ(I70,$I$5:$I$247)</f>
        <v>14</v>
      </c>
      <c r="L70" s="51">
        <f t="shared" ref="L70:L133" si="30">SUMIF(G$5:G$247,G70,I$5:I$247)</f>
        <v>12307</v>
      </c>
      <c r="M70" s="51">
        <f t="shared" ref="M70:M133" si="31">COUNTIF($G$5:$G$247,G70)</f>
        <v>101</v>
      </c>
      <c r="N70" s="51" t="b">
        <f t="shared" si="20"/>
        <v>0</v>
      </c>
      <c r="O70" s="51" t="b">
        <f t="shared" si="21"/>
        <v>1</v>
      </c>
      <c r="P70" s="51" t="str">
        <f t="shared" ref="P70:P133" si="32">_xlfn.CONCAT(G70,"-",F70)</f>
        <v>ct-8</v>
      </c>
      <c r="Q70" s="52" t="str">
        <f t="shared" ref="Q70:Q133" si="33">_xlfn.CONCAT(H70,B70)</f>
        <v>32C006850</v>
      </c>
      <c r="R70" s="51" t="b">
        <f t="shared" ref="R70:R133" si="34">EXACT(C70,D70)</f>
        <v>0</v>
      </c>
      <c r="S70" s="51"/>
      <c r="T70" s="51" t="str">
        <f t="shared" ref="T70:T133" si="35">UPPER(G70)</f>
        <v>CT</v>
      </c>
      <c r="U70" s="51" t="str">
        <f t="shared" ref="U70:U133" si="36">LOWER(G70)</f>
        <v>ct</v>
      </c>
      <c r="V70" s="51">
        <f t="shared" ref="V70:V133" si="37">SEARCH("p",A70)</f>
        <v>1</v>
      </c>
      <c r="W70" s="51" t="str">
        <f t="shared" si="22"/>
        <v>P011 8</v>
      </c>
      <c r="X70" s="51" t="str">
        <f t="shared" si="23"/>
        <v>CT</v>
      </c>
      <c r="Y70" s="51" t="str">
        <f t="shared" si="24"/>
        <v>32C</v>
      </c>
      <c r="Z70" s="51" t="str">
        <f t="shared" si="25"/>
        <v>UE</v>
      </c>
      <c r="AA70" s="51">
        <f t="shared" si="26"/>
        <v>4</v>
      </c>
      <c r="AB70" s="51">
        <f t="shared" si="27"/>
        <v>9</v>
      </c>
      <c r="AC70" s="53"/>
      <c r="AD70" s="51" t="s">
        <v>240</v>
      </c>
      <c r="AE70" s="57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spans="1:41" ht="30" x14ac:dyDescent="0.25">
      <c r="A71" s="62" t="s">
        <v>116</v>
      </c>
      <c r="B71" s="62" t="s">
        <v>2237</v>
      </c>
      <c r="C71" s="62" t="s">
        <v>2384</v>
      </c>
      <c r="D71" s="62" t="s">
        <v>1544</v>
      </c>
      <c r="E71" s="62" t="s">
        <v>295</v>
      </c>
      <c r="F71" s="62">
        <v>9</v>
      </c>
      <c r="G71" s="62" t="s">
        <v>35</v>
      </c>
      <c r="H71" s="62">
        <v>6.75</v>
      </c>
      <c r="I71" s="62">
        <f t="shared" si="28"/>
        <v>60.75</v>
      </c>
      <c r="J71" s="51">
        <f t="shared" si="11"/>
        <v>156</v>
      </c>
      <c r="K71" s="51">
        <f t="shared" si="29"/>
        <v>156</v>
      </c>
      <c r="L71" s="51">
        <f t="shared" si="30"/>
        <v>4518</v>
      </c>
      <c r="M71" s="51">
        <f t="shared" si="31"/>
        <v>52</v>
      </c>
      <c r="N71" s="51" t="b">
        <f t="shared" si="20"/>
        <v>1</v>
      </c>
      <c r="O71" s="51" t="b">
        <f t="shared" si="21"/>
        <v>0</v>
      </c>
      <c r="P71" s="51" t="str">
        <f t="shared" si="32"/>
        <v>cans-9</v>
      </c>
      <c r="Q71" s="52" t="str">
        <f t="shared" si="33"/>
        <v>6.75C005117</v>
      </c>
      <c r="R71" s="51" t="b">
        <f t="shared" si="34"/>
        <v>0</v>
      </c>
      <c r="S71" s="51"/>
      <c r="T71" s="51" t="str">
        <f t="shared" si="35"/>
        <v>CANS</v>
      </c>
      <c r="U71" s="51" t="str">
        <f t="shared" si="36"/>
        <v>cans</v>
      </c>
      <c r="V71" s="51">
        <f t="shared" si="37"/>
        <v>1</v>
      </c>
      <c r="W71" s="51" t="str">
        <f t="shared" si="22"/>
        <v>P013 9</v>
      </c>
      <c r="X71" s="51" t="str">
        <f t="shared" si="23"/>
        <v>CAOS</v>
      </c>
      <c r="Y71" s="51" t="str">
        <f t="shared" si="24"/>
        <v>6.7</v>
      </c>
      <c r="Z71" s="51" t="str">
        <f t="shared" si="25"/>
        <v>SE</v>
      </c>
      <c r="AA71" s="51">
        <f t="shared" si="26"/>
        <v>6</v>
      </c>
      <c r="AB71" s="51">
        <f t="shared" si="27"/>
        <v>11</v>
      </c>
      <c r="AC71" s="53"/>
      <c r="AD71" s="51" t="s">
        <v>240</v>
      </c>
      <c r="AE71" s="57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spans="1:41" ht="30" x14ac:dyDescent="0.25">
      <c r="A72" s="62" t="s">
        <v>168</v>
      </c>
      <c r="B72" s="62" t="s">
        <v>2385</v>
      </c>
      <c r="C72" s="62" t="s">
        <v>2386</v>
      </c>
      <c r="D72" s="62" t="s">
        <v>1879</v>
      </c>
      <c r="E72" s="62" t="s">
        <v>136</v>
      </c>
      <c r="F72" s="62">
        <v>11</v>
      </c>
      <c r="G72" s="62" t="s">
        <v>13</v>
      </c>
      <c r="H72" s="62">
        <v>15</v>
      </c>
      <c r="I72" s="62">
        <f t="shared" si="28"/>
        <v>165</v>
      </c>
      <c r="J72" s="51">
        <f t="shared" si="11"/>
        <v>44</v>
      </c>
      <c r="K72" s="51">
        <f t="shared" si="29"/>
        <v>44</v>
      </c>
      <c r="L72" s="51">
        <f t="shared" si="30"/>
        <v>12307</v>
      </c>
      <c r="M72" s="51">
        <f t="shared" si="31"/>
        <v>101</v>
      </c>
      <c r="N72" s="51" t="b">
        <f t="shared" si="20"/>
        <v>0</v>
      </c>
      <c r="O72" s="51" t="b">
        <f t="shared" si="21"/>
        <v>1</v>
      </c>
      <c r="P72" s="51" t="str">
        <f t="shared" si="32"/>
        <v>ct-11</v>
      </c>
      <c r="Q72" s="52" t="str">
        <f t="shared" si="33"/>
        <v>15C005238</v>
      </c>
      <c r="R72" s="51" t="b">
        <f t="shared" si="34"/>
        <v>0</v>
      </c>
      <c r="S72" s="51"/>
      <c r="T72" s="51" t="str">
        <f t="shared" si="35"/>
        <v>CT</v>
      </c>
      <c r="U72" s="51" t="str">
        <f t="shared" si="36"/>
        <v>ct</v>
      </c>
      <c r="V72" s="51">
        <f t="shared" si="37"/>
        <v>1</v>
      </c>
      <c r="W72" s="51" t="str">
        <f t="shared" si="22"/>
        <v>P017 11</v>
      </c>
      <c r="X72" s="51" t="str">
        <f t="shared" si="23"/>
        <v>CT</v>
      </c>
      <c r="Y72" s="51" t="str">
        <f t="shared" si="24"/>
        <v>15C</v>
      </c>
      <c r="Z72" s="51" t="str">
        <f t="shared" si="25"/>
        <v>UE</v>
      </c>
      <c r="AA72" s="51">
        <f t="shared" si="26"/>
        <v>4</v>
      </c>
      <c r="AB72" s="51">
        <f t="shared" si="27"/>
        <v>9</v>
      </c>
      <c r="AC72" s="53"/>
      <c r="AD72" s="51" t="s">
        <v>8</v>
      </c>
      <c r="AE72" s="57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spans="1:41" x14ac:dyDescent="0.25">
      <c r="A73" s="62" t="s">
        <v>519</v>
      </c>
      <c r="B73" s="62" t="s">
        <v>2387</v>
      </c>
      <c r="C73" s="62" t="s">
        <v>2388</v>
      </c>
      <c r="D73" s="62" t="s">
        <v>132</v>
      </c>
      <c r="E73" s="62" t="s">
        <v>1802</v>
      </c>
      <c r="F73" s="62">
        <v>2</v>
      </c>
      <c r="G73" s="62" t="s">
        <v>35</v>
      </c>
      <c r="H73" s="62">
        <v>8</v>
      </c>
      <c r="I73" s="62">
        <f t="shared" si="28"/>
        <v>16</v>
      </c>
      <c r="J73" s="51">
        <f t="shared" ref="J73:J136" si="38">_xlfn.RANK.AVG(I73,$I$5:$I$247)</f>
        <v>229</v>
      </c>
      <c r="K73" s="51">
        <f t="shared" si="29"/>
        <v>227</v>
      </c>
      <c r="L73" s="51">
        <f t="shared" si="30"/>
        <v>4518</v>
      </c>
      <c r="M73" s="51">
        <f t="shared" si="31"/>
        <v>52</v>
      </c>
      <c r="N73" s="51" t="b">
        <f t="shared" si="20"/>
        <v>1</v>
      </c>
      <c r="O73" s="51" t="b">
        <f t="shared" si="21"/>
        <v>0</v>
      </c>
      <c r="P73" s="51" t="str">
        <f t="shared" si="32"/>
        <v>cans-2</v>
      </c>
      <c r="Q73" s="52" t="str">
        <f t="shared" si="33"/>
        <v>8C003922</v>
      </c>
      <c r="R73" s="51" t="b">
        <f t="shared" si="34"/>
        <v>0</v>
      </c>
      <c r="S73" s="51"/>
      <c r="T73" s="51" t="str">
        <f t="shared" si="35"/>
        <v>CANS</v>
      </c>
      <c r="U73" s="51" t="str">
        <f t="shared" si="36"/>
        <v>cans</v>
      </c>
      <c r="V73" s="51">
        <f t="shared" si="37"/>
        <v>1</v>
      </c>
      <c r="W73" s="51" t="str">
        <f t="shared" si="22"/>
        <v>P008 2</v>
      </c>
      <c r="X73" s="51" t="str">
        <f t="shared" si="23"/>
        <v>CAOS</v>
      </c>
      <c r="Y73" s="51" t="str">
        <f t="shared" si="24"/>
        <v>8C0</v>
      </c>
      <c r="Z73" s="51" t="str">
        <f t="shared" si="25"/>
        <v>SE</v>
      </c>
      <c r="AA73" s="51">
        <f t="shared" si="26"/>
        <v>3</v>
      </c>
      <c r="AB73" s="51">
        <f t="shared" si="27"/>
        <v>8</v>
      </c>
      <c r="AC73" s="53"/>
      <c r="AD73" s="51" t="s">
        <v>8</v>
      </c>
      <c r="AE73" s="57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spans="1:41" ht="30" x14ac:dyDescent="0.25">
      <c r="A74" s="62" t="s">
        <v>200</v>
      </c>
      <c r="B74" s="62" t="s">
        <v>2389</v>
      </c>
      <c r="C74" s="62" t="s">
        <v>2390</v>
      </c>
      <c r="D74" s="62" t="s">
        <v>243</v>
      </c>
      <c r="E74" s="62" t="s">
        <v>2391</v>
      </c>
      <c r="F74" s="62">
        <v>7</v>
      </c>
      <c r="G74" s="62" t="s">
        <v>245</v>
      </c>
      <c r="H74" s="62">
        <v>12</v>
      </c>
      <c r="I74" s="62">
        <f t="shared" si="28"/>
        <v>84</v>
      </c>
      <c r="J74" s="51">
        <f t="shared" si="38"/>
        <v>120.5</v>
      </c>
      <c r="K74" s="51">
        <f t="shared" si="29"/>
        <v>120</v>
      </c>
      <c r="L74" s="51">
        <f t="shared" si="30"/>
        <v>108</v>
      </c>
      <c r="M74" s="51">
        <f t="shared" si="31"/>
        <v>2</v>
      </c>
      <c r="N74" s="51" t="b">
        <f t="shared" si="20"/>
        <v>1</v>
      </c>
      <c r="O74" s="51" t="b">
        <f t="shared" si="21"/>
        <v>0</v>
      </c>
      <c r="P74" s="51" t="str">
        <f t="shared" si="32"/>
        <v>tins-7</v>
      </c>
      <c r="Q74" s="52" t="str">
        <f t="shared" si="33"/>
        <v>12C007733</v>
      </c>
      <c r="R74" s="51" t="b">
        <f t="shared" si="34"/>
        <v>0</v>
      </c>
      <c r="S74" s="51"/>
      <c r="T74" s="51" t="str">
        <f t="shared" si="35"/>
        <v>TINS</v>
      </c>
      <c r="U74" s="51" t="str">
        <f t="shared" si="36"/>
        <v>tins</v>
      </c>
      <c r="V74" s="51">
        <f t="shared" si="37"/>
        <v>1</v>
      </c>
      <c r="W74" s="51" t="str">
        <f t="shared" si="22"/>
        <v>P036 7</v>
      </c>
      <c r="X74" s="51" t="str">
        <f t="shared" si="23"/>
        <v>TIOS</v>
      </c>
      <c r="Y74" s="51" t="str">
        <f t="shared" si="24"/>
        <v>12C</v>
      </c>
      <c r="Z74" s="51" t="str">
        <f t="shared" si="25"/>
        <v>SE</v>
      </c>
      <c r="AA74" s="51">
        <f t="shared" si="26"/>
        <v>4</v>
      </c>
      <c r="AB74" s="51">
        <f t="shared" si="27"/>
        <v>9</v>
      </c>
      <c r="AC74" s="53"/>
      <c r="AD74" s="51" t="s">
        <v>8</v>
      </c>
      <c r="AE74" s="57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spans="1:41" x14ac:dyDescent="0.25">
      <c r="A75" s="62" t="s">
        <v>200</v>
      </c>
      <c r="B75" s="62" t="s">
        <v>2392</v>
      </c>
      <c r="C75" s="62" t="s">
        <v>2393</v>
      </c>
      <c r="D75" s="62" t="s">
        <v>895</v>
      </c>
      <c r="E75" s="62" t="s">
        <v>1845</v>
      </c>
      <c r="F75" s="62">
        <v>4</v>
      </c>
      <c r="G75" s="62" t="s">
        <v>60</v>
      </c>
      <c r="H75" s="62">
        <v>9</v>
      </c>
      <c r="I75" s="62">
        <f t="shared" si="28"/>
        <v>36</v>
      </c>
      <c r="J75" s="51">
        <f t="shared" si="38"/>
        <v>183.5</v>
      </c>
      <c r="K75" s="51">
        <f t="shared" si="29"/>
        <v>183</v>
      </c>
      <c r="L75" s="51">
        <f t="shared" si="30"/>
        <v>3427</v>
      </c>
      <c r="M75" s="51">
        <f t="shared" si="31"/>
        <v>31</v>
      </c>
      <c r="N75" s="51" t="b">
        <f t="shared" si="20"/>
        <v>1</v>
      </c>
      <c r="O75" s="51" t="b">
        <f t="shared" si="21"/>
        <v>0</v>
      </c>
      <c r="P75" s="51" t="str">
        <f t="shared" si="32"/>
        <v>bottles-4</v>
      </c>
      <c r="Q75" s="52" t="str">
        <f t="shared" si="33"/>
        <v>9C002162</v>
      </c>
      <c r="R75" s="51" t="b">
        <f t="shared" si="34"/>
        <v>0</v>
      </c>
      <c r="S75" s="51"/>
      <c r="T75" s="51" t="str">
        <f t="shared" si="35"/>
        <v>BOTTLES</v>
      </c>
      <c r="U75" s="51" t="str">
        <f t="shared" si="36"/>
        <v>bottles</v>
      </c>
      <c r="V75" s="51">
        <f t="shared" si="37"/>
        <v>1</v>
      </c>
      <c r="W75" s="51" t="str">
        <f t="shared" si="22"/>
        <v>P036 4</v>
      </c>
      <c r="X75" s="51" t="str">
        <f t="shared" si="23"/>
        <v>BOTTLES</v>
      </c>
      <c r="Y75" s="51" t="str">
        <f t="shared" si="24"/>
        <v>9C0</v>
      </c>
      <c r="Z75" s="51" t="str">
        <f t="shared" si="25"/>
        <v>SE</v>
      </c>
      <c r="AA75" s="51">
        <f t="shared" si="26"/>
        <v>3</v>
      </c>
      <c r="AB75" s="51">
        <f t="shared" si="27"/>
        <v>8</v>
      </c>
      <c r="AC75" s="53"/>
      <c r="AD75" s="51" t="s">
        <v>66</v>
      </c>
      <c r="AE75" s="57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spans="1:41" ht="30" x14ac:dyDescent="0.25">
      <c r="A76" s="62" t="s">
        <v>125</v>
      </c>
      <c r="B76" s="62" t="s">
        <v>2394</v>
      </c>
      <c r="C76" s="62" t="s">
        <v>2395</v>
      </c>
      <c r="D76" s="62" t="s">
        <v>1708</v>
      </c>
      <c r="E76" s="62" t="s">
        <v>1155</v>
      </c>
      <c r="F76" s="62">
        <v>6</v>
      </c>
      <c r="G76" s="62" t="s">
        <v>35</v>
      </c>
      <c r="H76" s="62">
        <v>16</v>
      </c>
      <c r="I76" s="62">
        <f t="shared" si="28"/>
        <v>96</v>
      </c>
      <c r="J76" s="51">
        <f t="shared" si="38"/>
        <v>112.5</v>
      </c>
      <c r="K76" s="51">
        <f t="shared" si="29"/>
        <v>110</v>
      </c>
      <c r="L76" s="51">
        <f t="shared" si="30"/>
        <v>4518</v>
      </c>
      <c r="M76" s="51">
        <f t="shared" si="31"/>
        <v>52</v>
      </c>
      <c r="N76" s="51" t="b">
        <f t="shared" si="20"/>
        <v>1</v>
      </c>
      <c r="O76" s="51" t="b">
        <f t="shared" si="21"/>
        <v>0</v>
      </c>
      <c r="P76" s="51" t="str">
        <f t="shared" si="32"/>
        <v>cans-6</v>
      </c>
      <c r="Q76" s="52" t="str">
        <f t="shared" si="33"/>
        <v>16C006792</v>
      </c>
      <c r="R76" s="51" t="b">
        <f t="shared" si="34"/>
        <v>0</v>
      </c>
      <c r="S76" s="51"/>
      <c r="T76" s="51" t="str">
        <f t="shared" si="35"/>
        <v>CANS</v>
      </c>
      <c r="U76" s="51" t="str">
        <f t="shared" si="36"/>
        <v>cans</v>
      </c>
      <c r="V76" s="51">
        <f t="shared" si="37"/>
        <v>1</v>
      </c>
      <c r="W76" s="51" t="str">
        <f t="shared" si="22"/>
        <v>P028 6</v>
      </c>
      <c r="X76" s="51" t="str">
        <f t="shared" si="23"/>
        <v>CAOS</v>
      </c>
      <c r="Y76" s="51" t="str">
        <f t="shared" si="24"/>
        <v>16C</v>
      </c>
      <c r="Z76" s="51" t="str">
        <f t="shared" si="25"/>
        <v>SE</v>
      </c>
      <c r="AA76" s="51">
        <f t="shared" si="26"/>
        <v>4</v>
      </c>
      <c r="AB76" s="51">
        <f t="shared" si="27"/>
        <v>9</v>
      </c>
      <c r="AC76" s="53"/>
      <c r="AD76" s="51" t="s">
        <v>66</v>
      </c>
      <c r="AE76" s="57"/>
      <c r="AF76" s="53"/>
      <c r="AG76" s="53"/>
      <c r="AH76" s="53"/>
      <c r="AI76" s="53"/>
      <c r="AJ76" s="53"/>
      <c r="AK76" s="53"/>
      <c r="AL76" s="53"/>
      <c r="AM76" s="53"/>
      <c r="AN76" s="53"/>
      <c r="AO76" s="53"/>
    </row>
    <row r="77" spans="1:41" ht="30" x14ac:dyDescent="0.25">
      <c r="A77" s="62" t="s">
        <v>116</v>
      </c>
      <c r="B77" s="62" t="s">
        <v>2396</v>
      </c>
      <c r="C77" s="62" t="s">
        <v>2397</v>
      </c>
      <c r="D77" s="62" t="s">
        <v>588</v>
      </c>
      <c r="E77" s="62" t="s">
        <v>153</v>
      </c>
      <c r="F77" s="62">
        <v>6</v>
      </c>
      <c r="G77" s="62" t="s">
        <v>106</v>
      </c>
      <c r="H77" s="62">
        <v>16</v>
      </c>
      <c r="I77" s="62">
        <f t="shared" si="28"/>
        <v>96</v>
      </c>
      <c r="J77" s="51">
        <f t="shared" si="38"/>
        <v>112.5</v>
      </c>
      <c r="K77" s="51">
        <f t="shared" si="29"/>
        <v>110</v>
      </c>
      <c r="L77" s="51">
        <f t="shared" si="30"/>
        <v>1357</v>
      </c>
      <c r="M77" s="51">
        <f t="shared" si="31"/>
        <v>14</v>
      </c>
      <c r="N77" s="51" t="b">
        <f t="shared" si="20"/>
        <v>1</v>
      </c>
      <c r="O77" s="51" t="b">
        <f t="shared" si="21"/>
        <v>0</v>
      </c>
      <c r="P77" s="51" t="str">
        <f t="shared" si="32"/>
        <v>bags-6</v>
      </c>
      <c r="Q77" s="52" t="str">
        <f t="shared" si="33"/>
        <v>16C004714</v>
      </c>
      <c r="R77" s="51" t="b">
        <f t="shared" si="34"/>
        <v>0</v>
      </c>
      <c r="S77" s="51"/>
      <c r="T77" s="51" t="str">
        <f t="shared" si="35"/>
        <v>BAGS</v>
      </c>
      <c r="U77" s="51" t="str">
        <f t="shared" si="36"/>
        <v>bags</v>
      </c>
      <c r="V77" s="51">
        <f t="shared" si="37"/>
        <v>1</v>
      </c>
      <c r="W77" s="51" t="str">
        <f t="shared" si="22"/>
        <v>P013 6</v>
      </c>
      <c r="X77" s="51" t="str">
        <f t="shared" si="23"/>
        <v>BAGS</v>
      </c>
      <c r="Y77" s="51" t="str">
        <f t="shared" si="24"/>
        <v>16C</v>
      </c>
      <c r="Z77" s="51" t="str">
        <f t="shared" si="25"/>
        <v>SE</v>
      </c>
      <c r="AA77" s="51">
        <f t="shared" si="26"/>
        <v>4</v>
      </c>
      <c r="AB77" s="51">
        <f t="shared" si="27"/>
        <v>9</v>
      </c>
      <c r="AC77" s="53"/>
      <c r="AD77" s="51" t="s">
        <v>66</v>
      </c>
      <c r="AE77" s="57"/>
      <c r="AF77" s="53"/>
      <c r="AG77" s="53"/>
      <c r="AH77" s="53"/>
      <c r="AI77" s="53"/>
      <c r="AJ77" s="53"/>
      <c r="AK77" s="53"/>
      <c r="AL77" s="53"/>
      <c r="AM77" s="53"/>
      <c r="AN77" s="53"/>
      <c r="AO77" s="53"/>
    </row>
    <row r="78" spans="1:41" ht="30" x14ac:dyDescent="0.25">
      <c r="A78" s="62" t="s">
        <v>146</v>
      </c>
      <c r="B78" s="62" t="s">
        <v>126</v>
      </c>
      <c r="C78" s="62" t="s">
        <v>2398</v>
      </c>
      <c r="D78" s="62" t="s">
        <v>567</v>
      </c>
      <c r="E78" s="62" t="s">
        <v>2017</v>
      </c>
      <c r="F78" s="62">
        <v>3</v>
      </c>
      <c r="G78" s="62" t="s">
        <v>60</v>
      </c>
      <c r="H78" s="62">
        <v>20</v>
      </c>
      <c r="I78" s="62">
        <f t="shared" si="28"/>
        <v>60</v>
      </c>
      <c r="J78" s="51">
        <f t="shared" si="38"/>
        <v>158.5</v>
      </c>
      <c r="K78" s="51">
        <f t="shared" si="29"/>
        <v>157</v>
      </c>
      <c r="L78" s="51">
        <f t="shared" si="30"/>
        <v>3427</v>
      </c>
      <c r="M78" s="51">
        <f t="shared" si="31"/>
        <v>31</v>
      </c>
      <c r="N78" s="51" t="b">
        <f t="shared" si="20"/>
        <v>1</v>
      </c>
      <c r="O78" s="51" t="b">
        <f t="shared" si="21"/>
        <v>0</v>
      </c>
      <c r="P78" s="51" t="str">
        <f t="shared" si="32"/>
        <v>bottles-3</v>
      </c>
      <c r="Q78" s="52" t="str">
        <f t="shared" si="33"/>
        <v>20C004437</v>
      </c>
      <c r="R78" s="51" t="b">
        <f t="shared" si="34"/>
        <v>0</v>
      </c>
      <c r="S78" s="51"/>
      <c r="T78" s="51" t="str">
        <f t="shared" si="35"/>
        <v>BOTTLES</v>
      </c>
      <c r="U78" s="51" t="str">
        <f t="shared" si="36"/>
        <v>bottles</v>
      </c>
      <c r="V78" s="51">
        <f t="shared" si="37"/>
        <v>1</v>
      </c>
      <c r="W78" s="51" t="str">
        <f t="shared" si="22"/>
        <v>P010 3</v>
      </c>
      <c r="X78" s="51" t="str">
        <f t="shared" si="23"/>
        <v>BOTTLES</v>
      </c>
      <c r="Y78" s="51" t="str">
        <f t="shared" si="24"/>
        <v>20C</v>
      </c>
      <c r="Z78" s="51" t="str">
        <f t="shared" si="25"/>
        <v>SE</v>
      </c>
      <c r="AA78" s="51">
        <f t="shared" si="26"/>
        <v>2</v>
      </c>
      <c r="AB78" s="51">
        <f t="shared" si="27"/>
        <v>9</v>
      </c>
      <c r="AC78" s="53"/>
      <c r="AD78" s="51" t="s">
        <v>66</v>
      </c>
      <c r="AE78" s="57"/>
      <c r="AF78" s="53"/>
      <c r="AG78" s="53"/>
      <c r="AH78" s="53"/>
      <c r="AI78" s="53"/>
      <c r="AJ78" s="53"/>
      <c r="AK78" s="53"/>
      <c r="AL78" s="53"/>
      <c r="AM78" s="53"/>
      <c r="AN78" s="53"/>
      <c r="AO78" s="53"/>
    </row>
    <row r="79" spans="1:41" ht="30" x14ac:dyDescent="0.25">
      <c r="A79" s="62" t="s">
        <v>14</v>
      </c>
      <c r="B79" s="62" t="s">
        <v>2399</v>
      </c>
      <c r="C79" s="62" t="s">
        <v>2400</v>
      </c>
      <c r="D79" s="62" t="s">
        <v>1048</v>
      </c>
      <c r="E79" s="62" t="s">
        <v>95</v>
      </c>
      <c r="F79" s="62">
        <v>3</v>
      </c>
      <c r="G79" s="62" t="s">
        <v>35</v>
      </c>
      <c r="H79" s="62">
        <v>16</v>
      </c>
      <c r="I79" s="62">
        <f t="shared" si="28"/>
        <v>48</v>
      </c>
      <c r="J79" s="51">
        <f t="shared" si="38"/>
        <v>170.5</v>
      </c>
      <c r="K79" s="51">
        <f t="shared" si="29"/>
        <v>170</v>
      </c>
      <c r="L79" s="51">
        <f t="shared" si="30"/>
        <v>4518</v>
      </c>
      <c r="M79" s="51">
        <f t="shared" si="31"/>
        <v>52</v>
      </c>
      <c r="N79" s="51" t="b">
        <f t="shared" si="20"/>
        <v>1</v>
      </c>
      <c r="O79" s="51" t="b">
        <f t="shared" si="21"/>
        <v>0</v>
      </c>
      <c r="P79" s="51" t="str">
        <f t="shared" si="32"/>
        <v>cans-3</v>
      </c>
      <c r="Q79" s="52" t="str">
        <f t="shared" si="33"/>
        <v>16C001019</v>
      </c>
      <c r="R79" s="51" t="b">
        <f t="shared" si="34"/>
        <v>0</v>
      </c>
      <c r="S79" s="51"/>
      <c r="T79" s="51" t="str">
        <f t="shared" si="35"/>
        <v>CANS</v>
      </c>
      <c r="U79" s="51" t="str">
        <f t="shared" si="36"/>
        <v>cans</v>
      </c>
      <c r="V79" s="51">
        <f t="shared" si="37"/>
        <v>1</v>
      </c>
      <c r="W79" s="51" t="str">
        <f t="shared" si="22"/>
        <v>P022 3</v>
      </c>
      <c r="X79" s="51" t="str">
        <f t="shared" si="23"/>
        <v>CAOS</v>
      </c>
      <c r="Y79" s="51" t="str">
        <f t="shared" si="24"/>
        <v>16C</v>
      </c>
      <c r="Z79" s="51" t="str">
        <f t="shared" si="25"/>
        <v>SE</v>
      </c>
      <c r="AA79" s="51">
        <f t="shared" si="26"/>
        <v>4</v>
      </c>
      <c r="AB79" s="51">
        <f t="shared" si="27"/>
        <v>9</v>
      </c>
      <c r="AC79" s="53"/>
      <c r="AD79" s="51" t="s">
        <v>125</v>
      </c>
      <c r="AE79" s="57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spans="1:41" ht="30" x14ac:dyDescent="0.25">
      <c r="A80" s="62" t="s">
        <v>82</v>
      </c>
      <c r="B80" s="62" t="s">
        <v>2401</v>
      </c>
      <c r="C80" s="62" t="s">
        <v>2402</v>
      </c>
      <c r="D80" s="62" t="s">
        <v>1784</v>
      </c>
      <c r="E80" s="62" t="s">
        <v>747</v>
      </c>
      <c r="F80" s="62">
        <v>10</v>
      </c>
      <c r="G80" s="62" t="s">
        <v>1786</v>
      </c>
      <c r="H80" s="62">
        <v>16</v>
      </c>
      <c r="I80" s="62">
        <f t="shared" si="28"/>
        <v>160</v>
      </c>
      <c r="J80" s="51">
        <f t="shared" si="38"/>
        <v>50.5</v>
      </c>
      <c r="K80" s="51">
        <f t="shared" si="29"/>
        <v>48</v>
      </c>
      <c r="L80" s="51">
        <f t="shared" si="30"/>
        <v>160</v>
      </c>
      <c r="M80" s="51">
        <f t="shared" si="31"/>
        <v>1</v>
      </c>
      <c r="N80" s="51" t="b">
        <f t="shared" si="20"/>
        <v>0</v>
      </c>
      <c r="O80" s="51" t="b">
        <f t="shared" si="21"/>
        <v>1</v>
      </c>
      <c r="P80" s="51" t="str">
        <f t="shared" si="32"/>
        <v>botlltes-10</v>
      </c>
      <c r="Q80" s="52" t="str">
        <f t="shared" si="33"/>
        <v>16C004332</v>
      </c>
      <c r="R80" s="51" t="b">
        <f t="shared" si="34"/>
        <v>0</v>
      </c>
      <c r="S80" s="51"/>
      <c r="T80" s="51" t="str">
        <f t="shared" si="35"/>
        <v>BOTLLTES</v>
      </c>
      <c r="U80" s="51" t="str">
        <f t="shared" si="36"/>
        <v>botlltes</v>
      </c>
      <c r="V80" s="51">
        <f t="shared" si="37"/>
        <v>1</v>
      </c>
      <c r="W80" s="51" t="str">
        <f t="shared" si="22"/>
        <v>P018 10</v>
      </c>
      <c r="X80" s="51" t="str">
        <f t="shared" si="23"/>
        <v>BOTLLTES</v>
      </c>
      <c r="Y80" s="51" t="str">
        <f t="shared" si="24"/>
        <v>16C</v>
      </c>
      <c r="Z80" s="51" t="str">
        <f t="shared" si="25"/>
        <v>UE</v>
      </c>
      <c r="AA80" s="51">
        <f t="shared" si="26"/>
        <v>4</v>
      </c>
      <c r="AB80" s="51">
        <f t="shared" si="27"/>
        <v>9</v>
      </c>
      <c r="AC80" s="53"/>
      <c r="AD80" s="51" t="s">
        <v>125</v>
      </c>
      <c r="AE80" s="57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spans="1:41" ht="30" x14ac:dyDescent="0.25">
      <c r="A81" s="62" t="s">
        <v>30</v>
      </c>
      <c r="B81" s="62" t="s">
        <v>2403</v>
      </c>
      <c r="C81" s="62" t="s">
        <v>2404</v>
      </c>
      <c r="D81" s="62" t="s">
        <v>207</v>
      </c>
      <c r="E81" s="62" t="s">
        <v>1815</v>
      </c>
      <c r="F81" s="62">
        <v>8</v>
      </c>
      <c r="G81" s="62" t="s">
        <v>35</v>
      </c>
      <c r="H81" s="62">
        <v>16</v>
      </c>
      <c r="I81" s="62">
        <f t="shared" si="28"/>
        <v>128</v>
      </c>
      <c r="J81" s="51">
        <f t="shared" si="38"/>
        <v>78</v>
      </c>
      <c r="K81" s="51">
        <f t="shared" si="29"/>
        <v>78</v>
      </c>
      <c r="L81" s="51">
        <f t="shared" si="30"/>
        <v>4518</v>
      </c>
      <c r="M81" s="51">
        <f t="shared" si="31"/>
        <v>52</v>
      </c>
      <c r="N81" s="51" t="b">
        <f t="shared" si="20"/>
        <v>0</v>
      </c>
      <c r="O81" s="51" t="b">
        <f t="shared" si="21"/>
        <v>1</v>
      </c>
      <c r="P81" s="51" t="str">
        <f t="shared" si="32"/>
        <v>cans-8</v>
      </c>
      <c r="Q81" s="52" t="str">
        <f t="shared" si="33"/>
        <v>16C004606</v>
      </c>
      <c r="R81" s="51" t="b">
        <f t="shared" si="34"/>
        <v>0</v>
      </c>
      <c r="S81" s="51"/>
      <c r="T81" s="51" t="str">
        <f t="shared" si="35"/>
        <v>CANS</v>
      </c>
      <c r="U81" s="51" t="str">
        <f t="shared" si="36"/>
        <v>cans</v>
      </c>
      <c r="V81" s="51">
        <f t="shared" si="37"/>
        <v>1</v>
      </c>
      <c r="W81" s="51" t="str">
        <f t="shared" si="22"/>
        <v>P014 8</v>
      </c>
      <c r="X81" s="51" t="str">
        <f t="shared" si="23"/>
        <v>CAOS</v>
      </c>
      <c r="Y81" s="51" t="str">
        <f t="shared" si="24"/>
        <v>16C</v>
      </c>
      <c r="Z81" s="51" t="str">
        <f t="shared" si="25"/>
        <v>UE</v>
      </c>
      <c r="AA81" s="51">
        <f t="shared" si="26"/>
        <v>4</v>
      </c>
      <c r="AB81" s="51">
        <f t="shared" si="27"/>
        <v>9</v>
      </c>
      <c r="AC81" s="53"/>
      <c r="AD81" s="51" t="s">
        <v>125</v>
      </c>
      <c r="AE81" s="57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spans="1:41" ht="30" x14ac:dyDescent="0.25">
      <c r="A82" s="62" t="s">
        <v>121</v>
      </c>
      <c r="B82" s="62" t="s">
        <v>2405</v>
      </c>
      <c r="C82" s="62" t="s">
        <v>2406</v>
      </c>
      <c r="D82" s="62" t="s">
        <v>844</v>
      </c>
      <c r="E82" s="62" t="s">
        <v>287</v>
      </c>
      <c r="F82" s="62">
        <v>5</v>
      </c>
      <c r="G82" s="62" t="s">
        <v>13</v>
      </c>
      <c r="H82" s="62">
        <v>11</v>
      </c>
      <c r="I82" s="62">
        <f t="shared" si="28"/>
        <v>55</v>
      </c>
      <c r="J82" s="51">
        <f t="shared" si="38"/>
        <v>164</v>
      </c>
      <c r="K82" s="51">
        <f t="shared" si="29"/>
        <v>164</v>
      </c>
      <c r="L82" s="51">
        <f t="shared" si="30"/>
        <v>12307</v>
      </c>
      <c r="M82" s="51">
        <f t="shared" si="31"/>
        <v>101</v>
      </c>
      <c r="N82" s="51" t="b">
        <f t="shared" si="20"/>
        <v>1</v>
      </c>
      <c r="O82" s="51" t="b">
        <f t="shared" si="21"/>
        <v>0</v>
      </c>
      <c r="P82" s="51" t="str">
        <f t="shared" si="32"/>
        <v>ct-5</v>
      </c>
      <c r="Q82" s="52" t="str">
        <f t="shared" si="33"/>
        <v>11C007695</v>
      </c>
      <c r="R82" s="51" t="b">
        <f t="shared" si="34"/>
        <v>0</v>
      </c>
      <c r="S82" s="51"/>
      <c r="T82" s="51" t="str">
        <f t="shared" si="35"/>
        <v>CT</v>
      </c>
      <c r="U82" s="51" t="str">
        <f t="shared" si="36"/>
        <v>ct</v>
      </c>
      <c r="V82" s="51">
        <f t="shared" si="37"/>
        <v>1</v>
      </c>
      <c r="W82" s="51" t="str">
        <f t="shared" si="22"/>
        <v>P001 5</v>
      </c>
      <c r="X82" s="51" t="str">
        <f t="shared" si="23"/>
        <v>CT</v>
      </c>
      <c r="Y82" s="51" t="str">
        <f t="shared" si="24"/>
        <v>11C</v>
      </c>
      <c r="Z82" s="51" t="str">
        <f t="shared" si="25"/>
        <v>SE</v>
      </c>
      <c r="AA82" s="51">
        <f t="shared" si="26"/>
        <v>4</v>
      </c>
      <c r="AB82" s="51">
        <f t="shared" si="27"/>
        <v>9</v>
      </c>
      <c r="AC82" s="53"/>
      <c r="AD82" s="51" t="s">
        <v>187</v>
      </c>
      <c r="AE82" s="57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spans="1:41" ht="30" x14ac:dyDescent="0.25">
      <c r="A83" s="62" t="s">
        <v>523</v>
      </c>
      <c r="B83" s="62" t="s">
        <v>2407</v>
      </c>
      <c r="C83" s="62" t="s">
        <v>2408</v>
      </c>
      <c r="D83" s="62" t="s">
        <v>979</v>
      </c>
      <c r="E83" s="62" t="s">
        <v>1810</v>
      </c>
      <c r="F83" s="62">
        <v>11</v>
      </c>
      <c r="G83" s="62" t="s">
        <v>13</v>
      </c>
      <c r="H83" s="62">
        <v>17</v>
      </c>
      <c r="I83" s="62">
        <f t="shared" si="28"/>
        <v>187</v>
      </c>
      <c r="J83" s="51">
        <f t="shared" si="38"/>
        <v>31.5</v>
      </c>
      <c r="K83" s="51">
        <f t="shared" si="29"/>
        <v>31</v>
      </c>
      <c r="L83" s="51">
        <f t="shared" si="30"/>
        <v>12307</v>
      </c>
      <c r="M83" s="51">
        <f t="shared" si="31"/>
        <v>101</v>
      </c>
      <c r="N83" s="51" t="b">
        <f t="shared" si="20"/>
        <v>0</v>
      </c>
      <c r="O83" s="51" t="b">
        <f t="shared" si="21"/>
        <v>1</v>
      </c>
      <c r="P83" s="51" t="str">
        <f t="shared" si="32"/>
        <v>ct-11</v>
      </c>
      <c r="Q83" s="52" t="str">
        <f t="shared" si="33"/>
        <v>17C003924</v>
      </c>
      <c r="R83" s="51" t="b">
        <f t="shared" si="34"/>
        <v>0</v>
      </c>
      <c r="S83" s="51"/>
      <c r="T83" s="51" t="str">
        <f t="shared" si="35"/>
        <v>CT</v>
      </c>
      <c r="U83" s="51" t="str">
        <f t="shared" si="36"/>
        <v>ct</v>
      </c>
      <c r="V83" s="51">
        <f t="shared" si="37"/>
        <v>1</v>
      </c>
      <c r="W83" s="51" t="str">
        <f t="shared" si="22"/>
        <v>P005 11</v>
      </c>
      <c r="X83" s="51" t="str">
        <f t="shared" si="23"/>
        <v>CT</v>
      </c>
      <c r="Y83" s="51" t="str">
        <f t="shared" si="24"/>
        <v>17C</v>
      </c>
      <c r="Z83" s="51" t="str">
        <f t="shared" si="25"/>
        <v>UE</v>
      </c>
      <c r="AA83" s="51">
        <f t="shared" si="26"/>
        <v>4</v>
      </c>
      <c r="AB83" s="51">
        <f t="shared" si="27"/>
        <v>9</v>
      </c>
      <c r="AC83" s="53"/>
      <c r="AD83" s="51" t="s">
        <v>187</v>
      </c>
      <c r="AE83" s="57"/>
      <c r="AF83" s="53"/>
      <c r="AG83" s="53"/>
      <c r="AH83" s="53"/>
      <c r="AI83" s="53"/>
      <c r="AJ83" s="53"/>
      <c r="AK83" s="53"/>
      <c r="AL83" s="53"/>
      <c r="AM83" s="53"/>
      <c r="AN83" s="53"/>
      <c r="AO83" s="53"/>
    </row>
    <row r="84" spans="1:41" ht="30" x14ac:dyDescent="0.25">
      <c r="A84" s="62" t="s">
        <v>459</v>
      </c>
      <c r="B84" s="62" t="s">
        <v>2409</v>
      </c>
      <c r="C84" s="62" t="s">
        <v>2410</v>
      </c>
      <c r="D84" s="62" t="s">
        <v>1250</v>
      </c>
      <c r="E84" s="62" t="s">
        <v>1853</v>
      </c>
      <c r="F84" s="62">
        <v>5</v>
      </c>
      <c r="G84" s="62" t="s">
        <v>60</v>
      </c>
      <c r="H84" s="62">
        <v>18</v>
      </c>
      <c r="I84" s="62">
        <f t="shared" si="28"/>
        <v>90</v>
      </c>
      <c r="J84" s="51">
        <f t="shared" si="38"/>
        <v>118</v>
      </c>
      <c r="K84" s="51">
        <f t="shared" si="29"/>
        <v>117</v>
      </c>
      <c r="L84" s="51">
        <f t="shared" si="30"/>
        <v>3427</v>
      </c>
      <c r="M84" s="51">
        <f t="shared" si="31"/>
        <v>31</v>
      </c>
      <c r="N84" s="51" t="b">
        <f t="shared" ref="N84:N147" si="39">AND(J84&gt;100,"Pass", "fail")</f>
        <v>1</v>
      </c>
      <c r="O84" s="51" t="b">
        <f t="shared" ref="O84:O147" si="40">OR(J84&gt;250,"pass",J84&lt;100,"fail")</f>
        <v>0</v>
      </c>
      <c r="P84" s="51" t="str">
        <f t="shared" si="32"/>
        <v>bottles-5</v>
      </c>
      <c r="Q84" s="52" t="str">
        <f t="shared" si="33"/>
        <v>18C006690</v>
      </c>
      <c r="R84" s="51" t="b">
        <f t="shared" si="34"/>
        <v>0</v>
      </c>
      <c r="S84" s="51"/>
      <c r="T84" s="51" t="str">
        <f t="shared" si="35"/>
        <v>BOTTLES</v>
      </c>
      <c r="U84" s="51" t="str">
        <f t="shared" si="36"/>
        <v>bottles</v>
      </c>
      <c r="V84" s="51">
        <f t="shared" si="37"/>
        <v>1</v>
      </c>
      <c r="W84" s="51" t="str">
        <f t="shared" ref="W84:W147" si="41">_xlfn.TEXTJOIN(" ",TRUE,A84,F84)</f>
        <v>P038 5</v>
      </c>
      <c r="X84" s="51" t="str">
        <f t="shared" ref="X84:X147" si="42">SUBSTITUTE(T84, "N","O")</f>
        <v>BOTTLES</v>
      </c>
      <c r="Y84" s="51" t="str">
        <f t="shared" ref="Y84:Y147" si="43">LEFT(Q84, 3)</f>
        <v>18C</v>
      </c>
      <c r="Z84" s="51" t="str">
        <f t="shared" ref="Z84:Z147" si="44">RIGHT(O84,"2")</f>
        <v>SE</v>
      </c>
      <c r="AA84" s="51">
        <f t="shared" ref="AA84:AA147" si="45">FIND("0",Q84)</f>
        <v>4</v>
      </c>
      <c r="AB84" s="51">
        <f t="shared" ref="AB84:AB147" si="46">LEN(Q84)</f>
        <v>9</v>
      </c>
      <c r="AC84" s="53"/>
      <c r="AD84" s="51" t="s">
        <v>187</v>
      </c>
      <c r="AE84" s="57"/>
      <c r="AF84" s="53"/>
      <c r="AG84" s="53"/>
      <c r="AH84" s="53"/>
      <c r="AI84" s="53"/>
      <c r="AJ84" s="53"/>
      <c r="AK84" s="53"/>
      <c r="AL84" s="53"/>
      <c r="AM84" s="53"/>
      <c r="AN84" s="53"/>
      <c r="AO84" s="53"/>
    </row>
    <row r="85" spans="1:41" ht="30" x14ac:dyDescent="0.25">
      <c r="A85" s="62" t="s">
        <v>25</v>
      </c>
      <c r="B85" s="62" t="s">
        <v>1813</v>
      </c>
      <c r="C85" s="62" t="s">
        <v>2411</v>
      </c>
      <c r="D85" s="62" t="s">
        <v>1372</v>
      </c>
      <c r="E85" s="62" t="s">
        <v>876</v>
      </c>
      <c r="F85" s="62">
        <v>8</v>
      </c>
      <c r="G85" s="62" t="s">
        <v>13</v>
      </c>
      <c r="H85" s="62">
        <v>15</v>
      </c>
      <c r="I85" s="62">
        <f t="shared" si="28"/>
        <v>120</v>
      </c>
      <c r="J85" s="51">
        <f t="shared" si="38"/>
        <v>85</v>
      </c>
      <c r="K85" s="51">
        <f t="shared" si="29"/>
        <v>83</v>
      </c>
      <c r="L85" s="51">
        <f t="shared" si="30"/>
        <v>12307</v>
      </c>
      <c r="M85" s="51">
        <f t="shared" si="31"/>
        <v>101</v>
      </c>
      <c r="N85" s="51" t="b">
        <f t="shared" si="39"/>
        <v>0</v>
      </c>
      <c r="O85" s="51" t="b">
        <f t="shared" si="40"/>
        <v>1</v>
      </c>
      <c r="P85" s="51" t="str">
        <f t="shared" si="32"/>
        <v>ct-8</v>
      </c>
      <c r="Q85" s="52" t="str">
        <f t="shared" si="33"/>
        <v>15C005869</v>
      </c>
      <c r="R85" s="51" t="b">
        <f t="shared" si="34"/>
        <v>0</v>
      </c>
      <c r="S85" s="51"/>
      <c r="T85" s="51" t="str">
        <f t="shared" si="35"/>
        <v>CT</v>
      </c>
      <c r="U85" s="51" t="str">
        <f t="shared" si="36"/>
        <v>ct</v>
      </c>
      <c r="V85" s="51">
        <f t="shared" si="37"/>
        <v>1</v>
      </c>
      <c r="W85" s="51" t="str">
        <f t="shared" si="41"/>
        <v>P032 8</v>
      </c>
      <c r="X85" s="51" t="str">
        <f t="shared" si="42"/>
        <v>CT</v>
      </c>
      <c r="Y85" s="51" t="str">
        <f t="shared" si="43"/>
        <v>15C</v>
      </c>
      <c r="Z85" s="51" t="str">
        <f t="shared" si="44"/>
        <v>UE</v>
      </c>
      <c r="AA85" s="51">
        <f t="shared" si="45"/>
        <v>4</v>
      </c>
      <c r="AB85" s="51">
        <f t="shared" si="46"/>
        <v>9</v>
      </c>
      <c r="AC85" s="53"/>
      <c r="AD85" s="51" t="s">
        <v>20</v>
      </c>
      <c r="AE85" s="57"/>
      <c r="AF85" s="53"/>
      <c r="AG85" s="53"/>
      <c r="AH85" s="53"/>
      <c r="AI85" s="53"/>
      <c r="AJ85" s="53"/>
      <c r="AK85" s="53"/>
      <c r="AL85" s="53"/>
      <c r="AM85" s="53"/>
      <c r="AN85" s="53"/>
      <c r="AO85" s="53"/>
    </row>
    <row r="86" spans="1:41" ht="30" x14ac:dyDescent="0.25">
      <c r="A86" s="62" t="s">
        <v>121</v>
      </c>
      <c r="B86" s="62" t="s">
        <v>2412</v>
      </c>
      <c r="C86" s="62" t="s">
        <v>2413</v>
      </c>
      <c r="D86" s="62" t="s">
        <v>644</v>
      </c>
      <c r="E86" s="62" t="s">
        <v>1203</v>
      </c>
      <c r="F86" s="62">
        <v>5</v>
      </c>
      <c r="G86" s="62" t="s">
        <v>106</v>
      </c>
      <c r="H86" s="62">
        <v>21</v>
      </c>
      <c r="I86" s="62">
        <f t="shared" si="28"/>
        <v>105</v>
      </c>
      <c r="J86" s="51">
        <f t="shared" si="38"/>
        <v>104.5</v>
      </c>
      <c r="K86" s="51">
        <f t="shared" si="29"/>
        <v>103</v>
      </c>
      <c r="L86" s="51">
        <f t="shared" si="30"/>
        <v>1357</v>
      </c>
      <c r="M86" s="51">
        <f t="shared" si="31"/>
        <v>14</v>
      </c>
      <c r="N86" s="51" t="b">
        <f t="shared" si="39"/>
        <v>1</v>
      </c>
      <c r="O86" s="51" t="b">
        <f t="shared" si="40"/>
        <v>0</v>
      </c>
      <c r="P86" s="51" t="str">
        <f t="shared" si="32"/>
        <v>bags-5</v>
      </c>
      <c r="Q86" s="52" t="str">
        <f t="shared" si="33"/>
        <v>21C007635</v>
      </c>
      <c r="R86" s="51" t="b">
        <f t="shared" si="34"/>
        <v>0</v>
      </c>
      <c r="S86" s="51"/>
      <c r="T86" s="51" t="str">
        <f t="shared" si="35"/>
        <v>BAGS</v>
      </c>
      <c r="U86" s="51" t="str">
        <f t="shared" si="36"/>
        <v>bags</v>
      </c>
      <c r="V86" s="51">
        <f t="shared" si="37"/>
        <v>1</v>
      </c>
      <c r="W86" s="51" t="str">
        <f t="shared" si="41"/>
        <v>P001 5</v>
      </c>
      <c r="X86" s="51" t="str">
        <f t="shared" si="42"/>
        <v>BAGS</v>
      </c>
      <c r="Y86" s="51" t="str">
        <f t="shared" si="43"/>
        <v>21C</v>
      </c>
      <c r="Z86" s="51" t="str">
        <f t="shared" si="44"/>
        <v>SE</v>
      </c>
      <c r="AA86" s="51">
        <f t="shared" si="45"/>
        <v>4</v>
      </c>
      <c r="AB86" s="51">
        <f t="shared" si="46"/>
        <v>9</v>
      </c>
      <c r="AC86" s="53"/>
      <c r="AD86" s="51" t="s">
        <v>25</v>
      </c>
      <c r="AE86" s="57"/>
      <c r="AF86" s="53"/>
      <c r="AG86" s="53"/>
      <c r="AH86" s="53"/>
      <c r="AI86" s="53"/>
      <c r="AJ86" s="53"/>
      <c r="AK86" s="53"/>
      <c r="AL86" s="53"/>
      <c r="AM86" s="53"/>
      <c r="AN86" s="53"/>
      <c r="AO86" s="53"/>
    </row>
    <row r="87" spans="1:41" ht="30" x14ac:dyDescent="0.25">
      <c r="A87" s="62" t="s">
        <v>218</v>
      </c>
      <c r="B87" s="62" t="s">
        <v>2414</v>
      </c>
      <c r="C87" s="62" t="s">
        <v>2415</v>
      </c>
      <c r="D87" s="62" t="s">
        <v>640</v>
      </c>
      <c r="E87" s="62" t="s">
        <v>2416</v>
      </c>
      <c r="F87" s="62">
        <v>2</v>
      </c>
      <c r="G87" s="62" t="s">
        <v>13</v>
      </c>
      <c r="H87" s="62">
        <v>17</v>
      </c>
      <c r="I87" s="62">
        <f t="shared" si="28"/>
        <v>34</v>
      </c>
      <c r="J87" s="51">
        <f t="shared" si="38"/>
        <v>186.5</v>
      </c>
      <c r="K87" s="51">
        <f t="shared" si="29"/>
        <v>186</v>
      </c>
      <c r="L87" s="51">
        <f t="shared" si="30"/>
        <v>12307</v>
      </c>
      <c r="M87" s="51">
        <f t="shared" si="31"/>
        <v>101</v>
      </c>
      <c r="N87" s="51" t="b">
        <f t="shared" si="39"/>
        <v>1</v>
      </c>
      <c r="O87" s="51" t="b">
        <f t="shared" si="40"/>
        <v>0</v>
      </c>
      <c r="P87" s="51" t="str">
        <f t="shared" si="32"/>
        <v>ct-2</v>
      </c>
      <c r="Q87" s="52" t="str">
        <f t="shared" si="33"/>
        <v>17C006284</v>
      </c>
      <c r="R87" s="51" t="b">
        <f t="shared" si="34"/>
        <v>0</v>
      </c>
      <c r="S87" s="51"/>
      <c r="T87" s="51" t="str">
        <f t="shared" si="35"/>
        <v>CT</v>
      </c>
      <c r="U87" s="51" t="str">
        <f t="shared" si="36"/>
        <v>ct</v>
      </c>
      <c r="V87" s="51">
        <f t="shared" si="37"/>
        <v>1</v>
      </c>
      <c r="W87" s="51" t="str">
        <f t="shared" si="41"/>
        <v>P002 2</v>
      </c>
      <c r="X87" s="51" t="str">
        <f t="shared" si="42"/>
        <v>CT</v>
      </c>
      <c r="Y87" s="51" t="str">
        <f t="shared" si="43"/>
        <v>17C</v>
      </c>
      <c r="Z87" s="51" t="str">
        <f t="shared" si="44"/>
        <v>SE</v>
      </c>
      <c r="AA87" s="51">
        <f t="shared" si="45"/>
        <v>4</v>
      </c>
      <c r="AB87" s="51">
        <f t="shared" si="46"/>
        <v>9</v>
      </c>
      <c r="AC87" s="53"/>
      <c r="AD87" s="51" t="s">
        <v>25</v>
      </c>
      <c r="AE87" s="57"/>
      <c r="AF87" s="53"/>
      <c r="AG87" s="53"/>
      <c r="AH87" s="53"/>
      <c r="AI87" s="53"/>
      <c r="AJ87" s="53"/>
      <c r="AK87" s="53"/>
      <c r="AL87" s="53"/>
      <c r="AM87" s="53"/>
      <c r="AN87" s="53"/>
      <c r="AO87" s="53"/>
    </row>
    <row r="88" spans="1:41" x14ac:dyDescent="0.25">
      <c r="A88" s="62" t="s">
        <v>187</v>
      </c>
      <c r="B88" s="62" t="s">
        <v>2417</v>
      </c>
      <c r="C88" s="62" t="s">
        <v>2418</v>
      </c>
      <c r="D88" s="62" t="s">
        <v>930</v>
      </c>
      <c r="E88" s="62" t="s">
        <v>1848</v>
      </c>
      <c r="F88" s="62">
        <v>3</v>
      </c>
      <c r="G88" s="62" t="s">
        <v>60</v>
      </c>
      <c r="H88" s="62">
        <v>8</v>
      </c>
      <c r="I88" s="62">
        <f t="shared" si="28"/>
        <v>24</v>
      </c>
      <c r="J88" s="51">
        <f t="shared" si="38"/>
        <v>208.5</v>
      </c>
      <c r="K88" s="51">
        <f t="shared" si="29"/>
        <v>207</v>
      </c>
      <c r="L88" s="51">
        <f t="shared" si="30"/>
        <v>3427</v>
      </c>
      <c r="M88" s="51">
        <f t="shared" si="31"/>
        <v>31</v>
      </c>
      <c r="N88" s="51" t="b">
        <f t="shared" si="39"/>
        <v>1</v>
      </c>
      <c r="O88" s="51" t="b">
        <f t="shared" si="40"/>
        <v>0</v>
      </c>
      <c r="P88" s="51" t="str">
        <f t="shared" si="32"/>
        <v>bottles-3</v>
      </c>
      <c r="Q88" s="52" t="str">
        <f t="shared" si="33"/>
        <v>8C008654</v>
      </c>
      <c r="R88" s="51" t="b">
        <f t="shared" si="34"/>
        <v>0</v>
      </c>
      <c r="S88" s="51"/>
      <c r="T88" s="51" t="str">
        <f t="shared" si="35"/>
        <v>BOTTLES</v>
      </c>
      <c r="U88" s="51" t="str">
        <f t="shared" si="36"/>
        <v>bottles</v>
      </c>
      <c r="V88" s="51">
        <f t="shared" si="37"/>
        <v>1</v>
      </c>
      <c r="W88" s="51" t="str">
        <f t="shared" si="41"/>
        <v>P029 3</v>
      </c>
      <c r="X88" s="51" t="str">
        <f t="shared" si="42"/>
        <v>BOTTLES</v>
      </c>
      <c r="Y88" s="51" t="str">
        <f t="shared" si="43"/>
        <v>8C0</v>
      </c>
      <c r="Z88" s="51" t="str">
        <f t="shared" si="44"/>
        <v>SE</v>
      </c>
      <c r="AA88" s="51">
        <f t="shared" si="45"/>
        <v>3</v>
      </c>
      <c r="AB88" s="51">
        <f t="shared" si="46"/>
        <v>8</v>
      </c>
      <c r="AC88" s="53"/>
      <c r="AD88" s="51" t="s">
        <v>25</v>
      </c>
      <c r="AE88" s="57"/>
      <c r="AF88" s="53"/>
      <c r="AG88" s="53"/>
      <c r="AH88" s="53"/>
      <c r="AI88" s="53"/>
      <c r="AJ88" s="53"/>
      <c r="AK88" s="53"/>
      <c r="AL88" s="53"/>
      <c r="AM88" s="53"/>
      <c r="AN88" s="53"/>
      <c r="AO88" s="53"/>
    </row>
    <row r="89" spans="1:41" ht="30" x14ac:dyDescent="0.25">
      <c r="A89" s="62" t="s">
        <v>146</v>
      </c>
      <c r="B89" s="62" t="s">
        <v>2419</v>
      </c>
      <c r="C89" s="62" t="s">
        <v>2420</v>
      </c>
      <c r="D89" s="62" t="s">
        <v>385</v>
      </c>
      <c r="E89" s="62" t="s">
        <v>1631</v>
      </c>
      <c r="F89" s="62">
        <v>8</v>
      </c>
      <c r="G89" s="62" t="s">
        <v>269</v>
      </c>
      <c r="H89" s="62">
        <v>14</v>
      </c>
      <c r="I89" s="62">
        <f t="shared" si="28"/>
        <v>112</v>
      </c>
      <c r="J89" s="51">
        <f t="shared" si="38"/>
        <v>99</v>
      </c>
      <c r="K89" s="51">
        <f t="shared" si="29"/>
        <v>96</v>
      </c>
      <c r="L89" s="51">
        <f t="shared" si="30"/>
        <v>559</v>
      </c>
      <c r="M89" s="51">
        <f t="shared" si="31"/>
        <v>7</v>
      </c>
      <c r="N89" s="51" t="b">
        <f t="shared" si="39"/>
        <v>0</v>
      </c>
      <c r="O89" s="51" t="b">
        <f t="shared" si="40"/>
        <v>1</v>
      </c>
      <c r="P89" s="51" t="str">
        <f t="shared" si="32"/>
        <v>ct.-8</v>
      </c>
      <c r="Q89" s="52" t="str">
        <f t="shared" si="33"/>
        <v>14C006618</v>
      </c>
      <c r="R89" s="51" t="b">
        <f t="shared" si="34"/>
        <v>0</v>
      </c>
      <c r="S89" s="51"/>
      <c r="T89" s="51" t="str">
        <f t="shared" si="35"/>
        <v>CT.</v>
      </c>
      <c r="U89" s="51" t="str">
        <f t="shared" si="36"/>
        <v>ct.</v>
      </c>
      <c r="V89" s="51">
        <f t="shared" si="37"/>
        <v>1</v>
      </c>
      <c r="W89" s="51" t="str">
        <f t="shared" si="41"/>
        <v>P010 8</v>
      </c>
      <c r="X89" s="51" t="str">
        <f t="shared" si="42"/>
        <v>CT.</v>
      </c>
      <c r="Y89" s="51" t="str">
        <f t="shared" si="43"/>
        <v>14C</v>
      </c>
      <c r="Z89" s="51" t="str">
        <f t="shared" si="44"/>
        <v>UE</v>
      </c>
      <c r="AA89" s="51">
        <f t="shared" si="45"/>
        <v>4</v>
      </c>
      <c r="AB89" s="51">
        <f t="shared" si="46"/>
        <v>9</v>
      </c>
      <c r="AC89" s="53"/>
      <c r="AD89" s="51" t="s">
        <v>25</v>
      </c>
      <c r="AE89" s="57"/>
      <c r="AF89" s="53"/>
      <c r="AG89" s="53"/>
      <c r="AH89" s="53"/>
      <c r="AI89" s="53"/>
      <c r="AJ89" s="53"/>
      <c r="AK89" s="53"/>
      <c r="AL89" s="53"/>
      <c r="AM89" s="53"/>
      <c r="AN89" s="53"/>
      <c r="AO89" s="53"/>
    </row>
    <row r="90" spans="1:41" ht="30" x14ac:dyDescent="0.25">
      <c r="A90" s="62" t="s">
        <v>25</v>
      </c>
      <c r="B90" s="62" t="s">
        <v>2421</v>
      </c>
      <c r="C90" s="62" t="s">
        <v>2422</v>
      </c>
      <c r="D90" s="62" t="s">
        <v>190</v>
      </c>
      <c r="E90" s="62" t="s">
        <v>864</v>
      </c>
      <c r="F90" s="62">
        <v>10</v>
      </c>
      <c r="G90" s="62" t="s">
        <v>13</v>
      </c>
      <c r="H90" s="62">
        <v>20</v>
      </c>
      <c r="I90" s="62">
        <f t="shared" si="28"/>
        <v>200</v>
      </c>
      <c r="J90" s="51">
        <f t="shared" si="38"/>
        <v>26.5</v>
      </c>
      <c r="K90" s="51">
        <f t="shared" si="29"/>
        <v>26</v>
      </c>
      <c r="L90" s="51">
        <f t="shared" si="30"/>
        <v>12307</v>
      </c>
      <c r="M90" s="51">
        <f t="shared" si="31"/>
        <v>101</v>
      </c>
      <c r="N90" s="51" t="b">
        <f t="shared" si="39"/>
        <v>0</v>
      </c>
      <c r="O90" s="51" t="b">
        <f t="shared" si="40"/>
        <v>1</v>
      </c>
      <c r="P90" s="51" t="str">
        <f t="shared" si="32"/>
        <v>ct-10</v>
      </c>
      <c r="Q90" s="52" t="str">
        <f t="shared" si="33"/>
        <v>20C008787</v>
      </c>
      <c r="R90" s="51" t="b">
        <f t="shared" si="34"/>
        <v>0</v>
      </c>
      <c r="S90" s="51"/>
      <c r="T90" s="51" t="str">
        <f t="shared" si="35"/>
        <v>CT</v>
      </c>
      <c r="U90" s="51" t="str">
        <f t="shared" si="36"/>
        <v>ct</v>
      </c>
      <c r="V90" s="51">
        <f t="shared" si="37"/>
        <v>1</v>
      </c>
      <c r="W90" s="51" t="str">
        <f t="shared" si="41"/>
        <v>P032 10</v>
      </c>
      <c r="X90" s="51" t="str">
        <f t="shared" si="42"/>
        <v>CT</v>
      </c>
      <c r="Y90" s="51" t="str">
        <f t="shared" si="43"/>
        <v>20C</v>
      </c>
      <c r="Z90" s="51" t="str">
        <f t="shared" si="44"/>
        <v>UE</v>
      </c>
      <c r="AA90" s="51">
        <f t="shared" si="45"/>
        <v>2</v>
      </c>
      <c r="AB90" s="51">
        <f t="shared" si="46"/>
        <v>9</v>
      </c>
      <c r="AC90" s="53"/>
      <c r="AD90" s="51" t="s">
        <v>25</v>
      </c>
      <c r="AE90" s="57"/>
      <c r="AF90" s="53"/>
      <c r="AG90" s="53"/>
      <c r="AH90" s="53"/>
      <c r="AI90" s="53"/>
      <c r="AJ90" s="53"/>
      <c r="AK90" s="53"/>
      <c r="AL90" s="53"/>
      <c r="AM90" s="53"/>
      <c r="AN90" s="53"/>
      <c r="AO90" s="53"/>
    </row>
    <row r="91" spans="1:41" ht="30" x14ac:dyDescent="0.25">
      <c r="A91" s="62" t="s">
        <v>61</v>
      </c>
      <c r="B91" s="62" t="s">
        <v>2423</v>
      </c>
      <c r="C91" s="62" t="s">
        <v>2424</v>
      </c>
      <c r="D91" s="62" t="s">
        <v>1653</v>
      </c>
      <c r="E91" s="62" t="s">
        <v>2425</v>
      </c>
      <c r="F91" s="62">
        <v>7</v>
      </c>
      <c r="G91" s="62" t="s">
        <v>35</v>
      </c>
      <c r="H91" s="62">
        <v>11.5</v>
      </c>
      <c r="I91" s="62">
        <f t="shared" si="28"/>
        <v>80.5</v>
      </c>
      <c r="J91" s="51">
        <f t="shared" si="38"/>
        <v>124</v>
      </c>
      <c r="K91" s="51">
        <f t="shared" si="29"/>
        <v>124</v>
      </c>
      <c r="L91" s="51">
        <f t="shared" si="30"/>
        <v>4518</v>
      </c>
      <c r="M91" s="51">
        <f t="shared" si="31"/>
        <v>52</v>
      </c>
      <c r="N91" s="51" t="b">
        <f t="shared" si="39"/>
        <v>1</v>
      </c>
      <c r="O91" s="51" t="b">
        <f t="shared" si="40"/>
        <v>0</v>
      </c>
      <c r="P91" s="51" t="str">
        <f t="shared" si="32"/>
        <v>cans-7</v>
      </c>
      <c r="Q91" s="52" t="str">
        <f t="shared" si="33"/>
        <v>11.5C007819</v>
      </c>
      <c r="R91" s="51" t="b">
        <f t="shared" si="34"/>
        <v>0</v>
      </c>
      <c r="S91" s="51"/>
      <c r="T91" s="51" t="str">
        <f t="shared" si="35"/>
        <v>CANS</v>
      </c>
      <c r="U91" s="51" t="str">
        <f t="shared" si="36"/>
        <v>cans</v>
      </c>
      <c r="V91" s="51">
        <f t="shared" si="37"/>
        <v>1</v>
      </c>
      <c r="W91" s="51" t="str">
        <f t="shared" si="41"/>
        <v>P023 7</v>
      </c>
      <c r="X91" s="51" t="str">
        <f t="shared" si="42"/>
        <v>CAOS</v>
      </c>
      <c r="Y91" s="51" t="str">
        <f t="shared" si="43"/>
        <v>11.</v>
      </c>
      <c r="Z91" s="51" t="str">
        <f t="shared" si="44"/>
        <v>SE</v>
      </c>
      <c r="AA91" s="51">
        <f t="shared" si="45"/>
        <v>6</v>
      </c>
      <c r="AB91" s="51">
        <f t="shared" si="46"/>
        <v>11</v>
      </c>
      <c r="AC91" s="53"/>
      <c r="AD91" s="51" t="s">
        <v>25</v>
      </c>
      <c r="AE91" s="57"/>
      <c r="AF91" s="53"/>
      <c r="AG91" s="53"/>
      <c r="AH91" s="53"/>
      <c r="AI91" s="53"/>
      <c r="AJ91" s="53"/>
      <c r="AK91" s="53"/>
      <c r="AL91" s="53"/>
      <c r="AM91" s="53"/>
      <c r="AN91" s="53"/>
      <c r="AO91" s="53"/>
    </row>
    <row r="92" spans="1:41" ht="30" x14ac:dyDescent="0.25">
      <c r="A92" s="62" t="s">
        <v>107</v>
      </c>
      <c r="B92" s="62" t="s">
        <v>2198</v>
      </c>
      <c r="C92" s="62" t="s">
        <v>2426</v>
      </c>
      <c r="D92" s="62" t="s">
        <v>449</v>
      </c>
      <c r="E92" s="62" t="s">
        <v>1071</v>
      </c>
      <c r="F92" s="62">
        <v>2</v>
      </c>
      <c r="G92" s="62" t="s">
        <v>269</v>
      </c>
      <c r="H92" s="62">
        <v>13</v>
      </c>
      <c r="I92" s="62">
        <f t="shared" si="28"/>
        <v>26</v>
      </c>
      <c r="J92" s="51">
        <f t="shared" si="38"/>
        <v>205.5</v>
      </c>
      <c r="K92" s="51">
        <f t="shared" si="29"/>
        <v>205</v>
      </c>
      <c r="L92" s="51">
        <f t="shared" si="30"/>
        <v>559</v>
      </c>
      <c r="M92" s="51">
        <f t="shared" si="31"/>
        <v>7</v>
      </c>
      <c r="N92" s="51" t="b">
        <f t="shared" si="39"/>
        <v>1</v>
      </c>
      <c r="O92" s="51" t="b">
        <f t="shared" si="40"/>
        <v>0</v>
      </c>
      <c r="P92" s="51" t="str">
        <f t="shared" si="32"/>
        <v>ct.-2</v>
      </c>
      <c r="Q92" s="52" t="str">
        <f t="shared" si="33"/>
        <v>13C003863</v>
      </c>
      <c r="R92" s="51" t="b">
        <f t="shared" si="34"/>
        <v>0</v>
      </c>
      <c r="S92" s="51"/>
      <c r="T92" s="51" t="str">
        <f t="shared" si="35"/>
        <v>CT.</v>
      </c>
      <c r="U92" s="51" t="str">
        <f t="shared" si="36"/>
        <v>ct.</v>
      </c>
      <c r="V92" s="51">
        <f t="shared" si="37"/>
        <v>1</v>
      </c>
      <c r="W92" s="51" t="str">
        <f t="shared" si="41"/>
        <v>P015 2</v>
      </c>
      <c r="X92" s="51" t="str">
        <f t="shared" si="42"/>
        <v>CT.</v>
      </c>
      <c r="Y92" s="51" t="str">
        <f t="shared" si="43"/>
        <v>13C</v>
      </c>
      <c r="Z92" s="51" t="str">
        <f t="shared" si="44"/>
        <v>SE</v>
      </c>
      <c r="AA92" s="51">
        <f t="shared" si="45"/>
        <v>4</v>
      </c>
      <c r="AB92" s="51">
        <f t="shared" si="46"/>
        <v>9</v>
      </c>
      <c r="AC92" s="53"/>
      <c r="AD92" s="51" t="s">
        <v>25</v>
      </c>
      <c r="AE92" s="57"/>
      <c r="AF92" s="53"/>
      <c r="AG92" s="53"/>
      <c r="AH92" s="53"/>
      <c r="AI92" s="53"/>
      <c r="AJ92" s="53"/>
      <c r="AK92" s="53"/>
      <c r="AL92" s="53"/>
      <c r="AM92" s="53"/>
      <c r="AN92" s="53"/>
      <c r="AO92" s="53"/>
    </row>
    <row r="93" spans="1:41" ht="30" x14ac:dyDescent="0.25">
      <c r="A93" s="62" t="s">
        <v>288</v>
      </c>
      <c r="B93" s="62" t="s">
        <v>2427</v>
      </c>
      <c r="C93" s="62" t="s">
        <v>2428</v>
      </c>
      <c r="D93" s="62" t="s">
        <v>1876</v>
      </c>
      <c r="E93" s="62" t="s">
        <v>982</v>
      </c>
      <c r="F93" s="62">
        <v>7</v>
      </c>
      <c r="G93" s="62" t="s">
        <v>13</v>
      </c>
      <c r="H93" s="62">
        <v>42</v>
      </c>
      <c r="I93" s="62">
        <f t="shared" si="28"/>
        <v>294</v>
      </c>
      <c r="J93" s="51">
        <f t="shared" si="38"/>
        <v>8</v>
      </c>
      <c r="K93" s="51">
        <f t="shared" si="29"/>
        <v>8</v>
      </c>
      <c r="L93" s="51">
        <f t="shared" si="30"/>
        <v>12307</v>
      </c>
      <c r="M93" s="51">
        <f t="shared" si="31"/>
        <v>101</v>
      </c>
      <c r="N93" s="51" t="b">
        <f t="shared" si="39"/>
        <v>0</v>
      </c>
      <c r="O93" s="51" t="b">
        <f t="shared" si="40"/>
        <v>1</v>
      </c>
      <c r="P93" s="51" t="str">
        <f t="shared" si="32"/>
        <v>ct-7</v>
      </c>
      <c r="Q93" s="52" t="str">
        <f t="shared" si="33"/>
        <v>42C006886</v>
      </c>
      <c r="R93" s="51" t="b">
        <f t="shared" si="34"/>
        <v>0</v>
      </c>
      <c r="S93" s="51"/>
      <c r="T93" s="51" t="str">
        <f t="shared" si="35"/>
        <v>CT</v>
      </c>
      <c r="U93" s="51" t="str">
        <f t="shared" si="36"/>
        <v>ct</v>
      </c>
      <c r="V93" s="51">
        <f t="shared" si="37"/>
        <v>1</v>
      </c>
      <c r="W93" s="51" t="str">
        <f t="shared" si="41"/>
        <v>P009 7</v>
      </c>
      <c r="X93" s="51" t="str">
        <f t="shared" si="42"/>
        <v>CT</v>
      </c>
      <c r="Y93" s="51" t="str">
        <f t="shared" si="43"/>
        <v>42C</v>
      </c>
      <c r="Z93" s="51" t="str">
        <f t="shared" si="44"/>
        <v>UE</v>
      </c>
      <c r="AA93" s="51">
        <f t="shared" si="45"/>
        <v>4</v>
      </c>
      <c r="AB93" s="51">
        <f t="shared" si="46"/>
        <v>9</v>
      </c>
      <c r="AC93" s="53"/>
      <c r="AD93" s="51" t="s">
        <v>25</v>
      </c>
      <c r="AE93" s="57"/>
      <c r="AF93" s="53"/>
      <c r="AG93" s="53"/>
      <c r="AH93" s="53"/>
      <c r="AI93" s="53"/>
      <c r="AJ93" s="53"/>
      <c r="AK93" s="53"/>
      <c r="AL93" s="53"/>
      <c r="AM93" s="53"/>
      <c r="AN93" s="53"/>
      <c r="AO93" s="53"/>
    </row>
    <row r="94" spans="1:41" ht="30" x14ac:dyDescent="0.25">
      <c r="A94" s="62" t="s">
        <v>25</v>
      </c>
      <c r="B94" s="62" t="s">
        <v>1327</v>
      </c>
      <c r="C94" s="62" t="s">
        <v>2429</v>
      </c>
      <c r="D94" s="62" t="s">
        <v>556</v>
      </c>
      <c r="E94" s="62" t="s">
        <v>2012</v>
      </c>
      <c r="F94" s="62">
        <v>7</v>
      </c>
      <c r="G94" s="62" t="s">
        <v>402</v>
      </c>
      <c r="H94" s="62">
        <v>19.5</v>
      </c>
      <c r="I94" s="62">
        <f t="shared" si="28"/>
        <v>136.5</v>
      </c>
      <c r="J94" s="51">
        <f t="shared" si="38"/>
        <v>72</v>
      </c>
      <c r="K94" s="51">
        <f t="shared" si="29"/>
        <v>72</v>
      </c>
      <c r="L94" s="51">
        <f t="shared" si="30"/>
        <v>576</v>
      </c>
      <c r="M94" s="51">
        <f t="shared" si="31"/>
        <v>5</v>
      </c>
      <c r="N94" s="51" t="b">
        <f t="shared" si="39"/>
        <v>0</v>
      </c>
      <c r="O94" s="51" t="b">
        <f t="shared" si="40"/>
        <v>1</v>
      </c>
      <c r="P94" s="51" t="str">
        <f t="shared" si="32"/>
        <v>pack-7</v>
      </c>
      <c r="Q94" s="52" t="str">
        <f t="shared" si="33"/>
        <v>19.5C002044</v>
      </c>
      <c r="R94" s="51" t="b">
        <f t="shared" si="34"/>
        <v>0</v>
      </c>
      <c r="S94" s="51"/>
      <c r="T94" s="51" t="str">
        <f t="shared" si="35"/>
        <v>PACK</v>
      </c>
      <c r="U94" s="51" t="str">
        <f t="shared" si="36"/>
        <v>pack</v>
      </c>
      <c r="V94" s="51">
        <f t="shared" si="37"/>
        <v>1</v>
      </c>
      <c r="W94" s="51" t="str">
        <f t="shared" si="41"/>
        <v>P032 7</v>
      </c>
      <c r="X94" s="51" t="str">
        <f t="shared" si="42"/>
        <v>PACK</v>
      </c>
      <c r="Y94" s="51" t="str">
        <f t="shared" si="43"/>
        <v>19.</v>
      </c>
      <c r="Z94" s="51" t="str">
        <f t="shared" si="44"/>
        <v>UE</v>
      </c>
      <c r="AA94" s="51">
        <f t="shared" si="45"/>
        <v>6</v>
      </c>
      <c r="AB94" s="51">
        <f t="shared" si="46"/>
        <v>11</v>
      </c>
      <c r="AC94" s="53"/>
      <c r="AD94" s="51" t="s">
        <v>173</v>
      </c>
      <c r="AE94" s="57"/>
      <c r="AF94" s="53"/>
      <c r="AG94" s="53"/>
      <c r="AH94" s="53"/>
      <c r="AI94" s="53"/>
      <c r="AJ94" s="53"/>
      <c r="AK94" s="53"/>
      <c r="AL94" s="53"/>
      <c r="AM94" s="53"/>
      <c r="AN94" s="53"/>
      <c r="AO94" s="53"/>
    </row>
    <row r="95" spans="1:41" ht="30" x14ac:dyDescent="0.25">
      <c r="A95" s="62" t="s">
        <v>359</v>
      </c>
      <c r="B95" s="62" t="s">
        <v>2430</v>
      </c>
      <c r="C95" s="62" t="s">
        <v>2431</v>
      </c>
      <c r="D95" s="62" t="s">
        <v>979</v>
      </c>
      <c r="E95" s="62" t="s">
        <v>665</v>
      </c>
      <c r="F95" s="62">
        <v>7</v>
      </c>
      <c r="G95" s="62" t="s">
        <v>13</v>
      </c>
      <c r="H95" s="62">
        <v>17</v>
      </c>
      <c r="I95" s="62">
        <f t="shared" si="28"/>
        <v>119</v>
      </c>
      <c r="J95" s="51">
        <f t="shared" si="38"/>
        <v>88.5</v>
      </c>
      <c r="K95" s="51">
        <f t="shared" si="29"/>
        <v>88</v>
      </c>
      <c r="L95" s="51">
        <f t="shared" si="30"/>
        <v>12307</v>
      </c>
      <c r="M95" s="51">
        <f t="shared" si="31"/>
        <v>101</v>
      </c>
      <c r="N95" s="51" t="b">
        <f t="shared" si="39"/>
        <v>0</v>
      </c>
      <c r="O95" s="51" t="b">
        <f t="shared" si="40"/>
        <v>1</v>
      </c>
      <c r="P95" s="51" t="str">
        <f t="shared" si="32"/>
        <v>ct-7</v>
      </c>
      <c r="Q95" s="52" t="str">
        <f t="shared" si="33"/>
        <v>17C004373</v>
      </c>
      <c r="R95" s="51" t="b">
        <f t="shared" si="34"/>
        <v>0</v>
      </c>
      <c r="S95" s="51"/>
      <c r="T95" s="51" t="str">
        <f t="shared" si="35"/>
        <v>CT</v>
      </c>
      <c r="U95" s="51" t="str">
        <f t="shared" si="36"/>
        <v>ct</v>
      </c>
      <c r="V95" s="51">
        <f t="shared" si="37"/>
        <v>1</v>
      </c>
      <c r="W95" s="51" t="str">
        <f t="shared" si="41"/>
        <v>P004 7</v>
      </c>
      <c r="X95" s="51" t="str">
        <f t="shared" si="42"/>
        <v>CT</v>
      </c>
      <c r="Y95" s="51" t="str">
        <f t="shared" si="43"/>
        <v>17C</v>
      </c>
      <c r="Z95" s="51" t="str">
        <f t="shared" si="44"/>
        <v>UE</v>
      </c>
      <c r="AA95" s="51">
        <f t="shared" si="45"/>
        <v>4</v>
      </c>
      <c r="AB95" s="51">
        <f t="shared" si="46"/>
        <v>9</v>
      </c>
      <c r="AC95" s="53"/>
      <c r="AD95" s="51" t="s">
        <v>200</v>
      </c>
      <c r="AE95" s="57"/>
      <c r="AF95" s="53"/>
      <c r="AG95" s="53"/>
      <c r="AH95" s="53"/>
      <c r="AI95" s="53"/>
      <c r="AJ95" s="53"/>
      <c r="AK95" s="53"/>
      <c r="AL95" s="53"/>
      <c r="AM95" s="53"/>
      <c r="AN95" s="53"/>
      <c r="AO95" s="53"/>
    </row>
    <row r="96" spans="1:41" ht="30" x14ac:dyDescent="0.25">
      <c r="A96" s="62" t="s">
        <v>25</v>
      </c>
      <c r="B96" s="62" t="s">
        <v>2432</v>
      </c>
      <c r="C96" s="62" t="s">
        <v>2433</v>
      </c>
      <c r="D96" s="62" t="s">
        <v>681</v>
      </c>
      <c r="E96" s="62" t="s">
        <v>2434</v>
      </c>
      <c r="F96" s="62">
        <v>3</v>
      </c>
      <c r="G96" s="62" t="s">
        <v>407</v>
      </c>
      <c r="H96" s="62">
        <v>15</v>
      </c>
      <c r="I96" s="62">
        <f t="shared" si="28"/>
        <v>45</v>
      </c>
      <c r="J96" s="51">
        <f t="shared" si="38"/>
        <v>172.5</v>
      </c>
      <c r="K96" s="51">
        <f t="shared" si="29"/>
        <v>172</v>
      </c>
      <c r="L96" s="51">
        <f t="shared" si="30"/>
        <v>801.5</v>
      </c>
      <c r="M96" s="51">
        <f t="shared" si="31"/>
        <v>10</v>
      </c>
      <c r="N96" s="51" t="b">
        <f t="shared" si="39"/>
        <v>1</v>
      </c>
      <c r="O96" s="51" t="b">
        <f t="shared" si="40"/>
        <v>0</v>
      </c>
      <c r="P96" s="51" t="str">
        <f t="shared" si="32"/>
        <v>pk-3</v>
      </c>
      <c r="Q96" s="52" t="str">
        <f t="shared" si="33"/>
        <v>15C001591</v>
      </c>
      <c r="R96" s="51" t="b">
        <f t="shared" si="34"/>
        <v>0</v>
      </c>
      <c r="S96" s="51"/>
      <c r="T96" s="51" t="str">
        <f t="shared" si="35"/>
        <v>PK</v>
      </c>
      <c r="U96" s="51" t="str">
        <f t="shared" si="36"/>
        <v>pk</v>
      </c>
      <c r="V96" s="51">
        <f t="shared" si="37"/>
        <v>1</v>
      </c>
      <c r="W96" s="51" t="str">
        <f t="shared" si="41"/>
        <v>P032 3</v>
      </c>
      <c r="X96" s="51" t="str">
        <f t="shared" si="42"/>
        <v>PK</v>
      </c>
      <c r="Y96" s="51" t="str">
        <f t="shared" si="43"/>
        <v>15C</v>
      </c>
      <c r="Z96" s="51" t="str">
        <f t="shared" si="44"/>
        <v>SE</v>
      </c>
      <c r="AA96" s="51">
        <f t="shared" si="45"/>
        <v>4</v>
      </c>
      <c r="AB96" s="51">
        <f t="shared" si="46"/>
        <v>9</v>
      </c>
      <c r="AC96" s="53"/>
      <c r="AD96" s="51" t="s">
        <v>200</v>
      </c>
      <c r="AE96" s="57"/>
      <c r="AF96" s="53"/>
      <c r="AG96" s="53"/>
      <c r="AH96" s="53"/>
      <c r="AI96" s="53"/>
      <c r="AJ96" s="53"/>
      <c r="AK96" s="53"/>
      <c r="AL96" s="53"/>
      <c r="AM96" s="53"/>
      <c r="AN96" s="53"/>
      <c r="AO96" s="53"/>
    </row>
    <row r="97" spans="1:41" ht="30" x14ac:dyDescent="0.25">
      <c r="A97" s="62" t="s">
        <v>283</v>
      </c>
      <c r="B97" s="62" t="s">
        <v>2435</v>
      </c>
      <c r="C97" s="62" t="s">
        <v>2436</v>
      </c>
      <c r="D97" s="62" t="s">
        <v>655</v>
      </c>
      <c r="E97" s="62" t="s">
        <v>425</v>
      </c>
      <c r="F97" s="62">
        <v>8</v>
      </c>
      <c r="G97" s="62" t="s">
        <v>60</v>
      </c>
      <c r="H97" s="62">
        <v>24</v>
      </c>
      <c r="I97" s="62">
        <f t="shared" si="28"/>
        <v>192</v>
      </c>
      <c r="J97" s="51">
        <f t="shared" si="38"/>
        <v>30</v>
      </c>
      <c r="K97" s="51">
        <f t="shared" si="29"/>
        <v>30</v>
      </c>
      <c r="L97" s="51">
        <f t="shared" si="30"/>
        <v>3427</v>
      </c>
      <c r="M97" s="51">
        <f t="shared" si="31"/>
        <v>31</v>
      </c>
      <c r="N97" s="51" t="b">
        <f t="shared" si="39"/>
        <v>0</v>
      </c>
      <c r="O97" s="51" t="b">
        <f t="shared" si="40"/>
        <v>1</v>
      </c>
      <c r="P97" s="51" t="str">
        <f t="shared" si="32"/>
        <v>bottles-8</v>
      </c>
      <c r="Q97" s="52" t="str">
        <f t="shared" si="33"/>
        <v>24C001906</v>
      </c>
      <c r="R97" s="51" t="b">
        <f t="shared" si="34"/>
        <v>0</v>
      </c>
      <c r="S97" s="51"/>
      <c r="T97" s="51" t="str">
        <f t="shared" si="35"/>
        <v>BOTTLES</v>
      </c>
      <c r="U97" s="51" t="str">
        <f t="shared" si="36"/>
        <v>bottles</v>
      </c>
      <c r="V97" s="51">
        <f t="shared" si="37"/>
        <v>1</v>
      </c>
      <c r="W97" s="51" t="str">
        <f t="shared" si="41"/>
        <v>P039 8</v>
      </c>
      <c r="X97" s="51" t="str">
        <f t="shared" si="42"/>
        <v>BOTTLES</v>
      </c>
      <c r="Y97" s="51" t="str">
        <f t="shared" si="43"/>
        <v>24C</v>
      </c>
      <c r="Z97" s="51" t="str">
        <f t="shared" si="44"/>
        <v>UE</v>
      </c>
      <c r="AA97" s="51">
        <f t="shared" si="45"/>
        <v>4</v>
      </c>
      <c r="AB97" s="51">
        <f t="shared" si="46"/>
        <v>9</v>
      </c>
      <c r="AC97" s="53"/>
      <c r="AD97" s="51" t="s">
        <v>200</v>
      </c>
      <c r="AE97" s="57"/>
      <c r="AF97" s="53"/>
      <c r="AG97" s="53"/>
      <c r="AH97" s="53"/>
      <c r="AI97" s="53"/>
      <c r="AJ97" s="53"/>
      <c r="AK97" s="53"/>
      <c r="AL97" s="53"/>
      <c r="AM97" s="53"/>
      <c r="AN97" s="53"/>
      <c r="AO97" s="53"/>
    </row>
    <row r="98" spans="1:41" ht="30" x14ac:dyDescent="0.25">
      <c r="A98" s="62" t="s">
        <v>519</v>
      </c>
      <c r="B98" s="62" t="s">
        <v>2437</v>
      </c>
      <c r="C98" s="62" t="s">
        <v>2438</v>
      </c>
      <c r="D98" s="62" t="s">
        <v>1653</v>
      </c>
      <c r="E98" s="62" t="s">
        <v>379</v>
      </c>
      <c r="F98" s="62">
        <v>8</v>
      </c>
      <c r="G98" s="62" t="s">
        <v>35</v>
      </c>
      <c r="H98" s="62">
        <v>11.5</v>
      </c>
      <c r="I98" s="62">
        <f t="shared" si="28"/>
        <v>92</v>
      </c>
      <c r="J98" s="51">
        <f t="shared" si="38"/>
        <v>116</v>
      </c>
      <c r="K98" s="51">
        <f t="shared" si="29"/>
        <v>116</v>
      </c>
      <c r="L98" s="51">
        <f t="shared" si="30"/>
        <v>4518</v>
      </c>
      <c r="M98" s="51">
        <f t="shared" si="31"/>
        <v>52</v>
      </c>
      <c r="N98" s="51" t="b">
        <f t="shared" si="39"/>
        <v>1</v>
      </c>
      <c r="O98" s="51" t="b">
        <f t="shared" si="40"/>
        <v>0</v>
      </c>
      <c r="P98" s="51" t="str">
        <f t="shared" si="32"/>
        <v>cans-8</v>
      </c>
      <c r="Q98" s="52" t="str">
        <f t="shared" si="33"/>
        <v>11.5C003222</v>
      </c>
      <c r="R98" s="51" t="b">
        <f t="shared" si="34"/>
        <v>0</v>
      </c>
      <c r="S98" s="51"/>
      <c r="T98" s="51" t="str">
        <f t="shared" si="35"/>
        <v>CANS</v>
      </c>
      <c r="U98" s="51" t="str">
        <f t="shared" si="36"/>
        <v>cans</v>
      </c>
      <c r="V98" s="51">
        <f t="shared" si="37"/>
        <v>1</v>
      </c>
      <c r="W98" s="51" t="str">
        <f t="shared" si="41"/>
        <v>P008 8</v>
      </c>
      <c r="X98" s="51" t="str">
        <f t="shared" si="42"/>
        <v>CAOS</v>
      </c>
      <c r="Y98" s="51" t="str">
        <f t="shared" si="43"/>
        <v>11.</v>
      </c>
      <c r="Z98" s="51" t="str">
        <f t="shared" si="44"/>
        <v>SE</v>
      </c>
      <c r="AA98" s="51">
        <f t="shared" si="45"/>
        <v>6</v>
      </c>
      <c r="AB98" s="51">
        <f t="shared" si="46"/>
        <v>11</v>
      </c>
      <c r="AC98" s="53"/>
      <c r="AD98" s="51" t="s">
        <v>200</v>
      </c>
      <c r="AE98" s="57"/>
      <c r="AF98" s="53"/>
      <c r="AG98" s="53"/>
      <c r="AH98" s="53"/>
      <c r="AI98" s="53"/>
      <c r="AJ98" s="53"/>
      <c r="AK98" s="53"/>
      <c r="AL98" s="53"/>
      <c r="AM98" s="53"/>
      <c r="AN98" s="53"/>
      <c r="AO98" s="53"/>
    </row>
    <row r="99" spans="1:41" ht="30" x14ac:dyDescent="0.25">
      <c r="A99" s="62" t="s">
        <v>101</v>
      </c>
      <c r="B99" s="62" t="s">
        <v>2439</v>
      </c>
      <c r="C99" s="62" t="s">
        <v>2440</v>
      </c>
      <c r="D99" s="62" t="s">
        <v>185</v>
      </c>
      <c r="E99" s="62" t="s">
        <v>2241</v>
      </c>
      <c r="F99" s="62">
        <v>8</v>
      </c>
      <c r="G99" s="62" t="s">
        <v>13</v>
      </c>
      <c r="H99" s="62">
        <v>14</v>
      </c>
      <c r="I99" s="62">
        <f t="shared" si="28"/>
        <v>112</v>
      </c>
      <c r="J99" s="51">
        <f t="shared" si="38"/>
        <v>99</v>
      </c>
      <c r="K99" s="51">
        <f t="shared" si="29"/>
        <v>96</v>
      </c>
      <c r="L99" s="51">
        <f t="shared" si="30"/>
        <v>12307</v>
      </c>
      <c r="M99" s="51">
        <f t="shared" si="31"/>
        <v>101</v>
      </c>
      <c r="N99" s="51" t="b">
        <f t="shared" si="39"/>
        <v>0</v>
      </c>
      <c r="O99" s="51" t="b">
        <f t="shared" si="40"/>
        <v>1</v>
      </c>
      <c r="P99" s="51" t="str">
        <f t="shared" si="32"/>
        <v>ct-8</v>
      </c>
      <c r="Q99" s="52" t="str">
        <f t="shared" si="33"/>
        <v>14C008199</v>
      </c>
      <c r="R99" s="51" t="b">
        <f t="shared" si="34"/>
        <v>0</v>
      </c>
      <c r="S99" s="51"/>
      <c r="T99" s="51" t="str">
        <f t="shared" si="35"/>
        <v>CT</v>
      </c>
      <c r="U99" s="51" t="str">
        <f t="shared" si="36"/>
        <v>ct</v>
      </c>
      <c r="V99" s="51">
        <f t="shared" si="37"/>
        <v>1</v>
      </c>
      <c r="W99" s="51" t="str">
        <f t="shared" si="41"/>
        <v>P011 8</v>
      </c>
      <c r="X99" s="51" t="str">
        <f t="shared" si="42"/>
        <v>CT</v>
      </c>
      <c r="Y99" s="51" t="str">
        <f t="shared" si="43"/>
        <v>14C</v>
      </c>
      <c r="Z99" s="51" t="str">
        <f t="shared" si="44"/>
        <v>UE</v>
      </c>
      <c r="AA99" s="51">
        <f t="shared" si="45"/>
        <v>4</v>
      </c>
      <c r="AB99" s="51">
        <f t="shared" si="46"/>
        <v>9</v>
      </c>
      <c r="AC99" s="53"/>
      <c r="AD99" s="51" t="s">
        <v>200</v>
      </c>
      <c r="AE99" s="57"/>
      <c r="AF99" s="53"/>
      <c r="AG99" s="53"/>
      <c r="AH99" s="53"/>
      <c r="AI99" s="53"/>
      <c r="AJ99" s="53"/>
      <c r="AK99" s="53"/>
      <c r="AL99" s="53"/>
      <c r="AM99" s="53"/>
      <c r="AN99" s="53"/>
      <c r="AO99" s="53"/>
    </row>
    <row r="100" spans="1:41" ht="30" x14ac:dyDescent="0.25">
      <c r="A100" s="62" t="s">
        <v>168</v>
      </c>
      <c r="B100" s="62" t="s">
        <v>2441</v>
      </c>
      <c r="C100" s="62" t="s">
        <v>2442</v>
      </c>
      <c r="D100" s="62" t="s">
        <v>203</v>
      </c>
      <c r="E100" s="62" t="s">
        <v>1829</v>
      </c>
      <c r="F100" s="62">
        <v>1</v>
      </c>
      <c r="G100" s="62" t="s">
        <v>35</v>
      </c>
      <c r="H100" s="62">
        <v>6.75</v>
      </c>
      <c r="I100" s="62">
        <f t="shared" si="28"/>
        <v>6.75</v>
      </c>
      <c r="J100" s="51">
        <f t="shared" si="38"/>
        <v>242</v>
      </c>
      <c r="K100" s="51">
        <f t="shared" si="29"/>
        <v>241</v>
      </c>
      <c r="L100" s="51">
        <f t="shared" si="30"/>
        <v>4518</v>
      </c>
      <c r="M100" s="51">
        <f t="shared" si="31"/>
        <v>52</v>
      </c>
      <c r="N100" s="51" t="b">
        <f t="shared" si="39"/>
        <v>1</v>
      </c>
      <c r="O100" s="51" t="b">
        <f t="shared" si="40"/>
        <v>0</v>
      </c>
      <c r="P100" s="51" t="str">
        <f t="shared" si="32"/>
        <v>cans-1</v>
      </c>
      <c r="Q100" s="52" t="str">
        <f t="shared" si="33"/>
        <v>6.75C005741</v>
      </c>
      <c r="R100" s="51" t="b">
        <f t="shared" si="34"/>
        <v>0</v>
      </c>
      <c r="S100" s="51"/>
      <c r="T100" s="51" t="str">
        <f t="shared" si="35"/>
        <v>CANS</v>
      </c>
      <c r="U100" s="51" t="str">
        <f t="shared" si="36"/>
        <v>cans</v>
      </c>
      <c r="V100" s="51">
        <f t="shared" si="37"/>
        <v>1</v>
      </c>
      <c r="W100" s="51" t="str">
        <f t="shared" si="41"/>
        <v>P017 1</v>
      </c>
      <c r="X100" s="51" t="str">
        <f t="shared" si="42"/>
        <v>CAOS</v>
      </c>
      <c r="Y100" s="51" t="str">
        <f t="shared" si="43"/>
        <v>6.7</v>
      </c>
      <c r="Z100" s="51" t="str">
        <f t="shared" si="44"/>
        <v>SE</v>
      </c>
      <c r="AA100" s="51">
        <f t="shared" si="45"/>
        <v>6</v>
      </c>
      <c r="AB100" s="51">
        <f t="shared" si="46"/>
        <v>11</v>
      </c>
      <c r="AC100" s="53"/>
      <c r="AD100" s="51" t="s">
        <v>339</v>
      </c>
      <c r="AE100" s="57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</row>
    <row r="101" spans="1:41" ht="30" x14ac:dyDescent="0.25">
      <c r="A101" s="62" t="s">
        <v>8</v>
      </c>
      <c r="B101" s="62" t="s">
        <v>2443</v>
      </c>
      <c r="C101" s="62" t="s">
        <v>2444</v>
      </c>
      <c r="D101" s="62" t="s">
        <v>1882</v>
      </c>
      <c r="E101" s="62" t="s">
        <v>1536</v>
      </c>
      <c r="F101" s="62">
        <v>4</v>
      </c>
      <c r="G101" s="62" t="s">
        <v>13</v>
      </c>
      <c r="H101" s="62">
        <v>18</v>
      </c>
      <c r="I101" s="62">
        <f t="shared" si="28"/>
        <v>72</v>
      </c>
      <c r="J101" s="51">
        <f t="shared" si="38"/>
        <v>141.5</v>
      </c>
      <c r="K101" s="51">
        <f t="shared" si="29"/>
        <v>137</v>
      </c>
      <c r="L101" s="51">
        <f t="shared" si="30"/>
        <v>12307</v>
      </c>
      <c r="M101" s="51">
        <f t="shared" si="31"/>
        <v>101</v>
      </c>
      <c r="N101" s="51" t="b">
        <f t="shared" si="39"/>
        <v>1</v>
      </c>
      <c r="O101" s="51" t="b">
        <f t="shared" si="40"/>
        <v>0</v>
      </c>
      <c r="P101" s="51" t="str">
        <f t="shared" si="32"/>
        <v>ct-4</v>
      </c>
      <c r="Q101" s="52" t="str">
        <f t="shared" si="33"/>
        <v>18C008898</v>
      </c>
      <c r="R101" s="51" t="b">
        <f t="shared" si="34"/>
        <v>0</v>
      </c>
      <c r="S101" s="51"/>
      <c r="T101" s="51" t="str">
        <f t="shared" si="35"/>
        <v>CT</v>
      </c>
      <c r="U101" s="51" t="str">
        <f t="shared" si="36"/>
        <v>ct</v>
      </c>
      <c r="V101" s="51">
        <f t="shared" si="37"/>
        <v>1</v>
      </c>
      <c r="W101" s="51" t="str">
        <f t="shared" si="41"/>
        <v>P026 4</v>
      </c>
      <c r="X101" s="51" t="str">
        <f t="shared" si="42"/>
        <v>CT</v>
      </c>
      <c r="Y101" s="51" t="str">
        <f t="shared" si="43"/>
        <v>18C</v>
      </c>
      <c r="Z101" s="51" t="str">
        <f t="shared" si="44"/>
        <v>SE</v>
      </c>
      <c r="AA101" s="51">
        <f t="shared" si="45"/>
        <v>4</v>
      </c>
      <c r="AB101" s="51">
        <f t="shared" si="46"/>
        <v>9</v>
      </c>
      <c r="AC101" s="53"/>
      <c r="AD101" s="51" t="s">
        <v>339</v>
      </c>
      <c r="AE101" s="57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</row>
    <row r="102" spans="1:41" ht="30" x14ac:dyDescent="0.25">
      <c r="A102" s="62" t="s">
        <v>8</v>
      </c>
      <c r="B102" s="62" t="s">
        <v>2445</v>
      </c>
      <c r="C102" s="62" t="s">
        <v>2446</v>
      </c>
      <c r="D102" s="62" t="s">
        <v>1766</v>
      </c>
      <c r="E102" s="62" t="s">
        <v>470</v>
      </c>
      <c r="F102" s="62">
        <v>10</v>
      </c>
      <c r="G102" s="62" t="s">
        <v>60</v>
      </c>
      <c r="H102" s="62">
        <v>29</v>
      </c>
      <c r="I102" s="62">
        <f t="shared" si="28"/>
        <v>290</v>
      </c>
      <c r="J102" s="51">
        <f t="shared" si="38"/>
        <v>9</v>
      </c>
      <c r="K102" s="51">
        <f t="shared" si="29"/>
        <v>9</v>
      </c>
      <c r="L102" s="51">
        <f t="shared" si="30"/>
        <v>3427</v>
      </c>
      <c r="M102" s="51">
        <f t="shared" si="31"/>
        <v>31</v>
      </c>
      <c r="N102" s="51" t="b">
        <f t="shared" si="39"/>
        <v>0</v>
      </c>
      <c r="O102" s="51" t="b">
        <f t="shared" si="40"/>
        <v>1</v>
      </c>
      <c r="P102" s="51" t="str">
        <f t="shared" si="32"/>
        <v>bottles-10</v>
      </c>
      <c r="Q102" s="52" t="str">
        <f t="shared" si="33"/>
        <v>29C001505</v>
      </c>
      <c r="R102" s="51" t="b">
        <f t="shared" si="34"/>
        <v>0</v>
      </c>
      <c r="S102" s="51"/>
      <c r="T102" s="51" t="str">
        <f t="shared" si="35"/>
        <v>BOTTLES</v>
      </c>
      <c r="U102" s="51" t="str">
        <f t="shared" si="36"/>
        <v>bottles</v>
      </c>
      <c r="V102" s="51">
        <f t="shared" si="37"/>
        <v>1</v>
      </c>
      <c r="W102" s="51" t="str">
        <f t="shared" si="41"/>
        <v>P026 10</v>
      </c>
      <c r="X102" s="51" t="str">
        <f t="shared" si="42"/>
        <v>BOTTLES</v>
      </c>
      <c r="Y102" s="51" t="str">
        <f t="shared" si="43"/>
        <v>29C</v>
      </c>
      <c r="Z102" s="51" t="str">
        <f t="shared" si="44"/>
        <v>UE</v>
      </c>
      <c r="AA102" s="51">
        <f t="shared" si="45"/>
        <v>4</v>
      </c>
      <c r="AB102" s="51">
        <f t="shared" si="46"/>
        <v>9</v>
      </c>
      <c r="AC102" s="53"/>
      <c r="AD102" s="51" t="s">
        <v>459</v>
      </c>
      <c r="AE102" s="57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</row>
    <row r="103" spans="1:41" x14ac:dyDescent="0.25">
      <c r="A103" s="62" t="s">
        <v>240</v>
      </c>
      <c r="B103" s="62" t="s">
        <v>2447</v>
      </c>
      <c r="C103" s="62" t="s">
        <v>2448</v>
      </c>
      <c r="D103" s="62" t="s">
        <v>194</v>
      </c>
      <c r="E103" s="62" t="s">
        <v>450</v>
      </c>
      <c r="F103" s="62">
        <v>5</v>
      </c>
      <c r="G103" s="62" t="s">
        <v>13</v>
      </c>
      <c r="H103" s="62">
        <v>9</v>
      </c>
      <c r="I103" s="62">
        <f t="shared" si="28"/>
        <v>45</v>
      </c>
      <c r="J103" s="51">
        <f t="shared" si="38"/>
        <v>172.5</v>
      </c>
      <c r="K103" s="51">
        <f t="shared" si="29"/>
        <v>172</v>
      </c>
      <c r="L103" s="51">
        <f t="shared" si="30"/>
        <v>12307</v>
      </c>
      <c r="M103" s="51">
        <f t="shared" si="31"/>
        <v>101</v>
      </c>
      <c r="N103" s="51" t="b">
        <f t="shared" si="39"/>
        <v>1</v>
      </c>
      <c r="O103" s="51" t="b">
        <f t="shared" si="40"/>
        <v>0</v>
      </c>
      <c r="P103" s="51" t="str">
        <f t="shared" si="32"/>
        <v>ct-5</v>
      </c>
      <c r="Q103" s="52" t="str">
        <f t="shared" si="33"/>
        <v>9C003231</v>
      </c>
      <c r="R103" s="51" t="b">
        <f t="shared" si="34"/>
        <v>0</v>
      </c>
      <c r="S103" s="51"/>
      <c r="T103" s="51" t="str">
        <f t="shared" si="35"/>
        <v>CT</v>
      </c>
      <c r="U103" s="51" t="str">
        <f t="shared" si="36"/>
        <v>ct</v>
      </c>
      <c r="V103" s="51">
        <f t="shared" si="37"/>
        <v>1</v>
      </c>
      <c r="W103" s="51" t="str">
        <f t="shared" si="41"/>
        <v>P024 5</v>
      </c>
      <c r="X103" s="51" t="str">
        <f t="shared" si="42"/>
        <v>CT</v>
      </c>
      <c r="Y103" s="51" t="str">
        <f t="shared" si="43"/>
        <v>9C0</v>
      </c>
      <c r="Z103" s="51" t="str">
        <f t="shared" si="44"/>
        <v>SE</v>
      </c>
      <c r="AA103" s="51">
        <f t="shared" si="45"/>
        <v>3</v>
      </c>
      <c r="AB103" s="51">
        <f t="shared" si="46"/>
        <v>8</v>
      </c>
      <c r="AC103" s="53"/>
      <c r="AD103" s="51" t="s">
        <v>459</v>
      </c>
      <c r="AE103" s="57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</row>
    <row r="104" spans="1:41" ht="30" x14ac:dyDescent="0.25">
      <c r="A104" s="62" t="s">
        <v>200</v>
      </c>
      <c r="B104" s="62" t="s">
        <v>1377</v>
      </c>
      <c r="C104" s="62" t="s">
        <v>2449</v>
      </c>
      <c r="D104" s="62" t="s">
        <v>495</v>
      </c>
      <c r="E104" s="62" t="s">
        <v>1067</v>
      </c>
      <c r="F104" s="62">
        <v>6</v>
      </c>
      <c r="G104" s="62" t="s">
        <v>167</v>
      </c>
      <c r="H104" s="62">
        <v>16</v>
      </c>
      <c r="I104" s="62">
        <f t="shared" si="28"/>
        <v>96</v>
      </c>
      <c r="J104" s="51">
        <f t="shared" si="38"/>
        <v>112.5</v>
      </c>
      <c r="K104" s="51">
        <f t="shared" si="29"/>
        <v>110</v>
      </c>
      <c r="L104" s="51">
        <f t="shared" si="30"/>
        <v>961.5</v>
      </c>
      <c r="M104" s="51">
        <f t="shared" si="31"/>
        <v>12</v>
      </c>
      <c r="N104" s="51" t="b">
        <f t="shared" si="39"/>
        <v>1</v>
      </c>
      <c r="O104" s="51" t="b">
        <f t="shared" si="40"/>
        <v>0</v>
      </c>
      <c r="P104" s="51" t="str">
        <f t="shared" si="32"/>
        <v>oz-6</v>
      </c>
      <c r="Q104" s="52" t="str">
        <f t="shared" si="33"/>
        <v>16C007901</v>
      </c>
      <c r="R104" s="51" t="b">
        <f t="shared" si="34"/>
        <v>0</v>
      </c>
      <c r="S104" s="51"/>
      <c r="T104" s="51" t="str">
        <f t="shared" si="35"/>
        <v>OZ</v>
      </c>
      <c r="U104" s="51" t="str">
        <f t="shared" si="36"/>
        <v>oz</v>
      </c>
      <c r="V104" s="51">
        <f t="shared" si="37"/>
        <v>1</v>
      </c>
      <c r="W104" s="51" t="str">
        <f t="shared" si="41"/>
        <v>P036 6</v>
      </c>
      <c r="X104" s="51" t="str">
        <f t="shared" si="42"/>
        <v>OZ</v>
      </c>
      <c r="Y104" s="51" t="str">
        <f t="shared" si="43"/>
        <v>16C</v>
      </c>
      <c r="Z104" s="51" t="str">
        <f t="shared" si="44"/>
        <v>SE</v>
      </c>
      <c r="AA104" s="51">
        <f t="shared" si="45"/>
        <v>4</v>
      </c>
      <c r="AB104" s="51">
        <f t="shared" si="46"/>
        <v>9</v>
      </c>
      <c r="AC104" s="53"/>
      <c r="AD104" s="58" t="s">
        <v>283</v>
      </c>
      <c r="AE104" s="57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</row>
    <row r="105" spans="1:41" ht="30" x14ac:dyDescent="0.25">
      <c r="A105" s="62" t="s">
        <v>91</v>
      </c>
      <c r="B105" s="62" t="s">
        <v>2450</v>
      </c>
      <c r="C105" s="62" t="s">
        <v>2451</v>
      </c>
      <c r="D105" s="62" t="s">
        <v>1506</v>
      </c>
      <c r="E105" s="62" t="s">
        <v>976</v>
      </c>
      <c r="F105" s="62">
        <v>1</v>
      </c>
      <c r="G105" s="62" t="s">
        <v>167</v>
      </c>
      <c r="H105" s="62">
        <v>19.5</v>
      </c>
      <c r="I105" s="62">
        <f t="shared" si="28"/>
        <v>19.5</v>
      </c>
      <c r="J105" s="51">
        <f t="shared" si="38"/>
        <v>219.5</v>
      </c>
      <c r="K105" s="51">
        <f t="shared" si="29"/>
        <v>219</v>
      </c>
      <c r="L105" s="51">
        <f t="shared" si="30"/>
        <v>961.5</v>
      </c>
      <c r="M105" s="51">
        <f t="shared" si="31"/>
        <v>12</v>
      </c>
      <c r="N105" s="51" t="b">
        <f t="shared" si="39"/>
        <v>1</v>
      </c>
      <c r="O105" s="51" t="b">
        <f t="shared" si="40"/>
        <v>0</v>
      </c>
      <c r="P105" s="51" t="str">
        <f t="shared" si="32"/>
        <v>oz-1</v>
      </c>
      <c r="Q105" s="52" t="str">
        <f t="shared" si="33"/>
        <v>19.5C001037</v>
      </c>
      <c r="R105" s="51" t="b">
        <f t="shared" si="34"/>
        <v>0</v>
      </c>
      <c r="S105" s="51"/>
      <c r="T105" s="51" t="str">
        <f t="shared" si="35"/>
        <v>OZ</v>
      </c>
      <c r="U105" s="51" t="str">
        <f t="shared" si="36"/>
        <v>oz</v>
      </c>
      <c r="V105" s="51">
        <f t="shared" si="37"/>
        <v>1</v>
      </c>
      <c r="W105" s="51" t="str">
        <f t="shared" si="41"/>
        <v>P003 1</v>
      </c>
      <c r="X105" s="51" t="str">
        <f t="shared" si="42"/>
        <v>OZ</v>
      </c>
      <c r="Y105" s="51" t="str">
        <f t="shared" si="43"/>
        <v>19.</v>
      </c>
      <c r="Z105" s="51" t="str">
        <f t="shared" si="44"/>
        <v>SE</v>
      </c>
      <c r="AA105" s="51">
        <f t="shared" si="45"/>
        <v>6</v>
      </c>
      <c r="AB105" s="51">
        <f t="shared" si="46"/>
        <v>11</v>
      </c>
      <c r="AC105" s="53"/>
      <c r="AD105" s="57"/>
      <c r="AE105" s="57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</row>
    <row r="106" spans="1:41" ht="30" x14ac:dyDescent="0.25">
      <c r="A106" s="62" t="s">
        <v>8</v>
      </c>
      <c r="B106" s="62" t="s">
        <v>2452</v>
      </c>
      <c r="C106" s="62" t="s">
        <v>2453</v>
      </c>
      <c r="D106" s="62" t="s">
        <v>69</v>
      </c>
      <c r="E106" s="62" t="s">
        <v>1812</v>
      </c>
      <c r="F106" s="62">
        <v>1</v>
      </c>
      <c r="G106" s="62" t="s">
        <v>13</v>
      </c>
      <c r="H106" s="62">
        <v>14</v>
      </c>
      <c r="I106" s="62">
        <f t="shared" si="28"/>
        <v>14</v>
      </c>
      <c r="J106" s="51">
        <f t="shared" si="38"/>
        <v>234.5</v>
      </c>
      <c r="K106" s="51">
        <f t="shared" si="29"/>
        <v>234</v>
      </c>
      <c r="L106" s="51">
        <f t="shared" si="30"/>
        <v>12307</v>
      </c>
      <c r="M106" s="51">
        <f t="shared" si="31"/>
        <v>101</v>
      </c>
      <c r="N106" s="51" t="b">
        <f t="shared" si="39"/>
        <v>1</v>
      </c>
      <c r="O106" s="51" t="b">
        <f t="shared" si="40"/>
        <v>0</v>
      </c>
      <c r="P106" s="51" t="str">
        <f t="shared" si="32"/>
        <v>ct-1</v>
      </c>
      <c r="Q106" s="52" t="str">
        <f t="shared" si="33"/>
        <v>14C006421</v>
      </c>
      <c r="R106" s="51" t="b">
        <f t="shared" si="34"/>
        <v>0</v>
      </c>
      <c r="S106" s="51"/>
      <c r="T106" s="51" t="str">
        <f t="shared" si="35"/>
        <v>CT</v>
      </c>
      <c r="U106" s="51" t="str">
        <f t="shared" si="36"/>
        <v>ct</v>
      </c>
      <c r="V106" s="51">
        <f t="shared" si="37"/>
        <v>1</v>
      </c>
      <c r="W106" s="51" t="str">
        <f t="shared" si="41"/>
        <v>P026 1</v>
      </c>
      <c r="X106" s="51" t="str">
        <f t="shared" si="42"/>
        <v>CT</v>
      </c>
      <c r="Y106" s="51" t="str">
        <f t="shared" si="43"/>
        <v>14C</v>
      </c>
      <c r="Z106" s="51" t="str">
        <f t="shared" si="44"/>
        <v>SE</v>
      </c>
      <c r="AA106" s="51">
        <f t="shared" si="45"/>
        <v>4</v>
      </c>
      <c r="AB106" s="51">
        <f t="shared" si="46"/>
        <v>9</v>
      </c>
      <c r="AC106" s="53"/>
      <c r="AD106" s="57"/>
      <c r="AE106" s="57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</row>
    <row r="107" spans="1:41" ht="30" x14ac:dyDescent="0.25">
      <c r="A107" s="62" t="s">
        <v>55</v>
      </c>
      <c r="B107" s="62" t="s">
        <v>2454</v>
      </c>
      <c r="C107" s="62" t="s">
        <v>2455</v>
      </c>
      <c r="D107" s="62" t="s">
        <v>807</v>
      </c>
      <c r="E107" s="62" t="s">
        <v>1814</v>
      </c>
      <c r="F107" s="62">
        <v>2</v>
      </c>
      <c r="G107" s="62" t="s">
        <v>13</v>
      </c>
      <c r="H107" s="62">
        <v>21</v>
      </c>
      <c r="I107" s="62">
        <f t="shared" si="28"/>
        <v>42</v>
      </c>
      <c r="J107" s="51">
        <f t="shared" si="38"/>
        <v>174.5</v>
      </c>
      <c r="K107" s="51">
        <f t="shared" si="29"/>
        <v>174</v>
      </c>
      <c r="L107" s="51">
        <f t="shared" si="30"/>
        <v>12307</v>
      </c>
      <c r="M107" s="51">
        <f t="shared" si="31"/>
        <v>101</v>
      </c>
      <c r="N107" s="51" t="b">
        <f t="shared" si="39"/>
        <v>1</v>
      </c>
      <c r="O107" s="51" t="b">
        <f t="shared" si="40"/>
        <v>0</v>
      </c>
      <c r="P107" s="51" t="str">
        <f t="shared" si="32"/>
        <v>ct-2</v>
      </c>
      <c r="Q107" s="52" t="str">
        <f t="shared" si="33"/>
        <v>21C000334</v>
      </c>
      <c r="R107" s="51" t="b">
        <f t="shared" si="34"/>
        <v>0</v>
      </c>
      <c r="S107" s="51"/>
      <c r="T107" s="51" t="str">
        <f t="shared" si="35"/>
        <v>CT</v>
      </c>
      <c r="U107" s="51" t="str">
        <f t="shared" si="36"/>
        <v>ct</v>
      </c>
      <c r="V107" s="51">
        <f t="shared" si="37"/>
        <v>1</v>
      </c>
      <c r="W107" s="51" t="str">
        <f t="shared" si="41"/>
        <v>P006 2</v>
      </c>
      <c r="X107" s="51" t="str">
        <f t="shared" si="42"/>
        <v>CT</v>
      </c>
      <c r="Y107" s="51" t="str">
        <f t="shared" si="43"/>
        <v>21C</v>
      </c>
      <c r="Z107" s="51" t="str">
        <f t="shared" si="44"/>
        <v>SE</v>
      </c>
      <c r="AA107" s="51">
        <f t="shared" si="45"/>
        <v>4</v>
      </c>
      <c r="AB107" s="51">
        <f t="shared" si="46"/>
        <v>9</v>
      </c>
      <c r="AC107" s="53"/>
      <c r="AD107" s="57"/>
      <c r="AE107" s="57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</row>
    <row r="108" spans="1:41" ht="30" x14ac:dyDescent="0.25">
      <c r="A108" s="62" t="s">
        <v>20</v>
      </c>
      <c r="B108" s="62" t="s">
        <v>2456</v>
      </c>
      <c r="C108" s="62" t="s">
        <v>2457</v>
      </c>
      <c r="D108" s="62" t="s">
        <v>574</v>
      </c>
      <c r="E108" s="62" t="s">
        <v>291</v>
      </c>
      <c r="F108" s="62">
        <v>6</v>
      </c>
      <c r="G108" s="62" t="s">
        <v>402</v>
      </c>
      <c r="H108" s="62">
        <v>20</v>
      </c>
      <c r="I108" s="62">
        <f t="shared" si="28"/>
        <v>120</v>
      </c>
      <c r="J108" s="51">
        <f t="shared" si="38"/>
        <v>85</v>
      </c>
      <c r="K108" s="51">
        <f t="shared" si="29"/>
        <v>83</v>
      </c>
      <c r="L108" s="51">
        <f t="shared" si="30"/>
        <v>576</v>
      </c>
      <c r="M108" s="51">
        <f t="shared" si="31"/>
        <v>5</v>
      </c>
      <c r="N108" s="51" t="b">
        <f t="shared" si="39"/>
        <v>0</v>
      </c>
      <c r="O108" s="51" t="b">
        <f t="shared" si="40"/>
        <v>1</v>
      </c>
      <c r="P108" s="51" t="str">
        <f t="shared" si="32"/>
        <v>pack-6</v>
      </c>
      <c r="Q108" s="52" t="str">
        <f t="shared" si="33"/>
        <v>20C006238</v>
      </c>
      <c r="R108" s="51" t="b">
        <f t="shared" si="34"/>
        <v>0</v>
      </c>
      <c r="S108" s="51"/>
      <c r="T108" s="51" t="str">
        <f t="shared" si="35"/>
        <v>PACK</v>
      </c>
      <c r="U108" s="51" t="str">
        <f t="shared" si="36"/>
        <v>pack</v>
      </c>
      <c r="V108" s="51">
        <f t="shared" si="37"/>
        <v>1</v>
      </c>
      <c r="W108" s="51" t="str">
        <f t="shared" si="41"/>
        <v>P030 6</v>
      </c>
      <c r="X108" s="51" t="str">
        <f t="shared" si="42"/>
        <v>PACK</v>
      </c>
      <c r="Y108" s="51" t="str">
        <f t="shared" si="43"/>
        <v>20C</v>
      </c>
      <c r="Z108" s="51" t="str">
        <f t="shared" si="44"/>
        <v>UE</v>
      </c>
      <c r="AA108" s="51">
        <f t="shared" si="45"/>
        <v>2</v>
      </c>
      <c r="AB108" s="51">
        <f t="shared" si="46"/>
        <v>9</v>
      </c>
      <c r="AC108" s="53"/>
      <c r="AD108" s="57"/>
      <c r="AE108" s="57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</row>
    <row r="109" spans="1:41" ht="30" x14ac:dyDescent="0.25">
      <c r="A109" s="62" t="s">
        <v>200</v>
      </c>
      <c r="B109" s="62" t="s">
        <v>2458</v>
      </c>
      <c r="C109" s="62" t="s">
        <v>2459</v>
      </c>
      <c r="D109" s="62" t="s">
        <v>1876</v>
      </c>
      <c r="E109" s="62" t="s">
        <v>754</v>
      </c>
      <c r="F109" s="62">
        <v>4</v>
      </c>
      <c r="G109" s="62" t="s">
        <v>13</v>
      </c>
      <c r="H109" s="62">
        <v>42</v>
      </c>
      <c r="I109" s="62">
        <f t="shared" si="28"/>
        <v>168</v>
      </c>
      <c r="J109" s="51">
        <f t="shared" si="38"/>
        <v>42.5</v>
      </c>
      <c r="K109" s="51">
        <f t="shared" si="29"/>
        <v>42</v>
      </c>
      <c r="L109" s="51">
        <f t="shared" si="30"/>
        <v>12307</v>
      </c>
      <c r="M109" s="51">
        <f t="shared" si="31"/>
        <v>101</v>
      </c>
      <c r="N109" s="51" t="b">
        <f t="shared" si="39"/>
        <v>0</v>
      </c>
      <c r="O109" s="51" t="b">
        <f t="shared" si="40"/>
        <v>1</v>
      </c>
      <c r="P109" s="51" t="str">
        <f t="shared" si="32"/>
        <v>ct-4</v>
      </c>
      <c r="Q109" s="52" t="str">
        <f t="shared" si="33"/>
        <v>42C008589</v>
      </c>
      <c r="R109" s="51" t="b">
        <f t="shared" si="34"/>
        <v>0</v>
      </c>
      <c r="S109" s="51"/>
      <c r="T109" s="51" t="str">
        <f t="shared" si="35"/>
        <v>CT</v>
      </c>
      <c r="U109" s="51" t="str">
        <f t="shared" si="36"/>
        <v>ct</v>
      </c>
      <c r="V109" s="51">
        <f t="shared" si="37"/>
        <v>1</v>
      </c>
      <c r="W109" s="51" t="str">
        <f t="shared" si="41"/>
        <v>P036 4</v>
      </c>
      <c r="X109" s="51" t="str">
        <f t="shared" si="42"/>
        <v>CT</v>
      </c>
      <c r="Y109" s="51" t="str">
        <f t="shared" si="43"/>
        <v>42C</v>
      </c>
      <c r="Z109" s="51" t="str">
        <f t="shared" si="44"/>
        <v>UE</v>
      </c>
      <c r="AA109" s="51">
        <f t="shared" si="45"/>
        <v>4</v>
      </c>
      <c r="AB109" s="51">
        <f t="shared" si="46"/>
        <v>9</v>
      </c>
      <c r="AC109" s="53"/>
      <c r="AD109" s="57"/>
      <c r="AE109" s="57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</row>
    <row r="110" spans="1:41" ht="30" x14ac:dyDescent="0.25">
      <c r="A110" s="62" t="s">
        <v>459</v>
      </c>
      <c r="B110" s="62" t="s">
        <v>2460</v>
      </c>
      <c r="C110" s="62" t="s">
        <v>2461</v>
      </c>
      <c r="D110" s="62" t="s">
        <v>1484</v>
      </c>
      <c r="E110" s="62" t="s">
        <v>1860</v>
      </c>
      <c r="F110" s="62">
        <v>1</v>
      </c>
      <c r="G110" s="62" t="s">
        <v>13</v>
      </c>
      <c r="H110" s="62">
        <v>26</v>
      </c>
      <c r="I110" s="62">
        <f t="shared" si="28"/>
        <v>26</v>
      </c>
      <c r="J110" s="51">
        <f t="shared" si="38"/>
        <v>205.5</v>
      </c>
      <c r="K110" s="51">
        <f t="shared" si="29"/>
        <v>205</v>
      </c>
      <c r="L110" s="51">
        <f t="shared" si="30"/>
        <v>12307</v>
      </c>
      <c r="M110" s="51">
        <f t="shared" si="31"/>
        <v>101</v>
      </c>
      <c r="N110" s="51" t="b">
        <f t="shared" si="39"/>
        <v>1</v>
      </c>
      <c r="O110" s="51" t="b">
        <f t="shared" si="40"/>
        <v>0</v>
      </c>
      <c r="P110" s="51" t="str">
        <f t="shared" si="32"/>
        <v>ct-1</v>
      </c>
      <c r="Q110" s="52" t="str">
        <f t="shared" si="33"/>
        <v>26C001775</v>
      </c>
      <c r="R110" s="51" t="b">
        <f t="shared" si="34"/>
        <v>0</v>
      </c>
      <c r="S110" s="51"/>
      <c r="T110" s="51" t="str">
        <f t="shared" si="35"/>
        <v>CT</v>
      </c>
      <c r="U110" s="51" t="str">
        <f t="shared" si="36"/>
        <v>ct</v>
      </c>
      <c r="V110" s="51">
        <f t="shared" si="37"/>
        <v>1</v>
      </c>
      <c r="W110" s="51" t="str">
        <f t="shared" si="41"/>
        <v>P038 1</v>
      </c>
      <c r="X110" s="51" t="str">
        <f t="shared" si="42"/>
        <v>CT</v>
      </c>
      <c r="Y110" s="51" t="str">
        <f t="shared" si="43"/>
        <v>26C</v>
      </c>
      <c r="Z110" s="51" t="str">
        <f t="shared" si="44"/>
        <v>SE</v>
      </c>
      <c r="AA110" s="51">
        <f t="shared" si="45"/>
        <v>4</v>
      </c>
      <c r="AB110" s="51">
        <f t="shared" si="46"/>
        <v>9</v>
      </c>
      <c r="AC110" s="53"/>
      <c r="AD110" s="57"/>
      <c r="AE110" s="57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</row>
    <row r="111" spans="1:41" ht="30" x14ac:dyDescent="0.25">
      <c r="A111" s="62" t="s">
        <v>743</v>
      </c>
      <c r="B111" s="62" t="s">
        <v>2462</v>
      </c>
      <c r="C111" s="62" t="s">
        <v>2463</v>
      </c>
      <c r="D111" s="62" t="s">
        <v>1547</v>
      </c>
      <c r="E111" s="62" t="s">
        <v>767</v>
      </c>
      <c r="F111" s="62">
        <v>4</v>
      </c>
      <c r="G111" s="62" t="s">
        <v>35</v>
      </c>
      <c r="H111" s="62">
        <v>16.25</v>
      </c>
      <c r="I111" s="62">
        <f t="shared" si="28"/>
        <v>65</v>
      </c>
      <c r="J111" s="51">
        <f t="shared" si="38"/>
        <v>152</v>
      </c>
      <c r="K111" s="51">
        <f t="shared" si="29"/>
        <v>151</v>
      </c>
      <c r="L111" s="51">
        <f t="shared" si="30"/>
        <v>4518</v>
      </c>
      <c r="M111" s="51">
        <f t="shared" si="31"/>
        <v>52</v>
      </c>
      <c r="N111" s="51" t="b">
        <f t="shared" si="39"/>
        <v>1</v>
      </c>
      <c r="O111" s="51" t="b">
        <f t="shared" si="40"/>
        <v>0</v>
      </c>
      <c r="P111" s="51" t="str">
        <f t="shared" si="32"/>
        <v>cans-4</v>
      </c>
      <c r="Q111" s="52" t="str">
        <f t="shared" si="33"/>
        <v>16.25C001474</v>
      </c>
      <c r="R111" s="51" t="b">
        <f t="shared" si="34"/>
        <v>0</v>
      </c>
      <c r="S111" s="51"/>
      <c r="T111" s="51" t="str">
        <f t="shared" si="35"/>
        <v>CANS</v>
      </c>
      <c r="U111" s="51" t="str">
        <f t="shared" si="36"/>
        <v>cans</v>
      </c>
      <c r="V111" s="51">
        <f t="shared" si="37"/>
        <v>1</v>
      </c>
      <c r="W111" s="51" t="str">
        <f t="shared" si="41"/>
        <v>P007 4</v>
      </c>
      <c r="X111" s="51" t="str">
        <f t="shared" si="42"/>
        <v>CAOS</v>
      </c>
      <c r="Y111" s="51" t="str">
        <f t="shared" si="43"/>
        <v>16.</v>
      </c>
      <c r="Z111" s="51" t="str">
        <f t="shared" si="44"/>
        <v>SE</v>
      </c>
      <c r="AA111" s="51">
        <f t="shared" si="45"/>
        <v>7</v>
      </c>
      <c r="AB111" s="51">
        <f t="shared" si="46"/>
        <v>12</v>
      </c>
      <c r="AC111" s="53"/>
      <c r="AD111" s="57"/>
      <c r="AE111" s="57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</row>
    <row r="112" spans="1:41" ht="30" x14ac:dyDescent="0.25">
      <c r="A112" s="62" t="s">
        <v>137</v>
      </c>
      <c r="B112" s="62" t="s">
        <v>2464</v>
      </c>
      <c r="C112" s="62" t="s">
        <v>2465</v>
      </c>
      <c r="D112" s="62" t="s">
        <v>688</v>
      </c>
      <c r="E112" s="62" t="s">
        <v>2379</v>
      </c>
      <c r="F112" s="62">
        <v>6</v>
      </c>
      <c r="G112" s="62" t="s">
        <v>13</v>
      </c>
      <c r="H112" s="62">
        <v>12</v>
      </c>
      <c r="I112" s="62">
        <f t="shared" si="28"/>
        <v>72</v>
      </c>
      <c r="J112" s="51">
        <f t="shared" si="38"/>
        <v>141.5</v>
      </c>
      <c r="K112" s="51">
        <f t="shared" si="29"/>
        <v>137</v>
      </c>
      <c r="L112" s="51">
        <f t="shared" si="30"/>
        <v>12307</v>
      </c>
      <c r="M112" s="51">
        <f t="shared" si="31"/>
        <v>101</v>
      </c>
      <c r="N112" s="51" t="b">
        <f t="shared" si="39"/>
        <v>1</v>
      </c>
      <c r="O112" s="51" t="b">
        <f t="shared" si="40"/>
        <v>0</v>
      </c>
      <c r="P112" s="51" t="str">
        <f t="shared" si="32"/>
        <v>ct-6</v>
      </c>
      <c r="Q112" s="52" t="str">
        <f t="shared" si="33"/>
        <v>12C003235</v>
      </c>
      <c r="R112" s="51" t="b">
        <f t="shared" si="34"/>
        <v>0</v>
      </c>
      <c r="S112" s="51"/>
      <c r="T112" s="51" t="str">
        <f t="shared" si="35"/>
        <v>CT</v>
      </c>
      <c r="U112" s="51" t="str">
        <f t="shared" si="36"/>
        <v>ct</v>
      </c>
      <c r="V112" s="51">
        <f t="shared" si="37"/>
        <v>1</v>
      </c>
      <c r="W112" s="51" t="str">
        <f t="shared" si="41"/>
        <v>P020 6</v>
      </c>
      <c r="X112" s="51" t="str">
        <f t="shared" si="42"/>
        <v>CT</v>
      </c>
      <c r="Y112" s="51" t="str">
        <f t="shared" si="43"/>
        <v>12C</v>
      </c>
      <c r="Z112" s="51" t="str">
        <f t="shared" si="44"/>
        <v>SE</v>
      </c>
      <c r="AA112" s="51">
        <f t="shared" si="45"/>
        <v>4</v>
      </c>
      <c r="AB112" s="51">
        <f t="shared" si="46"/>
        <v>9</v>
      </c>
      <c r="AC112" s="53"/>
      <c r="AD112" s="57"/>
      <c r="AE112" s="57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</row>
    <row r="113" spans="1:41" ht="30" x14ac:dyDescent="0.25">
      <c r="A113" s="62" t="s">
        <v>101</v>
      </c>
      <c r="B113" s="62" t="s">
        <v>2466</v>
      </c>
      <c r="C113" s="62" t="s">
        <v>2467</v>
      </c>
      <c r="D113" s="62" t="s">
        <v>165</v>
      </c>
      <c r="E113" s="62" t="s">
        <v>1319</v>
      </c>
      <c r="F113" s="62">
        <v>8</v>
      </c>
      <c r="G113" s="62" t="s">
        <v>167</v>
      </c>
      <c r="H113" s="62">
        <v>15</v>
      </c>
      <c r="I113" s="62">
        <f t="shared" si="28"/>
        <v>120</v>
      </c>
      <c r="J113" s="51">
        <f t="shared" si="38"/>
        <v>85</v>
      </c>
      <c r="K113" s="51">
        <f t="shared" si="29"/>
        <v>83</v>
      </c>
      <c r="L113" s="51">
        <f t="shared" si="30"/>
        <v>961.5</v>
      </c>
      <c r="M113" s="51">
        <f t="shared" si="31"/>
        <v>12</v>
      </c>
      <c r="N113" s="51" t="b">
        <f t="shared" si="39"/>
        <v>0</v>
      </c>
      <c r="O113" s="51" t="b">
        <f t="shared" si="40"/>
        <v>1</v>
      </c>
      <c r="P113" s="51" t="str">
        <f t="shared" si="32"/>
        <v>oz-8</v>
      </c>
      <c r="Q113" s="52" t="str">
        <f t="shared" si="33"/>
        <v>15C002951</v>
      </c>
      <c r="R113" s="51" t="b">
        <f t="shared" si="34"/>
        <v>0</v>
      </c>
      <c r="S113" s="51"/>
      <c r="T113" s="51" t="str">
        <f t="shared" si="35"/>
        <v>OZ</v>
      </c>
      <c r="U113" s="51" t="str">
        <f t="shared" si="36"/>
        <v>oz</v>
      </c>
      <c r="V113" s="51">
        <f t="shared" si="37"/>
        <v>1</v>
      </c>
      <c r="W113" s="51" t="str">
        <f t="shared" si="41"/>
        <v>P011 8</v>
      </c>
      <c r="X113" s="51" t="str">
        <f t="shared" si="42"/>
        <v>OZ</v>
      </c>
      <c r="Y113" s="51" t="str">
        <f t="shared" si="43"/>
        <v>15C</v>
      </c>
      <c r="Z113" s="51" t="str">
        <f t="shared" si="44"/>
        <v>UE</v>
      </c>
      <c r="AA113" s="51">
        <f t="shared" si="45"/>
        <v>4</v>
      </c>
      <c r="AB113" s="51">
        <f t="shared" si="46"/>
        <v>9</v>
      </c>
      <c r="AC113" s="53"/>
      <c r="AD113" s="57"/>
      <c r="AE113" s="57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</row>
    <row r="114" spans="1:41" ht="30" x14ac:dyDescent="0.25">
      <c r="A114" s="62" t="s">
        <v>307</v>
      </c>
      <c r="B114" s="62" t="s">
        <v>2468</v>
      </c>
      <c r="C114" s="62" t="s">
        <v>2469</v>
      </c>
      <c r="D114" s="62" t="s">
        <v>23</v>
      </c>
      <c r="E114" s="62" t="s">
        <v>406</v>
      </c>
      <c r="F114" s="62">
        <v>3</v>
      </c>
      <c r="G114" s="62" t="s">
        <v>13</v>
      </c>
      <c r="H114" s="62">
        <v>12.5</v>
      </c>
      <c r="I114" s="62">
        <f t="shared" si="28"/>
        <v>37.5</v>
      </c>
      <c r="J114" s="51">
        <f t="shared" si="38"/>
        <v>181.5</v>
      </c>
      <c r="K114" s="51">
        <f t="shared" si="29"/>
        <v>181</v>
      </c>
      <c r="L114" s="51">
        <f t="shared" si="30"/>
        <v>12307</v>
      </c>
      <c r="M114" s="51">
        <f t="shared" si="31"/>
        <v>101</v>
      </c>
      <c r="N114" s="51" t="b">
        <f t="shared" si="39"/>
        <v>1</v>
      </c>
      <c r="O114" s="51" t="b">
        <f t="shared" si="40"/>
        <v>0</v>
      </c>
      <c r="P114" s="51" t="str">
        <f t="shared" si="32"/>
        <v>ct-3</v>
      </c>
      <c r="Q114" s="52" t="str">
        <f t="shared" si="33"/>
        <v>12.5C005789</v>
      </c>
      <c r="R114" s="51" t="b">
        <f t="shared" si="34"/>
        <v>0</v>
      </c>
      <c r="S114" s="51"/>
      <c r="T114" s="51" t="str">
        <f t="shared" si="35"/>
        <v>CT</v>
      </c>
      <c r="U114" s="51" t="str">
        <f t="shared" si="36"/>
        <v>ct</v>
      </c>
      <c r="V114" s="51">
        <f t="shared" si="37"/>
        <v>1</v>
      </c>
      <c r="W114" s="51" t="str">
        <f t="shared" si="41"/>
        <v>P031 3</v>
      </c>
      <c r="X114" s="51" t="str">
        <f t="shared" si="42"/>
        <v>CT</v>
      </c>
      <c r="Y114" s="51" t="str">
        <f t="shared" si="43"/>
        <v>12.</v>
      </c>
      <c r="Z114" s="51" t="str">
        <f t="shared" si="44"/>
        <v>SE</v>
      </c>
      <c r="AA114" s="51">
        <f t="shared" si="45"/>
        <v>6</v>
      </c>
      <c r="AB114" s="51">
        <f t="shared" si="46"/>
        <v>11</v>
      </c>
      <c r="AC114" s="53"/>
      <c r="AD114" s="57"/>
      <c r="AE114" s="57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</row>
    <row r="115" spans="1:41" ht="30" x14ac:dyDescent="0.25">
      <c r="A115" s="62" t="s">
        <v>209</v>
      </c>
      <c r="B115" s="62" t="s">
        <v>2470</v>
      </c>
      <c r="C115" s="62" t="s">
        <v>2471</v>
      </c>
      <c r="D115" s="62" t="s">
        <v>378</v>
      </c>
      <c r="E115" s="62" t="s">
        <v>629</v>
      </c>
      <c r="F115" s="62">
        <v>1</v>
      </c>
      <c r="G115" s="62" t="s">
        <v>13</v>
      </c>
      <c r="H115" s="62">
        <v>33</v>
      </c>
      <c r="I115" s="62">
        <f t="shared" si="28"/>
        <v>33</v>
      </c>
      <c r="J115" s="51">
        <f t="shared" si="38"/>
        <v>189.5</v>
      </c>
      <c r="K115" s="51">
        <f t="shared" si="29"/>
        <v>188</v>
      </c>
      <c r="L115" s="51">
        <f t="shared" si="30"/>
        <v>12307</v>
      </c>
      <c r="M115" s="51">
        <f t="shared" si="31"/>
        <v>101</v>
      </c>
      <c r="N115" s="51" t="b">
        <f t="shared" si="39"/>
        <v>1</v>
      </c>
      <c r="O115" s="51" t="b">
        <f t="shared" si="40"/>
        <v>0</v>
      </c>
      <c r="P115" s="51" t="str">
        <f t="shared" si="32"/>
        <v>ct-1</v>
      </c>
      <c r="Q115" s="52" t="str">
        <f t="shared" si="33"/>
        <v>33C007680</v>
      </c>
      <c r="R115" s="51" t="b">
        <f t="shared" si="34"/>
        <v>0</v>
      </c>
      <c r="S115" s="51"/>
      <c r="T115" s="51" t="str">
        <f t="shared" si="35"/>
        <v>CT</v>
      </c>
      <c r="U115" s="51" t="str">
        <f t="shared" si="36"/>
        <v>ct</v>
      </c>
      <c r="V115" s="51">
        <f t="shared" si="37"/>
        <v>1</v>
      </c>
      <c r="W115" s="51" t="str">
        <f t="shared" si="41"/>
        <v>P021 1</v>
      </c>
      <c r="X115" s="51" t="str">
        <f t="shared" si="42"/>
        <v>CT</v>
      </c>
      <c r="Y115" s="51" t="str">
        <f t="shared" si="43"/>
        <v>33C</v>
      </c>
      <c r="Z115" s="51" t="str">
        <f t="shared" si="44"/>
        <v>SE</v>
      </c>
      <c r="AA115" s="51">
        <f t="shared" si="45"/>
        <v>4</v>
      </c>
      <c r="AB115" s="51">
        <f t="shared" si="46"/>
        <v>9</v>
      </c>
      <c r="AC115" s="53"/>
      <c r="AD115" s="57"/>
      <c r="AE115" s="57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</row>
    <row r="116" spans="1:41" ht="30" x14ac:dyDescent="0.25">
      <c r="A116" s="62" t="s">
        <v>96</v>
      </c>
      <c r="B116" s="62" t="s">
        <v>2472</v>
      </c>
      <c r="C116" s="62" t="s">
        <v>2473</v>
      </c>
      <c r="D116" s="62" t="s">
        <v>286</v>
      </c>
      <c r="E116" s="62" t="s">
        <v>1113</v>
      </c>
      <c r="F116" s="62">
        <v>7</v>
      </c>
      <c r="G116" s="62" t="s">
        <v>106</v>
      </c>
      <c r="H116" s="62">
        <v>16</v>
      </c>
      <c r="I116" s="62">
        <f t="shared" si="28"/>
        <v>112</v>
      </c>
      <c r="J116" s="51">
        <f t="shared" si="38"/>
        <v>99</v>
      </c>
      <c r="K116" s="51">
        <f t="shared" si="29"/>
        <v>96</v>
      </c>
      <c r="L116" s="51">
        <f t="shared" si="30"/>
        <v>1357</v>
      </c>
      <c r="M116" s="51">
        <f t="shared" si="31"/>
        <v>14</v>
      </c>
      <c r="N116" s="51" t="b">
        <f t="shared" si="39"/>
        <v>0</v>
      </c>
      <c r="O116" s="51" t="b">
        <f t="shared" si="40"/>
        <v>1</v>
      </c>
      <c r="P116" s="51" t="str">
        <f t="shared" si="32"/>
        <v>bags-7</v>
      </c>
      <c r="Q116" s="52" t="str">
        <f t="shared" si="33"/>
        <v>16C007460</v>
      </c>
      <c r="R116" s="51" t="b">
        <f t="shared" si="34"/>
        <v>0</v>
      </c>
      <c r="S116" s="51"/>
      <c r="T116" s="51" t="str">
        <f t="shared" si="35"/>
        <v>BAGS</v>
      </c>
      <c r="U116" s="51" t="str">
        <f t="shared" si="36"/>
        <v>bags</v>
      </c>
      <c r="V116" s="51">
        <f t="shared" si="37"/>
        <v>1</v>
      </c>
      <c r="W116" s="51" t="str">
        <f t="shared" si="41"/>
        <v>P016 7</v>
      </c>
      <c r="X116" s="51" t="str">
        <f t="shared" si="42"/>
        <v>BAGS</v>
      </c>
      <c r="Y116" s="51" t="str">
        <f t="shared" si="43"/>
        <v>16C</v>
      </c>
      <c r="Z116" s="51" t="str">
        <f t="shared" si="44"/>
        <v>UE</v>
      </c>
      <c r="AA116" s="51">
        <f t="shared" si="45"/>
        <v>4</v>
      </c>
      <c r="AB116" s="51">
        <f t="shared" si="46"/>
        <v>9</v>
      </c>
      <c r="AC116" s="53"/>
      <c r="AD116" s="57"/>
      <c r="AE116" s="57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</row>
    <row r="117" spans="1:41" ht="30" x14ac:dyDescent="0.25">
      <c r="A117" s="62" t="s">
        <v>96</v>
      </c>
      <c r="B117" s="62" t="s">
        <v>2474</v>
      </c>
      <c r="C117" s="62" t="s">
        <v>2475</v>
      </c>
      <c r="D117" s="62" t="s">
        <v>1023</v>
      </c>
      <c r="E117" s="62" t="s">
        <v>253</v>
      </c>
      <c r="F117" s="62">
        <v>8</v>
      </c>
      <c r="G117" s="62" t="s">
        <v>13</v>
      </c>
      <c r="H117" s="62">
        <v>14</v>
      </c>
      <c r="I117" s="62">
        <f t="shared" si="28"/>
        <v>112</v>
      </c>
      <c r="J117" s="51">
        <f t="shared" si="38"/>
        <v>99</v>
      </c>
      <c r="K117" s="51">
        <f t="shared" si="29"/>
        <v>96</v>
      </c>
      <c r="L117" s="51">
        <f t="shared" si="30"/>
        <v>12307</v>
      </c>
      <c r="M117" s="51">
        <f t="shared" si="31"/>
        <v>101</v>
      </c>
      <c r="N117" s="51" t="b">
        <f t="shared" si="39"/>
        <v>0</v>
      </c>
      <c r="O117" s="51" t="b">
        <f t="shared" si="40"/>
        <v>1</v>
      </c>
      <c r="P117" s="51" t="str">
        <f t="shared" si="32"/>
        <v>ct-8</v>
      </c>
      <c r="Q117" s="52" t="str">
        <f t="shared" si="33"/>
        <v>14C004317</v>
      </c>
      <c r="R117" s="51" t="b">
        <f t="shared" si="34"/>
        <v>0</v>
      </c>
      <c r="S117" s="51"/>
      <c r="T117" s="51" t="str">
        <f t="shared" si="35"/>
        <v>CT</v>
      </c>
      <c r="U117" s="51" t="str">
        <f t="shared" si="36"/>
        <v>ct</v>
      </c>
      <c r="V117" s="51">
        <f t="shared" si="37"/>
        <v>1</v>
      </c>
      <c r="W117" s="51" t="str">
        <f t="shared" si="41"/>
        <v>P016 8</v>
      </c>
      <c r="X117" s="51" t="str">
        <f t="shared" si="42"/>
        <v>CT</v>
      </c>
      <c r="Y117" s="51" t="str">
        <f t="shared" si="43"/>
        <v>14C</v>
      </c>
      <c r="Z117" s="51" t="str">
        <f t="shared" si="44"/>
        <v>UE</v>
      </c>
      <c r="AA117" s="51">
        <f t="shared" si="45"/>
        <v>4</v>
      </c>
      <c r="AB117" s="51">
        <f t="shared" si="46"/>
        <v>9</v>
      </c>
      <c r="AC117" s="53"/>
      <c r="AD117" s="57"/>
      <c r="AE117" s="57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</row>
    <row r="118" spans="1:41" ht="30" x14ac:dyDescent="0.25">
      <c r="A118" s="62" t="s">
        <v>200</v>
      </c>
      <c r="B118" s="62" t="s">
        <v>2476</v>
      </c>
      <c r="C118" s="62" t="s">
        <v>2477</v>
      </c>
      <c r="D118" s="62" t="s">
        <v>1876</v>
      </c>
      <c r="E118" s="62" t="s">
        <v>2478</v>
      </c>
      <c r="F118" s="62">
        <v>5</v>
      </c>
      <c r="G118" s="62" t="s">
        <v>13</v>
      </c>
      <c r="H118" s="62">
        <v>42</v>
      </c>
      <c r="I118" s="62">
        <f t="shared" si="28"/>
        <v>210</v>
      </c>
      <c r="J118" s="51">
        <f t="shared" si="38"/>
        <v>24</v>
      </c>
      <c r="K118" s="51">
        <f t="shared" si="29"/>
        <v>24</v>
      </c>
      <c r="L118" s="51">
        <f t="shared" si="30"/>
        <v>12307</v>
      </c>
      <c r="M118" s="51">
        <f t="shared" si="31"/>
        <v>101</v>
      </c>
      <c r="N118" s="51" t="b">
        <f t="shared" si="39"/>
        <v>0</v>
      </c>
      <c r="O118" s="51" t="b">
        <f t="shared" si="40"/>
        <v>1</v>
      </c>
      <c r="P118" s="51" t="str">
        <f t="shared" si="32"/>
        <v>ct-5</v>
      </c>
      <c r="Q118" s="52" t="str">
        <f t="shared" si="33"/>
        <v>42C005262</v>
      </c>
      <c r="R118" s="51" t="b">
        <f t="shared" si="34"/>
        <v>0</v>
      </c>
      <c r="S118" s="51"/>
      <c r="T118" s="51" t="str">
        <f t="shared" si="35"/>
        <v>CT</v>
      </c>
      <c r="U118" s="51" t="str">
        <f t="shared" si="36"/>
        <v>ct</v>
      </c>
      <c r="V118" s="51">
        <f t="shared" si="37"/>
        <v>1</v>
      </c>
      <c r="W118" s="51" t="str">
        <f t="shared" si="41"/>
        <v>P036 5</v>
      </c>
      <c r="X118" s="51" t="str">
        <f t="shared" si="42"/>
        <v>CT</v>
      </c>
      <c r="Y118" s="51" t="str">
        <f t="shared" si="43"/>
        <v>42C</v>
      </c>
      <c r="Z118" s="51" t="str">
        <f t="shared" si="44"/>
        <v>UE</v>
      </c>
      <c r="AA118" s="51">
        <f t="shared" si="45"/>
        <v>4</v>
      </c>
      <c r="AB118" s="51">
        <f t="shared" si="46"/>
        <v>9</v>
      </c>
      <c r="AC118" s="53"/>
      <c r="AD118" s="57"/>
      <c r="AE118" s="57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</row>
    <row r="119" spans="1:41" x14ac:dyDescent="0.25">
      <c r="A119" s="62" t="s">
        <v>125</v>
      </c>
      <c r="B119" s="62" t="s">
        <v>1204</v>
      </c>
      <c r="C119" s="62" t="s">
        <v>2479</v>
      </c>
      <c r="D119" s="62" t="s">
        <v>33</v>
      </c>
      <c r="E119" s="62" t="s">
        <v>2480</v>
      </c>
      <c r="F119" s="62">
        <v>2</v>
      </c>
      <c r="G119" s="62" t="s">
        <v>35</v>
      </c>
      <c r="H119" s="62">
        <v>8</v>
      </c>
      <c r="I119" s="62">
        <f t="shared" si="28"/>
        <v>16</v>
      </c>
      <c r="J119" s="51">
        <f t="shared" si="38"/>
        <v>229</v>
      </c>
      <c r="K119" s="51">
        <f t="shared" si="29"/>
        <v>227</v>
      </c>
      <c r="L119" s="51">
        <f t="shared" si="30"/>
        <v>4518</v>
      </c>
      <c r="M119" s="51">
        <f t="shared" si="31"/>
        <v>52</v>
      </c>
      <c r="N119" s="51" t="b">
        <f t="shared" si="39"/>
        <v>1</v>
      </c>
      <c r="O119" s="51" t="b">
        <f t="shared" si="40"/>
        <v>0</v>
      </c>
      <c r="P119" s="51" t="str">
        <f t="shared" si="32"/>
        <v>cans-2</v>
      </c>
      <c r="Q119" s="52" t="str">
        <f t="shared" si="33"/>
        <v>8C001232</v>
      </c>
      <c r="R119" s="51" t="b">
        <f t="shared" si="34"/>
        <v>0</v>
      </c>
      <c r="S119" s="51"/>
      <c r="T119" s="51" t="str">
        <f t="shared" si="35"/>
        <v>CANS</v>
      </c>
      <c r="U119" s="51" t="str">
        <f t="shared" si="36"/>
        <v>cans</v>
      </c>
      <c r="V119" s="51">
        <f t="shared" si="37"/>
        <v>1</v>
      </c>
      <c r="W119" s="51" t="str">
        <f t="shared" si="41"/>
        <v>P028 2</v>
      </c>
      <c r="X119" s="51" t="str">
        <f t="shared" si="42"/>
        <v>CAOS</v>
      </c>
      <c r="Y119" s="51" t="str">
        <f t="shared" si="43"/>
        <v>8C0</v>
      </c>
      <c r="Z119" s="51" t="str">
        <f t="shared" si="44"/>
        <v>SE</v>
      </c>
      <c r="AA119" s="51">
        <f t="shared" si="45"/>
        <v>3</v>
      </c>
      <c r="AB119" s="51">
        <f t="shared" si="46"/>
        <v>8</v>
      </c>
      <c r="AC119" s="53"/>
      <c r="AD119" s="57"/>
      <c r="AE119" s="57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</row>
    <row r="120" spans="1:41" ht="30" x14ac:dyDescent="0.25">
      <c r="A120" s="62" t="s">
        <v>146</v>
      </c>
      <c r="B120" s="62" t="s">
        <v>2481</v>
      </c>
      <c r="C120" s="62" t="s">
        <v>2482</v>
      </c>
      <c r="D120" s="62" t="s">
        <v>859</v>
      </c>
      <c r="E120" s="62" t="s">
        <v>1844</v>
      </c>
      <c r="F120" s="62">
        <v>5</v>
      </c>
      <c r="G120" s="62" t="s">
        <v>35</v>
      </c>
      <c r="H120" s="62">
        <v>16</v>
      </c>
      <c r="I120" s="62">
        <f t="shared" si="28"/>
        <v>80</v>
      </c>
      <c r="J120" s="51">
        <f t="shared" si="38"/>
        <v>128</v>
      </c>
      <c r="K120" s="51">
        <f t="shared" si="29"/>
        <v>125</v>
      </c>
      <c r="L120" s="51">
        <f t="shared" si="30"/>
        <v>4518</v>
      </c>
      <c r="M120" s="51">
        <f t="shared" si="31"/>
        <v>52</v>
      </c>
      <c r="N120" s="51" t="b">
        <f t="shared" si="39"/>
        <v>1</v>
      </c>
      <c r="O120" s="51" t="b">
        <f t="shared" si="40"/>
        <v>0</v>
      </c>
      <c r="P120" s="51" t="str">
        <f t="shared" si="32"/>
        <v>cans-5</v>
      </c>
      <c r="Q120" s="52" t="str">
        <f t="shared" si="33"/>
        <v>16C007008</v>
      </c>
      <c r="R120" s="51" t="b">
        <f t="shared" si="34"/>
        <v>0</v>
      </c>
      <c r="S120" s="51"/>
      <c r="T120" s="51" t="str">
        <f t="shared" si="35"/>
        <v>CANS</v>
      </c>
      <c r="U120" s="51" t="str">
        <f t="shared" si="36"/>
        <v>cans</v>
      </c>
      <c r="V120" s="51">
        <f t="shared" si="37"/>
        <v>1</v>
      </c>
      <c r="W120" s="51" t="str">
        <f t="shared" si="41"/>
        <v>P010 5</v>
      </c>
      <c r="X120" s="51" t="str">
        <f t="shared" si="42"/>
        <v>CAOS</v>
      </c>
      <c r="Y120" s="51" t="str">
        <f t="shared" si="43"/>
        <v>16C</v>
      </c>
      <c r="Z120" s="51" t="str">
        <f t="shared" si="44"/>
        <v>SE</v>
      </c>
      <c r="AA120" s="51">
        <f t="shared" si="45"/>
        <v>4</v>
      </c>
      <c r="AB120" s="51">
        <f t="shared" si="46"/>
        <v>9</v>
      </c>
      <c r="AC120" s="53"/>
      <c r="AD120" s="57"/>
      <c r="AE120" s="57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</row>
    <row r="121" spans="1:41" ht="30" x14ac:dyDescent="0.25">
      <c r="A121" s="62" t="s">
        <v>173</v>
      </c>
      <c r="B121" s="62" t="s">
        <v>2483</v>
      </c>
      <c r="C121" s="62" t="s">
        <v>2484</v>
      </c>
      <c r="D121" s="62" t="s">
        <v>832</v>
      </c>
      <c r="E121" s="62" t="s">
        <v>1825</v>
      </c>
      <c r="F121" s="62">
        <v>5</v>
      </c>
      <c r="G121" s="62" t="s">
        <v>13</v>
      </c>
      <c r="H121" s="62">
        <v>12</v>
      </c>
      <c r="I121" s="62">
        <f t="shared" si="28"/>
        <v>60</v>
      </c>
      <c r="J121" s="51">
        <f t="shared" si="38"/>
        <v>158.5</v>
      </c>
      <c r="K121" s="51">
        <f t="shared" si="29"/>
        <v>157</v>
      </c>
      <c r="L121" s="51">
        <f t="shared" si="30"/>
        <v>12307</v>
      </c>
      <c r="M121" s="51">
        <f t="shared" si="31"/>
        <v>101</v>
      </c>
      <c r="N121" s="51" t="b">
        <f t="shared" si="39"/>
        <v>1</v>
      </c>
      <c r="O121" s="51" t="b">
        <f t="shared" si="40"/>
        <v>0</v>
      </c>
      <c r="P121" s="51" t="str">
        <f t="shared" si="32"/>
        <v>ct-5</v>
      </c>
      <c r="Q121" s="52" t="str">
        <f t="shared" si="33"/>
        <v>12C003401</v>
      </c>
      <c r="R121" s="51" t="b">
        <f t="shared" si="34"/>
        <v>0</v>
      </c>
      <c r="S121" s="51"/>
      <c r="T121" s="51" t="str">
        <f t="shared" si="35"/>
        <v>CT</v>
      </c>
      <c r="U121" s="51" t="str">
        <f t="shared" si="36"/>
        <v>ct</v>
      </c>
      <c r="V121" s="51">
        <f t="shared" si="37"/>
        <v>1</v>
      </c>
      <c r="W121" s="51" t="str">
        <f t="shared" si="41"/>
        <v>P033 5</v>
      </c>
      <c r="X121" s="51" t="str">
        <f t="shared" si="42"/>
        <v>CT</v>
      </c>
      <c r="Y121" s="51" t="str">
        <f t="shared" si="43"/>
        <v>12C</v>
      </c>
      <c r="Z121" s="51" t="str">
        <f t="shared" si="44"/>
        <v>SE</v>
      </c>
      <c r="AA121" s="51">
        <f t="shared" si="45"/>
        <v>4</v>
      </c>
      <c r="AB121" s="51">
        <f t="shared" si="46"/>
        <v>9</v>
      </c>
      <c r="AC121" s="53"/>
      <c r="AD121" s="57"/>
      <c r="AE121" s="57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</row>
    <row r="122" spans="1:41" ht="30" x14ac:dyDescent="0.25">
      <c r="A122" s="62" t="s">
        <v>200</v>
      </c>
      <c r="B122" s="62" t="s">
        <v>2485</v>
      </c>
      <c r="C122" s="62" t="s">
        <v>2486</v>
      </c>
      <c r="D122" s="62" t="s">
        <v>198</v>
      </c>
      <c r="E122" s="62" t="s">
        <v>1296</v>
      </c>
      <c r="F122" s="62">
        <v>1</v>
      </c>
      <c r="G122" s="62" t="s">
        <v>60</v>
      </c>
      <c r="H122" s="62">
        <v>20</v>
      </c>
      <c r="I122" s="62">
        <f t="shared" si="28"/>
        <v>20</v>
      </c>
      <c r="J122" s="51">
        <f t="shared" si="38"/>
        <v>216.5</v>
      </c>
      <c r="K122" s="51">
        <f t="shared" si="29"/>
        <v>215</v>
      </c>
      <c r="L122" s="51">
        <f t="shared" si="30"/>
        <v>3427</v>
      </c>
      <c r="M122" s="51">
        <f t="shared" si="31"/>
        <v>31</v>
      </c>
      <c r="N122" s="51" t="b">
        <f t="shared" si="39"/>
        <v>1</v>
      </c>
      <c r="O122" s="51" t="b">
        <f t="shared" si="40"/>
        <v>0</v>
      </c>
      <c r="P122" s="51" t="str">
        <f t="shared" si="32"/>
        <v>bottles-1</v>
      </c>
      <c r="Q122" s="52" t="str">
        <f t="shared" si="33"/>
        <v>20C009173</v>
      </c>
      <c r="R122" s="51" t="b">
        <f t="shared" si="34"/>
        <v>0</v>
      </c>
      <c r="S122" s="51"/>
      <c r="T122" s="51" t="str">
        <f t="shared" si="35"/>
        <v>BOTTLES</v>
      </c>
      <c r="U122" s="51" t="str">
        <f t="shared" si="36"/>
        <v>bottles</v>
      </c>
      <c r="V122" s="51">
        <f t="shared" si="37"/>
        <v>1</v>
      </c>
      <c r="W122" s="51" t="str">
        <f t="shared" si="41"/>
        <v>P036 1</v>
      </c>
      <c r="X122" s="51" t="str">
        <f t="shared" si="42"/>
        <v>BOTTLES</v>
      </c>
      <c r="Y122" s="51" t="str">
        <f t="shared" si="43"/>
        <v>20C</v>
      </c>
      <c r="Z122" s="51" t="str">
        <f t="shared" si="44"/>
        <v>SE</v>
      </c>
      <c r="AA122" s="51">
        <f t="shared" si="45"/>
        <v>2</v>
      </c>
      <c r="AB122" s="51">
        <f t="shared" si="46"/>
        <v>9</v>
      </c>
      <c r="AC122" s="53"/>
      <c r="AD122" s="57"/>
      <c r="AE122" s="57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</row>
    <row r="123" spans="1:41" ht="30" x14ac:dyDescent="0.25">
      <c r="A123" s="62" t="s">
        <v>107</v>
      </c>
      <c r="B123" s="62" t="s">
        <v>2487</v>
      </c>
      <c r="C123" s="62" t="s">
        <v>2488</v>
      </c>
      <c r="D123" s="62" t="s">
        <v>401</v>
      </c>
      <c r="E123" s="62" t="s">
        <v>987</v>
      </c>
      <c r="F123" s="62">
        <v>7</v>
      </c>
      <c r="G123" s="62" t="s">
        <v>402</v>
      </c>
      <c r="H123" s="62">
        <v>20</v>
      </c>
      <c r="I123" s="62">
        <f t="shared" si="28"/>
        <v>140</v>
      </c>
      <c r="J123" s="51">
        <f t="shared" si="38"/>
        <v>68.5</v>
      </c>
      <c r="K123" s="51">
        <f t="shared" si="29"/>
        <v>67</v>
      </c>
      <c r="L123" s="51">
        <f t="shared" si="30"/>
        <v>576</v>
      </c>
      <c r="M123" s="51">
        <f t="shared" si="31"/>
        <v>5</v>
      </c>
      <c r="N123" s="51" t="b">
        <f t="shared" si="39"/>
        <v>0</v>
      </c>
      <c r="O123" s="51" t="b">
        <f t="shared" si="40"/>
        <v>1</v>
      </c>
      <c r="P123" s="51" t="str">
        <f t="shared" si="32"/>
        <v>pack-7</v>
      </c>
      <c r="Q123" s="52" t="str">
        <f t="shared" si="33"/>
        <v>20C008694</v>
      </c>
      <c r="R123" s="51" t="b">
        <f t="shared" si="34"/>
        <v>0</v>
      </c>
      <c r="S123" s="51"/>
      <c r="T123" s="51" t="str">
        <f t="shared" si="35"/>
        <v>PACK</v>
      </c>
      <c r="U123" s="51" t="str">
        <f t="shared" si="36"/>
        <v>pack</v>
      </c>
      <c r="V123" s="51">
        <f t="shared" si="37"/>
        <v>1</v>
      </c>
      <c r="W123" s="51" t="str">
        <f t="shared" si="41"/>
        <v>P015 7</v>
      </c>
      <c r="X123" s="51" t="str">
        <f t="shared" si="42"/>
        <v>PACK</v>
      </c>
      <c r="Y123" s="51" t="str">
        <f t="shared" si="43"/>
        <v>20C</v>
      </c>
      <c r="Z123" s="51" t="str">
        <f t="shared" si="44"/>
        <v>UE</v>
      </c>
      <c r="AA123" s="51">
        <f t="shared" si="45"/>
        <v>2</v>
      </c>
      <c r="AB123" s="51">
        <f t="shared" si="46"/>
        <v>9</v>
      </c>
      <c r="AC123" s="53"/>
      <c r="AD123" s="57"/>
      <c r="AE123" s="57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</row>
    <row r="124" spans="1:41" ht="30" x14ac:dyDescent="0.25">
      <c r="A124" s="62" t="s">
        <v>96</v>
      </c>
      <c r="B124" s="62" t="s">
        <v>2489</v>
      </c>
      <c r="C124" s="62" t="s">
        <v>2490</v>
      </c>
      <c r="D124" s="62" t="s">
        <v>753</v>
      </c>
      <c r="E124" s="62" t="s">
        <v>2491</v>
      </c>
      <c r="F124" s="62">
        <v>2</v>
      </c>
      <c r="G124" s="62" t="s">
        <v>35</v>
      </c>
      <c r="H124" s="62">
        <v>11.5</v>
      </c>
      <c r="I124" s="62">
        <f t="shared" si="28"/>
        <v>23</v>
      </c>
      <c r="J124" s="51">
        <f t="shared" si="38"/>
        <v>211.5</v>
      </c>
      <c r="K124" s="51">
        <f t="shared" si="29"/>
        <v>211</v>
      </c>
      <c r="L124" s="51">
        <f t="shared" si="30"/>
        <v>4518</v>
      </c>
      <c r="M124" s="51">
        <f t="shared" si="31"/>
        <v>52</v>
      </c>
      <c r="N124" s="51" t="b">
        <f t="shared" si="39"/>
        <v>1</v>
      </c>
      <c r="O124" s="51" t="b">
        <f t="shared" si="40"/>
        <v>0</v>
      </c>
      <c r="P124" s="51" t="str">
        <f t="shared" si="32"/>
        <v>cans-2</v>
      </c>
      <c r="Q124" s="52" t="str">
        <f t="shared" si="33"/>
        <v>11.5C008428</v>
      </c>
      <c r="R124" s="51" t="b">
        <f t="shared" si="34"/>
        <v>0</v>
      </c>
      <c r="S124" s="51"/>
      <c r="T124" s="51" t="str">
        <f t="shared" si="35"/>
        <v>CANS</v>
      </c>
      <c r="U124" s="51" t="str">
        <f t="shared" si="36"/>
        <v>cans</v>
      </c>
      <c r="V124" s="51">
        <f t="shared" si="37"/>
        <v>1</v>
      </c>
      <c r="W124" s="51" t="str">
        <f t="shared" si="41"/>
        <v>P016 2</v>
      </c>
      <c r="X124" s="51" t="str">
        <f t="shared" si="42"/>
        <v>CAOS</v>
      </c>
      <c r="Y124" s="51" t="str">
        <f t="shared" si="43"/>
        <v>11.</v>
      </c>
      <c r="Z124" s="51" t="str">
        <f t="shared" si="44"/>
        <v>SE</v>
      </c>
      <c r="AA124" s="51">
        <f t="shared" si="45"/>
        <v>6</v>
      </c>
      <c r="AB124" s="51">
        <f t="shared" si="46"/>
        <v>11</v>
      </c>
      <c r="AC124" s="53"/>
      <c r="AD124" s="57"/>
      <c r="AE124" s="57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</row>
    <row r="125" spans="1:41" ht="30" x14ac:dyDescent="0.25">
      <c r="A125" s="62" t="s">
        <v>162</v>
      </c>
      <c r="B125" s="62" t="s">
        <v>2492</v>
      </c>
      <c r="C125" s="62" t="s">
        <v>2493</v>
      </c>
      <c r="D125" s="62" t="s">
        <v>397</v>
      </c>
      <c r="E125" s="62" t="s">
        <v>1899</v>
      </c>
      <c r="F125" s="62">
        <v>6</v>
      </c>
      <c r="G125" s="62" t="s">
        <v>35</v>
      </c>
      <c r="H125" s="62">
        <v>16.25</v>
      </c>
      <c r="I125" s="62">
        <f t="shared" si="28"/>
        <v>97.5</v>
      </c>
      <c r="J125" s="51">
        <f t="shared" si="38"/>
        <v>109</v>
      </c>
      <c r="K125" s="51">
        <f t="shared" si="29"/>
        <v>109</v>
      </c>
      <c r="L125" s="51">
        <f t="shared" si="30"/>
        <v>4518</v>
      </c>
      <c r="M125" s="51">
        <f t="shared" si="31"/>
        <v>52</v>
      </c>
      <c r="N125" s="51" t="b">
        <f t="shared" si="39"/>
        <v>1</v>
      </c>
      <c r="O125" s="51" t="b">
        <f t="shared" si="40"/>
        <v>0</v>
      </c>
      <c r="P125" s="51" t="str">
        <f t="shared" si="32"/>
        <v>cans-6</v>
      </c>
      <c r="Q125" s="52" t="str">
        <f t="shared" si="33"/>
        <v>16.25C001140</v>
      </c>
      <c r="R125" s="51" t="b">
        <f t="shared" si="34"/>
        <v>0</v>
      </c>
      <c r="S125" s="51"/>
      <c r="T125" s="51" t="str">
        <f t="shared" si="35"/>
        <v>CANS</v>
      </c>
      <c r="U125" s="51" t="str">
        <f t="shared" si="36"/>
        <v>cans</v>
      </c>
      <c r="V125" s="51">
        <f t="shared" si="37"/>
        <v>1</v>
      </c>
      <c r="W125" s="51" t="str">
        <f t="shared" si="41"/>
        <v>P012 6</v>
      </c>
      <c r="X125" s="51" t="str">
        <f t="shared" si="42"/>
        <v>CAOS</v>
      </c>
      <c r="Y125" s="51" t="str">
        <f t="shared" si="43"/>
        <v>16.</v>
      </c>
      <c r="Z125" s="51" t="str">
        <f t="shared" si="44"/>
        <v>SE</v>
      </c>
      <c r="AA125" s="51">
        <f t="shared" si="45"/>
        <v>7</v>
      </c>
      <c r="AB125" s="51">
        <f t="shared" si="46"/>
        <v>12</v>
      </c>
      <c r="AC125" s="53"/>
      <c r="AD125" s="57"/>
      <c r="AE125" s="57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</row>
    <row r="126" spans="1:41" ht="30" x14ac:dyDescent="0.25">
      <c r="A126" s="62" t="s">
        <v>107</v>
      </c>
      <c r="B126" s="62" t="s">
        <v>2494</v>
      </c>
      <c r="C126" s="62" t="s">
        <v>2495</v>
      </c>
      <c r="D126" s="62" t="s">
        <v>1526</v>
      </c>
      <c r="E126" s="62" t="s">
        <v>871</v>
      </c>
      <c r="F126" s="62">
        <v>4</v>
      </c>
      <c r="G126" s="62" t="s">
        <v>13</v>
      </c>
      <c r="H126" s="62">
        <v>46</v>
      </c>
      <c r="I126" s="62">
        <f t="shared" si="28"/>
        <v>184</v>
      </c>
      <c r="J126" s="51">
        <f t="shared" si="38"/>
        <v>33.5</v>
      </c>
      <c r="K126" s="51">
        <f t="shared" si="29"/>
        <v>33</v>
      </c>
      <c r="L126" s="51">
        <f t="shared" si="30"/>
        <v>12307</v>
      </c>
      <c r="M126" s="51">
        <f t="shared" si="31"/>
        <v>101</v>
      </c>
      <c r="N126" s="51" t="b">
        <f t="shared" si="39"/>
        <v>0</v>
      </c>
      <c r="O126" s="51" t="b">
        <f t="shared" si="40"/>
        <v>1</v>
      </c>
      <c r="P126" s="51" t="str">
        <f t="shared" si="32"/>
        <v>ct-4</v>
      </c>
      <c r="Q126" s="52" t="str">
        <f t="shared" si="33"/>
        <v>46C005237</v>
      </c>
      <c r="R126" s="51" t="b">
        <f t="shared" si="34"/>
        <v>0</v>
      </c>
      <c r="S126" s="51"/>
      <c r="T126" s="51" t="str">
        <f t="shared" si="35"/>
        <v>CT</v>
      </c>
      <c r="U126" s="51" t="str">
        <f t="shared" si="36"/>
        <v>ct</v>
      </c>
      <c r="V126" s="51">
        <f t="shared" si="37"/>
        <v>1</v>
      </c>
      <c r="W126" s="51" t="str">
        <f t="shared" si="41"/>
        <v>P015 4</v>
      </c>
      <c r="X126" s="51" t="str">
        <f t="shared" si="42"/>
        <v>CT</v>
      </c>
      <c r="Y126" s="51" t="str">
        <f t="shared" si="43"/>
        <v>46C</v>
      </c>
      <c r="Z126" s="51" t="str">
        <f t="shared" si="44"/>
        <v>UE</v>
      </c>
      <c r="AA126" s="51">
        <f t="shared" si="45"/>
        <v>4</v>
      </c>
      <c r="AB126" s="51">
        <f t="shared" si="46"/>
        <v>9</v>
      </c>
      <c r="AC126" s="53"/>
      <c r="AD126" s="57"/>
      <c r="AE126" s="57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</row>
    <row r="127" spans="1:41" ht="30" x14ac:dyDescent="0.25">
      <c r="A127" s="62" t="s">
        <v>288</v>
      </c>
      <c r="B127" s="62" t="s">
        <v>2496</v>
      </c>
      <c r="C127" s="62" t="s">
        <v>2497</v>
      </c>
      <c r="D127" s="62" t="s">
        <v>1480</v>
      </c>
      <c r="E127" s="62" t="s">
        <v>750</v>
      </c>
      <c r="F127" s="62">
        <v>3</v>
      </c>
      <c r="G127" s="62" t="s">
        <v>13</v>
      </c>
      <c r="H127" s="62">
        <v>13</v>
      </c>
      <c r="I127" s="62">
        <f t="shared" si="28"/>
        <v>39</v>
      </c>
      <c r="J127" s="51">
        <f t="shared" si="38"/>
        <v>179</v>
      </c>
      <c r="K127" s="51">
        <f t="shared" si="29"/>
        <v>179</v>
      </c>
      <c r="L127" s="51">
        <f t="shared" si="30"/>
        <v>12307</v>
      </c>
      <c r="M127" s="51">
        <f t="shared" si="31"/>
        <v>101</v>
      </c>
      <c r="N127" s="51" t="b">
        <f t="shared" si="39"/>
        <v>1</v>
      </c>
      <c r="O127" s="51" t="b">
        <f t="shared" si="40"/>
        <v>0</v>
      </c>
      <c r="P127" s="51" t="str">
        <f t="shared" si="32"/>
        <v>ct-3</v>
      </c>
      <c r="Q127" s="52" t="str">
        <f t="shared" si="33"/>
        <v>13C002577</v>
      </c>
      <c r="R127" s="51" t="b">
        <f t="shared" si="34"/>
        <v>0</v>
      </c>
      <c r="S127" s="51"/>
      <c r="T127" s="51" t="str">
        <f t="shared" si="35"/>
        <v>CT</v>
      </c>
      <c r="U127" s="51" t="str">
        <f t="shared" si="36"/>
        <v>ct</v>
      </c>
      <c r="V127" s="51">
        <f t="shared" si="37"/>
        <v>1</v>
      </c>
      <c r="W127" s="51" t="str">
        <f t="shared" si="41"/>
        <v>P009 3</v>
      </c>
      <c r="X127" s="51" t="str">
        <f t="shared" si="42"/>
        <v>CT</v>
      </c>
      <c r="Y127" s="51" t="str">
        <f t="shared" si="43"/>
        <v>13C</v>
      </c>
      <c r="Z127" s="51" t="str">
        <f t="shared" si="44"/>
        <v>SE</v>
      </c>
      <c r="AA127" s="51">
        <f t="shared" si="45"/>
        <v>4</v>
      </c>
      <c r="AB127" s="51">
        <f t="shared" si="46"/>
        <v>9</v>
      </c>
      <c r="AC127" s="53"/>
      <c r="AD127" s="57"/>
      <c r="AE127" s="57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</row>
    <row r="128" spans="1:41" ht="30" x14ac:dyDescent="0.25">
      <c r="A128" s="62" t="s">
        <v>101</v>
      </c>
      <c r="B128" s="62" t="s">
        <v>1816</v>
      </c>
      <c r="C128" s="62" t="s">
        <v>2498</v>
      </c>
      <c r="D128" s="62" t="s">
        <v>94</v>
      </c>
      <c r="E128" s="62" t="s">
        <v>2499</v>
      </c>
      <c r="F128" s="62">
        <v>7</v>
      </c>
      <c r="G128" s="62" t="s">
        <v>13</v>
      </c>
      <c r="H128" s="62">
        <v>16</v>
      </c>
      <c r="I128" s="62">
        <f t="shared" si="28"/>
        <v>112</v>
      </c>
      <c r="J128" s="51">
        <f t="shared" si="38"/>
        <v>99</v>
      </c>
      <c r="K128" s="51">
        <f t="shared" si="29"/>
        <v>96</v>
      </c>
      <c r="L128" s="51">
        <f t="shared" si="30"/>
        <v>12307</v>
      </c>
      <c r="M128" s="51">
        <f t="shared" si="31"/>
        <v>101</v>
      </c>
      <c r="N128" s="51" t="b">
        <f t="shared" si="39"/>
        <v>0</v>
      </c>
      <c r="O128" s="51" t="b">
        <f t="shared" si="40"/>
        <v>1</v>
      </c>
      <c r="P128" s="51" t="str">
        <f t="shared" si="32"/>
        <v>ct-7</v>
      </c>
      <c r="Q128" s="52" t="str">
        <f t="shared" si="33"/>
        <v>16C005885</v>
      </c>
      <c r="R128" s="51" t="b">
        <f t="shared" si="34"/>
        <v>0</v>
      </c>
      <c r="S128" s="51"/>
      <c r="T128" s="51" t="str">
        <f t="shared" si="35"/>
        <v>CT</v>
      </c>
      <c r="U128" s="51" t="str">
        <f t="shared" si="36"/>
        <v>ct</v>
      </c>
      <c r="V128" s="51">
        <f t="shared" si="37"/>
        <v>1</v>
      </c>
      <c r="W128" s="51" t="str">
        <f t="shared" si="41"/>
        <v>P011 7</v>
      </c>
      <c r="X128" s="51" t="str">
        <f t="shared" si="42"/>
        <v>CT</v>
      </c>
      <c r="Y128" s="51" t="str">
        <f t="shared" si="43"/>
        <v>16C</v>
      </c>
      <c r="Z128" s="51" t="str">
        <f t="shared" si="44"/>
        <v>UE</v>
      </c>
      <c r="AA128" s="51">
        <f t="shared" si="45"/>
        <v>4</v>
      </c>
      <c r="AB128" s="51">
        <f t="shared" si="46"/>
        <v>9</v>
      </c>
      <c r="AC128" s="53"/>
      <c r="AD128" s="57"/>
      <c r="AE128" s="57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</row>
    <row r="129" spans="1:41" ht="30" x14ac:dyDescent="0.25">
      <c r="A129" s="62" t="s">
        <v>274</v>
      </c>
      <c r="B129" s="62" t="s">
        <v>2500</v>
      </c>
      <c r="C129" s="62" t="s">
        <v>2501</v>
      </c>
      <c r="D129" s="62" t="s">
        <v>1544</v>
      </c>
      <c r="E129" s="62" t="s">
        <v>1144</v>
      </c>
      <c r="F129" s="62">
        <v>4</v>
      </c>
      <c r="G129" s="62" t="s">
        <v>35</v>
      </c>
      <c r="H129" s="62">
        <v>6.75</v>
      </c>
      <c r="I129" s="62">
        <f t="shared" si="28"/>
        <v>27</v>
      </c>
      <c r="J129" s="51">
        <f t="shared" si="38"/>
        <v>203.5</v>
      </c>
      <c r="K129" s="51">
        <f t="shared" si="29"/>
        <v>203</v>
      </c>
      <c r="L129" s="51">
        <f t="shared" si="30"/>
        <v>4518</v>
      </c>
      <c r="M129" s="51">
        <f t="shared" si="31"/>
        <v>52</v>
      </c>
      <c r="N129" s="51" t="b">
        <f t="shared" si="39"/>
        <v>1</v>
      </c>
      <c r="O129" s="51" t="b">
        <f t="shared" si="40"/>
        <v>0</v>
      </c>
      <c r="P129" s="51" t="str">
        <f t="shared" si="32"/>
        <v>cans-4</v>
      </c>
      <c r="Q129" s="52" t="str">
        <f t="shared" si="33"/>
        <v>6.75C008848</v>
      </c>
      <c r="R129" s="51" t="b">
        <f t="shared" si="34"/>
        <v>0</v>
      </c>
      <c r="S129" s="51"/>
      <c r="T129" s="51" t="str">
        <f t="shared" si="35"/>
        <v>CANS</v>
      </c>
      <c r="U129" s="51" t="str">
        <f t="shared" si="36"/>
        <v>cans</v>
      </c>
      <c r="V129" s="51">
        <f t="shared" si="37"/>
        <v>1</v>
      </c>
      <c r="W129" s="51" t="str">
        <f t="shared" si="41"/>
        <v>P034 4</v>
      </c>
      <c r="X129" s="51" t="str">
        <f t="shared" si="42"/>
        <v>CAOS</v>
      </c>
      <c r="Y129" s="51" t="str">
        <f t="shared" si="43"/>
        <v>6.7</v>
      </c>
      <c r="Z129" s="51" t="str">
        <f t="shared" si="44"/>
        <v>SE</v>
      </c>
      <c r="AA129" s="51">
        <f t="shared" si="45"/>
        <v>6</v>
      </c>
      <c r="AB129" s="51">
        <f t="shared" si="46"/>
        <v>11</v>
      </c>
      <c r="AC129" s="53"/>
      <c r="AD129" s="57"/>
      <c r="AE129" s="57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</row>
    <row r="130" spans="1:41" ht="30" x14ac:dyDescent="0.25">
      <c r="A130" s="62" t="s">
        <v>25</v>
      </c>
      <c r="B130" s="62" t="s">
        <v>2502</v>
      </c>
      <c r="C130" s="62" t="s">
        <v>2503</v>
      </c>
      <c r="D130" s="62" t="s">
        <v>1883</v>
      </c>
      <c r="E130" s="62" t="s">
        <v>2504</v>
      </c>
      <c r="F130" s="62">
        <v>4</v>
      </c>
      <c r="G130" s="62" t="s">
        <v>167</v>
      </c>
      <c r="H130" s="62">
        <v>18</v>
      </c>
      <c r="I130" s="62">
        <f t="shared" si="28"/>
        <v>72</v>
      </c>
      <c r="J130" s="51">
        <f t="shared" si="38"/>
        <v>141.5</v>
      </c>
      <c r="K130" s="51">
        <f t="shared" si="29"/>
        <v>137</v>
      </c>
      <c r="L130" s="51">
        <f t="shared" si="30"/>
        <v>961.5</v>
      </c>
      <c r="M130" s="51">
        <f t="shared" si="31"/>
        <v>12</v>
      </c>
      <c r="N130" s="51" t="b">
        <f t="shared" si="39"/>
        <v>1</v>
      </c>
      <c r="O130" s="51" t="b">
        <f t="shared" si="40"/>
        <v>0</v>
      </c>
      <c r="P130" s="51" t="str">
        <f t="shared" si="32"/>
        <v>oz-4</v>
      </c>
      <c r="Q130" s="52" t="str">
        <f t="shared" si="33"/>
        <v>18C000443</v>
      </c>
      <c r="R130" s="51" t="b">
        <f t="shared" si="34"/>
        <v>0</v>
      </c>
      <c r="S130" s="51"/>
      <c r="T130" s="51" t="str">
        <f t="shared" si="35"/>
        <v>OZ</v>
      </c>
      <c r="U130" s="51" t="str">
        <f t="shared" si="36"/>
        <v>oz</v>
      </c>
      <c r="V130" s="51">
        <f t="shared" si="37"/>
        <v>1</v>
      </c>
      <c r="W130" s="51" t="str">
        <f t="shared" si="41"/>
        <v>P032 4</v>
      </c>
      <c r="X130" s="51" t="str">
        <f t="shared" si="42"/>
        <v>OZ</v>
      </c>
      <c r="Y130" s="51" t="str">
        <f t="shared" si="43"/>
        <v>18C</v>
      </c>
      <c r="Z130" s="51" t="str">
        <f t="shared" si="44"/>
        <v>SE</v>
      </c>
      <c r="AA130" s="51">
        <f t="shared" si="45"/>
        <v>4</v>
      </c>
      <c r="AB130" s="51">
        <f t="shared" si="46"/>
        <v>9</v>
      </c>
      <c r="AC130" s="53"/>
      <c r="AD130" s="57"/>
      <c r="AE130" s="57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</row>
    <row r="131" spans="1:41" ht="30" x14ac:dyDescent="0.25">
      <c r="A131" s="62" t="s">
        <v>101</v>
      </c>
      <c r="B131" s="62" t="s">
        <v>2505</v>
      </c>
      <c r="C131" s="62" t="s">
        <v>2506</v>
      </c>
      <c r="D131" s="62" t="s">
        <v>314</v>
      </c>
      <c r="E131" s="62" t="s">
        <v>972</v>
      </c>
      <c r="F131" s="62">
        <v>2</v>
      </c>
      <c r="G131" s="62" t="s">
        <v>13</v>
      </c>
      <c r="H131" s="62">
        <v>19</v>
      </c>
      <c r="I131" s="62">
        <f t="shared" si="28"/>
        <v>38</v>
      </c>
      <c r="J131" s="51">
        <f t="shared" si="38"/>
        <v>180</v>
      </c>
      <c r="K131" s="51">
        <f t="shared" si="29"/>
        <v>180</v>
      </c>
      <c r="L131" s="51">
        <f t="shared" si="30"/>
        <v>12307</v>
      </c>
      <c r="M131" s="51">
        <f t="shared" si="31"/>
        <v>101</v>
      </c>
      <c r="N131" s="51" t="b">
        <f t="shared" si="39"/>
        <v>1</v>
      </c>
      <c r="O131" s="51" t="b">
        <f t="shared" si="40"/>
        <v>0</v>
      </c>
      <c r="P131" s="51" t="str">
        <f t="shared" si="32"/>
        <v>ct-2</v>
      </c>
      <c r="Q131" s="52" t="str">
        <f t="shared" si="33"/>
        <v>19C002739</v>
      </c>
      <c r="R131" s="51" t="b">
        <f t="shared" si="34"/>
        <v>0</v>
      </c>
      <c r="S131" s="51"/>
      <c r="T131" s="51" t="str">
        <f t="shared" si="35"/>
        <v>CT</v>
      </c>
      <c r="U131" s="51" t="str">
        <f t="shared" si="36"/>
        <v>ct</v>
      </c>
      <c r="V131" s="51">
        <f t="shared" si="37"/>
        <v>1</v>
      </c>
      <c r="W131" s="51" t="str">
        <f t="shared" si="41"/>
        <v>P011 2</v>
      </c>
      <c r="X131" s="51" t="str">
        <f t="shared" si="42"/>
        <v>CT</v>
      </c>
      <c r="Y131" s="51" t="str">
        <f t="shared" si="43"/>
        <v>19C</v>
      </c>
      <c r="Z131" s="51" t="str">
        <f t="shared" si="44"/>
        <v>SE</v>
      </c>
      <c r="AA131" s="51">
        <f t="shared" si="45"/>
        <v>4</v>
      </c>
      <c r="AB131" s="51">
        <f t="shared" si="46"/>
        <v>9</v>
      </c>
      <c r="AC131" s="53"/>
      <c r="AD131" s="57"/>
      <c r="AE131" s="57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</row>
    <row r="132" spans="1:41" x14ac:dyDescent="0.25">
      <c r="A132" s="62" t="s">
        <v>288</v>
      </c>
      <c r="B132" s="62" t="s">
        <v>2507</v>
      </c>
      <c r="C132" s="62" t="s">
        <v>2508</v>
      </c>
      <c r="D132" s="62" t="s">
        <v>322</v>
      </c>
      <c r="E132" s="62" t="s">
        <v>1849</v>
      </c>
      <c r="F132" s="62">
        <v>5</v>
      </c>
      <c r="G132" s="62" t="s">
        <v>35</v>
      </c>
      <c r="H132" s="62">
        <v>8</v>
      </c>
      <c r="I132" s="62">
        <f t="shared" si="28"/>
        <v>40</v>
      </c>
      <c r="J132" s="51">
        <f t="shared" si="38"/>
        <v>177.5</v>
      </c>
      <c r="K132" s="51">
        <f t="shared" si="29"/>
        <v>177</v>
      </c>
      <c r="L132" s="51">
        <f t="shared" si="30"/>
        <v>4518</v>
      </c>
      <c r="M132" s="51">
        <f t="shared" si="31"/>
        <v>52</v>
      </c>
      <c r="N132" s="51" t="b">
        <f t="shared" si="39"/>
        <v>1</v>
      </c>
      <c r="O132" s="51" t="b">
        <f t="shared" si="40"/>
        <v>0</v>
      </c>
      <c r="P132" s="51" t="str">
        <f t="shared" si="32"/>
        <v>cans-5</v>
      </c>
      <c r="Q132" s="52" t="str">
        <f t="shared" si="33"/>
        <v>8C009160</v>
      </c>
      <c r="R132" s="51" t="b">
        <f t="shared" si="34"/>
        <v>0</v>
      </c>
      <c r="S132" s="51"/>
      <c r="T132" s="51" t="str">
        <f t="shared" si="35"/>
        <v>CANS</v>
      </c>
      <c r="U132" s="51" t="str">
        <f t="shared" si="36"/>
        <v>cans</v>
      </c>
      <c r="V132" s="51">
        <f t="shared" si="37"/>
        <v>1</v>
      </c>
      <c r="W132" s="51" t="str">
        <f t="shared" si="41"/>
        <v>P009 5</v>
      </c>
      <c r="X132" s="51" t="str">
        <f t="shared" si="42"/>
        <v>CAOS</v>
      </c>
      <c r="Y132" s="51" t="str">
        <f t="shared" si="43"/>
        <v>8C0</v>
      </c>
      <c r="Z132" s="51" t="str">
        <f t="shared" si="44"/>
        <v>SE</v>
      </c>
      <c r="AA132" s="51">
        <f t="shared" si="45"/>
        <v>3</v>
      </c>
      <c r="AB132" s="51">
        <f t="shared" si="46"/>
        <v>8</v>
      </c>
      <c r="AC132" s="53"/>
      <c r="AD132" s="57"/>
      <c r="AE132" s="57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</row>
    <row r="133" spans="1:41" ht="30" x14ac:dyDescent="0.25">
      <c r="A133" s="62" t="s">
        <v>288</v>
      </c>
      <c r="B133" s="62" t="s">
        <v>2509</v>
      </c>
      <c r="C133" s="62" t="s">
        <v>2510</v>
      </c>
      <c r="D133" s="62" t="s">
        <v>616</v>
      </c>
      <c r="E133" s="62" t="s">
        <v>730</v>
      </c>
      <c r="F133" s="62">
        <v>4</v>
      </c>
      <c r="G133" s="62" t="s">
        <v>13</v>
      </c>
      <c r="H133" s="62">
        <v>18</v>
      </c>
      <c r="I133" s="62">
        <f t="shared" si="28"/>
        <v>72</v>
      </c>
      <c r="J133" s="51">
        <f t="shared" si="38"/>
        <v>141.5</v>
      </c>
      <c r="K133" s="51">
        <f t="shared" si="29"/>
        <v>137</v>
      </c>
      <c r="L133" s="51">
        <f t="shared" si="30"/>
        <v>12307</v>
      </c>
      <c r="M133" s="51">
        <f t="shared" si="31"/>
        <v>101</v>
      </c>
      <c r="N133" s="51" t="b">
        <f t="shared" si="39"/>
        <v>1</v>
      </c>
      <c r="O133" s="51" t="b">
        <f t="shared" si="40"/>
        <v>0</v>
      </c>
      <c r="P133" s="51" t="str">
        <f t="shared" si="32"/>
        <v>ct-4</v>
      </c>
      <c r="Q133" s="52" t="str">
        <f t="shared" si="33"/>
        <v>18C002604</v>
      </c>
      <c r="R133" s="51" t="b">
        <f t="shared" si="34"/>
        <v>0</v>
      </c>
      <c r="S133" s="51"/>
      <c r="T133" s="51" t="str">
        <f t="shared" si="35"/>
        <v>CT</v>
      </c>
      <c r="U133" s="51" t="str">
        <f t="shared" si="36"/>
        <v>ct</v>
      </c>
      <c r="V133" s="51">
        <f t="shared" si="37"/>
        <v>1</v>
      </c>
      <c r="W133" s="51" t="str">
        <f t="shared" si="41"/>
        <v>P009 4</v>
      </c>
      <c r="X133" s="51" t="str">
        <f t="shared" si="42"/>
        <v>CT</v>
      </c>
      <c r="Y133" s="51" t="str">
        <f t="shared" si="43"/>
        <v>18C</v>
      </c>
      <c r="Z133" s="51" t="str">
        <f t="shared" si="44"/>
        <v>SE</v>
      </c>
      <c r="AA133" s="51">
        <f t="shared" si="45"/>
        <v>4</v>
      </c>
      <c r="AB133" s="51">
        <f t="shared" si="46"/>
        <v>9</v>
      </c>
      <c r="AC133" s="53"/>
      <c r="AD133" s="57"/>
      <c r="AE133" s="57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</row>
    <row r="134" spans="1:41" ht="30" x14ac:dyDescent="0.25">
      <c r="A134" s="62" t="s">
        <v>146</v>
      </c>
      <c r="B134" s="62" t="s">
        <v>2511</v>
      </c>
      <c r="C134" s="62" t="s">
        <v>2512</v>
      </c>
      <c r="D134" s="62" t="s">
        <v>668</v>
      </c>
      <c r="E134" s="62" t="s">
        <v>2513</v>
      </c>
      <c r="F134" s="62">
        <v>9</v>
      </c>
      <c r="G134" s="62" t="s">
        <v>19</v>
      </c>
      <c r="H134" s="62">
        <v>26</v>
      </c>
      <c r="I134" s="62">
        <f t="shared" ref="I134:I197" si="47">H134*F134</f>
        <v>234</v>
      </c>
      <c r="J134" s="51">
        <f t="shared" si="38"/>
        <v>18</v>
      </c>
      <c r="K134" s="51">
        <f t="shared" ref="K134:K197" si="48">_xlfn.RANK.EQ(I134,$I$5:$I$247)</f>
        <v>18</v>
      </c>
      <c r="L134" s="51">
        <f t="shared" ref="L134:L197" si="49">SUMIF(G$5:G$247,G134,I$5:I$247)</f>
        <v>416</v>
      </c>
      <c r="M134" s="51">
        <f t="shared" ref="M134:M197" si="50">COUNTIF($G$5:$G$247,G134)</f>
        <v>2</v>
      </c>
      <c r="N134" s="51" t="b">
        <f t="shared" si="39"/>
        <v>0</v>
      </c>
      <c r="O134" s="51" t="b">
        <f t="shared" si="40"/>
        <v>1</v>
      </c>
      <c r="P134" s="51" t="str">
        <f t="shared" ref="P134:P197" si="51">_xlfn.CONCAT(G134,"-",F134)</f>
        <v>rolls-9</v>
      </c>
      <c r="Q134" s="52" t="str">
        <f t="shared" ref="Q134:Q197" si="52">_xlfn.CONCAT(H134,B134)</f>
        <v>26C000347</v>
      </c>
      <c r="R134" s="51" t="b">
        <f t="shared" ref="R134:R197" si="53">EXACT(C134,D134)</f>
        <v>0</v>
      </c>
      <c r="S134" s="51"/>
      <c r="T134" s="51" t="str">
        <f t="shared" ref="T134:T197" si="54">UPPER(G134)</f>
        <v>ROLLS</v>
      </c>
      <c r="U134" s="51" t="str">
        <f t="shared" ref="U134:U197" si="55">LOWER(G134)</f>
        <v>rolls</v>
      </c>
      <c r="V134" s="51">
        <f t="shared" ref="V134:V197" si="56">SEARCH("p",A134)</f>
        <v>1</v>
      </c>
      <c r="W134" s="51" t="str">
        <f t="shared" si="41"/>
        <v>P010 9</v>
      </c>
      <c r="X134" s="51" t="str">
        <f t="shared" si="42"/>
        <v>ROLLS</v>
      </c>
      <c r="Y134" s="51" t="str">
        <f t="shared" si="43"/>
        <v>26C</v>
      </c>
      <c r="Z134" s="51" t="str">
        <f t="shared" si="44"/>
        <v>UE</v>
      </c>
      <c r="AA134" s="51">
        <f t="shared" si="45"/>
        <v>4</v>
      </c>
      <c r="AB134" s="51">
        <f t="shared" si="46"/>
        <v>9</v>
      </c>
      <c r="AC134" s="53"/>
      <c r="AD134" s="57"/>
      <c r="AE134" s="57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</row>
    <row r="135" spans="1:41" ht="30" x14ac:dyDescent="0.25">
      <c r="A135" s="62" t="s">
        <v>116</v>
      </c>
      <c r="B135" s="62" t="s">
        <v>2514</v>
      </c>
      <c r="C135" s="62" t="s">
        <v>2515</v>
      </c>
      <c r="D135" s="62" t="s">
        <v>585</v>
      </c>
      <c r="E135" s="62" t="s">
        <v>1842</v>
      </c>
      <c r="F135" s="62">
        <v>9</v>
      </c>
      <c r="G135" s="62" t="s">
        <v>13</v>
      </c>
      <c r="H135" s="62">
        <v>14</v>
      </c>
      <c r="I135" s="62">
        <f t="shared" si="47"/>
        <v>126</v>
      </c>
      <c r="J135" s="51">
        <f t="shared" si="38"/>
        <v>80.5</v>
      </c>
      <c r="K135" s="51">
        <f t="shared" si="48"/>
        <v>79</v>
      </c>
      <c r="L135" s="51">
        <f t="shared" si="49"/>
        <v>12307</v>
      </c>
      <c r="M135" s="51">
        <f t="shared" si="50"/>
        <v>101</v>
      </c>
      <c r="N135" s="51" t="b">
        <f t="shared" si="39"/>
        <v>0</v>
      </c>
      <c r="O135" s="51" t="b">
        <f t="shared" si="40"/>
        <v>1</v>
      </c>
      <c r="P135" s="51" t="str">
        <f t="shared" si="51"/>
        <v>ct-9</v>
      </c>
      <c r="Q135" s="52" t="str">
        <f t="shared" si="52"/>
        <v>14C003504</v>
      </c>
      <c r="R135" s="51" t="b">
        <f t="shared" si="53"/>
        <v>0</v>
      </c>
      <c r="S135" s="51"/>
      <c r="T135" s="51" t="str">
        <f t="shared" si="54"/>
        <v>CT</v>
      </c>
      <c r="U135" s="51" t="str">
        <f t="shared" si="55"/>
        <v>ct</v>
      </c>
      <c r="V135" s="51">
        <f t="shared" si="56"/>
        <v>1</v>
      </c>
      <c r="W135" s="51" t="str">
        <f t="shared" si="41"/>
        <v>P013 9</v>
      </c>
      <c r="X135" s="51" t="str">
        <f t="shared" si="42"/>
        <v>CT</v>
      </c>
      <c r="Y135" s="51" t="str">
        <f t="shared" si="43"/>
        <v>14C</v>
      </c>
      <c r="Z135" s="51" t="str">
        <f t="shared" si="44"/>
        <v>UE</v>
      </c>
      <c r="AA135" s="51">
        <f t="shared" si="45"/>
        <v>4</v>
      </c>
      <c r="AB135" s="51">
        <f t="shared" si="46"/>
        <v>9</v>
      </c>
      <c r="AC135" s="53"/>
      <c r="AD135" s="57"/>
      <c r="AE135" s="57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</row>
    <row r="136" spans="1:41" ht="30" x14ac:dyDescent="0.25">
      <c r="A136" s="62" t="s">
        <v>288</v>
      </c>
      <c r="B136" s="62" t="s">
        <v>2516</v>
      </c>
      <c r="C136" s="62" t="s">
        <v>2517</v>
      </c>
      <c r="D136" s="62" t="s">
        <v>959</v>
      </c>
      <c r="E136" s="62" t="s">
        <v>238</v>
      </c>
      <c r="F136" s="62">
        <v>4</v>
      </c>
      <c r="G136" s="62" t="s">
        <v>167</v>
      </c>
      <c r="H136" s="62">
        <v>18</v>
      </c>
      <c r="I136" s="62">
        <f t="shared" si="47"/>
        <v>72</v>
      </c>
      <c r="J136" s="51">
        <f t="shared" si="38"/>
        <v>141.5</v>
      </c>
      <c r="K136" s="51">
        <f t="shared" si="48"/>
        <v>137</v>
      </c>
      <c r="L136" s="51">
        <f t="shared" si="49"/>
        <v>961.5</v>
      </c>
      <c r="M136" s="51">
        <f t="shared" si="50"/>
        <v>12</v>
      </c>
      <c r="N136" s="51" t="b">
        <f t="shared" si="39"/>
        <v>1</v>
      </c>
      <c r="O136" s="51" t="b">
        <f t="shared" si="40"/>
        <v>0</v>
      </c>
      <c r="P136" s="51" t="str">
        <f t="shared" si="51"/>
        <v>oz-4</v>
      </c>
      <c r="Q136" s="52" t="str">
        <f t="shared" si="52"/>
        <v>18C007290</v>
      </c>
      <c r="R136" s="51" t="b">
        <f t="shared" si="53"/>
        <v>0</v>
      </c>
      <c r="S136" s="51"/>
      <c r="T136" s="51" t="str">
        <f t="shared" si="54"/>
        <v>OZ</v>
      </c>
      <c r="U136" s="51" t="str">
        <f t="shared" si="55"/>
        <v>oz</v>
      </c>
      <c r="V136" s="51">
        <f t="shared" si="56"/>
        <v>1</v>
      </c>
      <c r="W136" s="51" t="str">
        <f t="shared" si="41"/>
        <v>P009 4</v>
      </c>
      <c r="X136" s="51" t="str">
        <f t="shared" si="42"/>
        <v>OZ</v>
      </c>
      <c r="Y136" s="51" t="str">
        <f t="shared" si="43"/>
        <v>18C</v>
      </c>
      <c r="Z136" s="51" t="str">
        <f t="shared" si="44"/>
        <v>SE</v>
      </c>
      <c r="AA136" s="51">
        <f t="shared" si="45"/>
        <v>4</v>
      </c>
      <c r="AB136" s="51">
        <f t="shared" si="46"/>
        <v>9</v>
      </c>
      <c r="AC136" s="53"/>
      <c r="AD136" s="57"/>
      <c r="AE136" s="57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</row>
    <row r="137" spans="1:41" ht="30" x14ac:dyDescent="0.25">
      <c r="A137" s="62" t="s">
        <v>743</v>
      </c>
      <c r="B137" s="62" t="s">
        <v>2518</v>
      </c>
      <c r="C137" s="62" t="s">
        <v>2519</v>
      </c>
      <c r="D137" s="62" t="s">
        <v>503</v>
      </c>
      <c r="E137" s="62" t="s">
        <v>1434</v>
      </c>
      <c r="F137" s="62">
        <v>9</v>
      </c>
      <c r="G137" s="62" t="s">
        <v>13</v>
      </c>
      <c r="H137" s="62">
        <v>16.5</v>
      </c>
      <c r="I137" s="62">
        <f t="shared" si="47"/>
        <v>148.5</v>
      </c>
      <c r="J137" s="51">
        <f t="shared" ref="J137:J200" si="57">_xlfn.RANK.AVG(I137,$I$5:$I$247)</f>
        <v>63</v>
      </c>
      <c r="K137" s="51">
        <f t="shared" si="48"/>
        <v>63</v>
      </c>
      <c r="L137" s="51">
        <f t="shared" si="49"/>
        <v>12307</v>
      </c>
      <c r="M137" s="51">
        <f t="shared" si="50"/>
        <v>101</v>
      </c>
      <c r="N137" s="51" t="b">
        <f t="shared" si="39"/>
        <v>0</v>
      </c>
      <c r="O137" s="51" t="b">
        <f t="shared" si="40"/>
        <v>1</v>
      </c>
      <c r="P137" s="51" t="str">
        <f t="shared" si="51"/>
        <v>ct-9</v>
      </c>
      <c r="Q137" s="52" t="str">
        <f t="shared" si="52"/>
        <v>16.5C007835</v>
      </c>
      <c r="R137" s="51" t="b">
        <f t="shared" si="53"/>
        <v>0</v>
      </c>
      <c r="S137" s="51"/>
      <c r="T137" s="51" t="str">
        <f t="shared" si="54"/>
        <v>CT</v>
      </c>
      <c r="U137" s="51" t="str">
        <f t="shared" si="55"/>
        <v>ct</v>
      </c>
      <c r="V137" s="51">
        <f t="shared" si="56"/>
        <v>1</v>
      </c>
      <c r="W137" s="51" t="str">
        <f t="shared" si="41"/>
        <v>P007 9</v>
      </c>
      <c r="X137" s="51" t="str">
        <f t="shared" si="42"/>
        <v>CT</v>
      </c>
      <c r="Y137" s="51" t="str">
        <f t="shared" si="43"/>
        <v>16.</v>
      </c>
      <c r="Z137" s="51" t="str">
        <f t="shared" si="44"/>
        <v>UE</v>
      </c>
      <c r="AA137" s="51">
        <f t="shared" si="45"/>
        <v>6</v>
      </c>
      <c r="AB137" s="51">
        <f t="shared" si="46"/>
        <v>11</v>
      </c>
      <c r="AC137" s="53"/>
      <c r="AD137" s="57"/>
      <c r="AE137" s="57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</row>
    <row r="138" spans="1:41" ht="30" x14ac:dyDescent="0.25">
      <c r="A138" s="62" t="s">
        <v>66</v>
      </c>
      <c r="B138" s="62" t="s">
        <v>2520</v>
      </c>
      <c r="C138" s="62" t="s">
        <v>2521</v>
      </c>
      <c r="D138" s="62" t="s">
        <v>1236</v>
      </c>
      <c r="E138" s="62" t="s">
        <v>1823</v>
      </c>
      <c r="F138" s="62">
        <v>2</v>
      </c>
      <c r="G138" s="62" t="s">
        <v>269</v>
      </c>
      <c r="H138" s="62">
        <v>12</v>
      </c>
      <c r="I138" s="62">
        <f t="shared" si="47"/>
        <v>24</v>
      </c>
      <c r="J138" s="51">
        <f t="shared" si="57"/>
        <v>208.5</v>
      </c>
      <c r="K138" s="51">
        <f t="shared" si="48"/>
        <v>207</v>
      </c>
      <c r="L138" s="51">
        <f t="shared" si="49"/>
        <v>559</v>
      </c>
      <c r="M138" s="51">
        <f t="shared" si="50"/>
        <v>7</v>
      </c>
      <c r="N138" s="51" t="b">
        <f t="shared" si="39"/>
        <v>1</v>
      </c>
      <c r="O138" s="51" t="b">
        <f t="shared" si="40"/>
        <v>0</v>
      </c>
      <c r="P138" s="51" t="str">
        <f t="shared" si="51"/>
        <v>ct.-2</v>
      </c>
      <c r="Q138" s="52" t="str">
        <f t="shared" si="52"/>
        <v>12C009096</v>
      </c>
      <c r="R138" s="51" t="b">
        <f t="shared" si="53"/>
        <v>0</v>
      </c>
      <c r="S138" s="51"/>
      <c r="T138" s="51" t="str">
        <f t="shared" si="54"/>
        <v>CT.</v>
      </c>
      <c r="U138" s="51" t="str">
        <f t="shared" si="55"/>
        <v>ct.</v>
      </c>
      <c r="V138" s="51">
        <f t="shared" si="56"/>
        <v>1</v>
      </c>
      <c r="W138" s="51" t="str">
        <f t="shared" si="41"/>
        <v>P027 2</v>
      </c>
      <c r="X138" s="51" t="str">
        <f t="shared" si="42"/>
        <v>CT.</v>
      </c>
      <c r="Y138" s="51" t="str">
        <f t="shared" si="43"/>
        <v>12C</v>
      </c>
      <c r="Z138" s="51" t="str">
        <f t="shared" si="44"/>
        <v>SE</v>
      </c>
      <c r="AA138" s="51">
        <f t="shared" si="45"/>
        <v>4</v>
      </c>
      <c r="AB138" s="51">
        <f t="shared" si="46"/>
        <v>9</v>
      </c>
      <c r="AC138" s="53"/>
      <c r="AD138" s="57"/>
      <c r="AE138" s="57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</row>
    <row r="139" spans="1:41" ht="30" x14ac:dyDescent="0.25">
      <c r="A139" s="62" t="s">
        <v>459</v>
      </c>
      <c r="B139" s="62" t="s">
        <v>2522</v>
      </c>
      <c r="C139" s="62" t="s">
        <v>2523</v>
      </c>
      <c r="D139" s="62" t="s">
        <v>1143</v>
      </c>
      <c r="E139" s="62" t="s">
        <v>504</v>
      </c>
      <c r="F139" s="62">
        <v>1</v>
      </c>
      <c r="G139" s="62" t="s">
        <v>13</v>
      </c>
      <c r="H139" s="62">
        <v>18</v>
      </c>
      <c r="I139" s="62">
        <f t="shared" si="47"/>
        <v>18</v>
      </c>
      <c r="J139" s="51">
        <f t="shared" si="57"/>
        <v>221.5</v>
      </c>
      <c r="K139" s="51">
        <f t="shared" si="48"/>
        <v>221</v>
      </c>
      <c r="L139" s="51">
        <f t="shared" si="49"/>
        <v>12307</v>
      </c>
      <c r="M139" s="51">
        <f t="shared" si="50"/>
        <v>101</v>
      </c>
      <c r="N139" s="51" t="b">
        <f t="shared" si="39"/>
        <v>1</v>
      </c>
      <c r="O139" s="51" t="b">
        <f t="shared" si="40"/>
        <v>0</v>
      </c>
      <c r="P139" s="51" t="str">
        <f t="shared" si="51"/>
        <v>ct-1</v>
      </c>
      <c r="Q139" s="52" t="str">
        <f t="shared" si="52"/>
        <v>18C006046</v>
      </c>
      <c r="R139" s="51" t="b">
        <f t="shared" si="53"/>
        <v>0</v>
      </c>
      <c r="S139" s="51"/>
      <c r="T139" s="51" t="str">
        <f t="shared" si="54"/>
        <v>CT</v>
      </c>
      <c r="U139" s="51" t="str">
        <f t="shared" si="55"/>
        <v>ct</v>
      </c>
      <c r="V139" s="51">
        <f t="shared" si="56"/>
        <v>1</v>
      </c>
      <c r="W139" s="51" t="str">
        <f t="shared" si="41"/>
        <v>P038 1</v>
      </c>
      <c r="X139" s="51" t="str">
        <f t="shared" si="42"/>
        <v>CT</v>
      </c>
      <c r="Y139" s="51" t="str">
        <f t="shared" si="43"/>
        <v>18C</v>
      </c>
      <c r="Z139" s="51" t="str">
        <f t="shared" si="44"/>
        <v>SE</v>
      </c>
      <c r="AA139" s="51">
        <f t="shared" si="45"/>
        <v>4</v>
      </c>
      <c r="AB139" s="51">
        <f t="shared" si="46"/>
        <v>9</v>
      </c>
      <c r="AC139" s="53"/>
      <c r="AD139" s="57"/>
      <c r="AE139" s="57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</row>
    <row r="140" spans="1:41" ht="30" x14ac:dyDescent="0.25">
      <c r="A140" s="62" t="s">
        <v>66</v>
      </c>
      <c r="B140" s="62" t="s">
        <v>2524</v>
      </c>
      <c r="C140" s="62" t="s">
        <v>2525</v>
      </c>
      <c r="D140" s="62" t="s">
        <v>1428</v>
      </c>
      <c r="E140" s="62" t="s">
        <v>2526</v>
      </c>
      <c r="F140" s="62">
        <v>10</v>
      </c>
      <c r="G140" s="62" t="s">
        <v>1072</v>
      </c>
      <c r="H140" s="62">
        <v>15</v>
      </c>
      <c r="I140" s="62">
        <f t="shared" si="47"/>
        <v>150</v>
      </c>
      <c r="J140" s="51">
        <f t="shared" si="57"/>
        <v>61.5</v>
      </c>
      <c r="K140" s="51">
        <f t="shared" si="48"/>
        <v>61</v>
      </c>
      <c r="L140" s="51">
        <f t="shared" si="49"/>
        <v>1357</v>
      </c>
      <c r="M140" s="51">
        <f t="shared" si="50"/>
        <v>14</v>
      </c>
      <c r="N140" s="51" t="b">
        <f t="shared" si="39"/>
        <v>0</v>
      </c>
      <c r="O140" s="51" t="b">
        <f t="shared" si="40"/>
        <v>1</v>
      </c>
      <c r="P140" s="51" t="str">
        <f t="shared" si="51"/>
        <v>Bags-10</v>
      </c>
      <c r="Q140" s="52" t="str">
        <f t="shared" si="52"/>
        <v>15C008580</v>
      </c>
      <c r="R140" s="51" t="b">
        <f t="shared" si="53"/>
        <v>0</v>
      </c>
      <c r="S140" s="51"/>
      <c r="T140" s="51" t="str">
        <f t="shared" si="54"/>
        <v>BAGS</v>
      </c>
      <c r="U140" s="51" t="str">
        <f t="shared" si="55"/>
        <v>bags</v>
      </c>
      <c r="V140" s="51">
        <f t="shared" si="56"/>
        <v>1</v>
      </c>
      <c r="W140" s="51" t="str">
        <f t="shared" si="41"/>
        <v>P027 10</v>
      </c>
      <c r="X140" s="51" t="str">
        <f t="shared" si="42"/>
        <v>BAGS</v>
      </c>
      <c r="Y140" s="51" t="str">
        <f t="shared" si="43"/>
        <v>15C</v>
      </c>
      <c r="Z140" s="51" t="str">
        <f t="shared" si="44"/>
        <v>UE</v>
      </c>
      <c r="AA140" s="51">
        <f t="shared" si="45"/>
        <v>4</v>
      </c>
      <c r="AB140" s="51">
        <f t="shared" si="46"/>
        <v>9</v>
      </c>
      <c r="AC140" s="53"/>
      <c r="AD140" s="57"/>
      <c r="AE140" s="57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</row>
    <row r="141" spans="1:41" ht="30" x14ac:dyDescent="0.25">
      <c r="A141" s="62" t="s">
        <v>125</v>
      </c>
      <c r="B141" s="62" t="s">
        <v>2527</v>
      </c>
      <c r="C141" s="62" t="s">
        <v>2528</v>
      </c>
      <c r="D141" s="62" t="s">
        <v>79</v>
      </c>
      <c r="E141" s="62" t="s">
        <v>847</v>
      </c>
      <c r="F141" s="62">
        <v>2</v>
      </c>
      <c r="G141" s="62" t="s">
        <v>13</v>
      </c>
      <c r="H141" s="62">
        <v>15</v>
      </c>
      <c r="I141" s="62">
        <f t="shared" si="47"/>
        <v>30</v>
      </c>
      <c r="J141" s="51">
        <f t="shared" si="57"/>
        <v>198</v>
      </c>
      <c r="K141" s="51">
        <f t="shared" si="48"/>
        <v>196</v>
      </c>
      <c r="L141" s="51">
        <f t="shared" si="49"/>
        <v>12307</v>
      </c>
      <c r="M141" s="51">
        <f t="shared" si="50"/>
        <v>101</v>
      </c>
      <c r="N141" s="51" t="b">
        <f t="shared" si="39"/>
        <v>1</v>
      </c>
      <c r="O141" s="51" t="b">
        <f t="shared" si="40"/>
        <v>0</v>
      </c>
      <c r="P141" s="51" t="str">
        <f t="shared" si="51"/>
        <v>ct-2</v>
      </c>
      <c r="Q141" s="52" t="str">
        <f t="shared" si="52"/>
        <v>15C003294</v>
      </c>
      <c r="R141" s="51" t="b">
        <f t="shared" si="53"/>
        <v>0</v>
      </c>
      <c r="S141" s="51"/>
      <c r="T141" s="51" t="str">
        <f t="shared" si="54"/>
        <v>CT</v>
      </c>
      <c r="U141" s="51" t="str">
        <f t="shared" si="55"/>
        <v>ct</v>
      </c>
      <c r="V141" s="51">
        <f t="shared" si="56"/>
        <v>1</v>
      </c>
      <c r="W141" s="51" t="str">
        <f t="shared" si="41"/>
        <v>P028 2</v>
      </c>
      <c r="X141" s="51" t="str">
        <f t="shared" si="42"/>
        <v>CT</v>
      </c>
      <c r="Y141" s="51" t="str">
        <f t="shared" si="43"/>
        <v>15C</v>
      </c>
      <c r="Z141" s="51" t="str">
        <f t="shared" si="44"/>
        <v>SE</v>
      </c>
      <c r="AA141" s="51">
        <f t="shared" si="45"/>
        <v>4</v>
      </c>
      <c r="AB141" s="51">
        <f t="shared" si="46"/>
        <v>9</v>
      </c>
      <c r="AC141" s="53"/>
      <c r="AD141" s="57"/>
      <c r="AE141" s="57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</row>
    <row r="142" spans="1:41" ht="30" x14ac:dyDescent="0.25">
      <c r="A142" s="62" t="s">
        <v>459</v>
      </c>
      <c r="B142" s="62" t="s">
        <v>2529</v>
      </c>
      <c r="C142" s="62" t="s">
        <v>2530</v>
      </c>
      <c r="D142" s="62" t="s">
        <v>552</v>
      </c>
      <c r="E142" s="62" t="s">
        <v>1493</v>
      </c>
      <c r="F142" s="62">
        <v>9</v>
      </c>
      <c r="G142" s="62" t="s">
        <v>60</v>
      </c>
      <c r="H142" s="62">
        <v>14</v>
      </c>
      <c r="I142" s="62">
        <f t="shared" si="47"/>
        <v>126</v>
      </c>
      <c r="J142" s="51">
        <f t="shared" si="57"/>
        <v>80.5</v>
      </c>
      <c r="K142" s="51">
        <f t="shared" si="48"/>
        <v>79</v>
      </c>
      <c r="L142" s="51">
        <f t="shared" si="49"/>
        <v>3427</v>
      </c>
      <c r="M142" s="51">
        <f t="shared" si="50"/>
        <v>31</v>
      </c>
      <c r="N142" s="51" t="b">
        <f t="shared" si="39"/>
        <v>0</v>
      </c>
      <c r="O142" s="51" t="b">
        <f t="shared" si="40"/>
        <v>1</v>
      </c>
      <c r="P142" s="51" t="str">
        <f t="shared" si="51"/>
        <v>bottles-9</v>
      </c>
      <c r="Q142" s="52" t="str">
        <f t="shared" si="52"/>
        <v>14C008392</v>
      </c>
      <c r="R142" s="51" t="b">
        <f t="shared" si="53"/>
        <v>0</v>
      </c>
      <c r="S142" s="51"/>
      <c r="T142" s="51" t="str">
        <f t="shared" si="54"/>
        <v>BOTTLES</v>
      </c>
      <c r="U142" s="51" t="str">
        <f t="shared" si="55"/>
        <v>bottles</v>
      </c>
      <c r="V142" s="51">
        <f t="shared" si="56"/>
        <v>1</v>
      </c>
      <c r="W142" s="51" t="str">
        <f t="shared" si="41"/>
        <v>P038 9</v>
      </c>
      <c r="X142" s="51" t="str">
        <f t="shared" si="42"/>
        <v>BOTTLES</v>
      </c>
      <c r="Y142" s="51" t="str">
        <f t="shared" si="43"/>
        <v>14C</v>
      </c>
      <c r="Z142" s="51" t="str">
        <f t="shared" si="44"/>
        <v>UE</v>
      </c>
      <c r="AA142" s="51">
        <f t="shared" si="45"/>
        <v>4</v>
      </c>
      <c r="AB142" s="51">
        <f t="shared" si="46"/>
        <v>9</v>
      </c>
      <c r="AC142" s="53"/>
      <c r="AD142" s="57"/>
      <c r="AE142" s="57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</row>
    <row r="143" spans="1:41" ht="30" x14ac:dyDescent="0.25">
      <c r="A143" s="62" t="s">
        <v>125</v>
      </c>
      <c r="B143" s="62" t="s">
        <v>2531</v>
      </c>
      <c r="C143" s="62" t="s">
        <v>2532</v>
      </c>
      <c r="D143" s="62" t="s">
        <v>823</v>
      </c>
      <c r="E143" s="62" t="s">
        <v>264</v>
      </c>
      <c r="F143" s="62">
        <v>2</v>
      </c>
      <c r="G143" s="62" t="s">
        <v>60</v>
      </c>
      <c r="H143" s="62">
        <v>11</v>
      </c>
      <c r="I143" s="62">
        <f t="shared" si="47"/>
        <v>22</v>
      </c>
      <c r="J143" s="51">
        <f t="shared" si="57"/>
        <v>213</v>
      </c>
      <c r="K143" s="51">
        <f t="shared" si="48"/>
        <v>213</v>
      </c>
      <c r="L143" s="51">
        <f t="shared" si="49"/>
        <v>3427</v>
      </c>
      <c r="M143" s="51">
        <f t="shared" si="50"/>
        <v>31</v>
      </c>
      <c r="N143" s="51" t="b">
        <f t="shared" si="39"/>
        <v>1</v>
      </c>
      <c r="O143" s="51" t="b">
        <f t="shared" si="40"/>
        <v>0</v>
      </c>
      <c r="P143" s="51" t="str">
        <f t="shared" si="51"/>
        <v>bottles-2</v>
      </c>
      <c r="Q143" s="52" t="str">
        <f t="shared" si="52"/>
        <v>11C002840</v>
      </c>
      <c r="R143" s="51" t="b">
        <f t="shared" si="53"/>
        <v>0</v>
      </c>
      <c r="S143" s="51"/>
      <c r="T143" s="51" t="str">
        <f t="shared" si="54"/>
        <v>BOTTLES</v>
      </c>
      <c r="U143" s="51" t="str">
        <f t="shared" si="55"/>
        <v>bottles</v>
      </c>
      <c r="V143" s="51">
        <f t="shared" si="56"/>
        <v>1</v>
      </c>
      <c r="W143" s="51" t="str">
        <f t="shared" si="41"/>
        <v>P028 2</v>
      </c>
      <c r="X143" s="51" t="str">
        <f t="shared" si="42"/>
        <v>BOTTLES</v>
      </c>
      <c r="Y143" s="51" t="str">
        <f t="shared" si="43"/>
        <v>11C</v>
      </c>
      <c r="Z143" s="51" t="str">
        <f t="shared" si="44"/>
        <v>SE</v>
      </c>
      <c r="AA143" s="51">
        <f t="shared" si="45"/>
        <v>4</v>
      </c>
      <c r="AB143" s="51">
        <f t="shared" si="46"/>
        <v>9</v>
      </c>
      <c r="AC143" s="53"/>
      <c r="AD143" s="57"/>
      <c r="AE143" s="57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</row>
    <row r="144" spans="1:41" ht="30" x14ac:dyDescent="0.25">
      <c r="A144" s="62" t="s">
        <v>288</v>
      </c>
      <c r="B144" s="62" t="s">
        <v>2533</v>
      </c>
      <c r="C144" s="62" t="s">
        <v>2534</v>
      </c>
      <c r="D144" s="62" t="s">
        <v>1687</v>
      </c>
      <c r="E144" s="62" t="s">
        <v>1831</v>
      </c>
      <c r="F144" s="62">
        <v>2</v>
      </c>
      <c r="G144" s="62" t="s">
        <v>35</v>
      </c>
      <c r="H144" s="62">
        <v>16.25</v>
      </c>
      <c r="I144" s="62">
        <f t="shared" si="47"/>
        <v>32.5</v>
      </c>
      <c r="J144" s="51">
        <f t="shared" si="57"/>
        <v>192</v>
      </c>
      <c r="K144" s="51">
        <f t="shared" si="48"/>
        <v>192</v>
      </c>
      <c r="L144" s="51">
        <f t="shared" si="49"/>
        <v>4518</v>
      </c>
      <c r="M144" s="51">
        <f t="shared" si="50"/>
        <v>52</v>
      </c>
      <c r="N144" s="51" t="b">
        <f t="shared" si="39"/>
        <v>1</v>
      </c>
      <c r="O144" s="51" t="b">
        <f t="shared" si="40"/>
        <v>0</v>
      </c>
      <c r="P144" s="51" t="str">
        <f t="shared" si="51"/>
        <v>cans-2</v>
      </c>
      <c r="Q144" s="52" t="str">
        <f t="shared" si="52"/>
        <v>16.25C002314</v>
      </c>
      <c r="R144" s="51" t="b">
        <f t="shared" si="53"/>
        <v>0</v>
      </c>
      <c r="S144" s="51"/>
      <c r="T144" s="51" t="str">
        <f t="shared" si="54"/>
        <v>CANS</v>
      </c>
      <c r="U144" s="51" t="str">
        <f t="shared" si="55"/>
        <v>cans</v>
      </c>
      <c r="V144" s="51">
        <f t="shared" si="56"/>
        <v>1</v>
      </c>
      <c r="W144" s="51" t="str">
        <f t="shared" si="41"/>
        <v>P009 2</v>
      </c>
      <c r="X144" s="51" t="str">
        <f t="shared" si="42"/>
        <v>CAOS</v>
      </c>
      <c r="Y144" s="51" t="str">
        <f t="shared" si="43"/>
        <v>16.</v>
      </c>
      <c r="Z144" s="51" t="str">
        <f t="shared" si="44"/>
        <v>SE</v>
      </c>
      <c r="AA144" s="51">
        <f t="shared" si="45"/>
        <v>7</v>
      </c>
      <c r="AB144" s="51">
        <f t="shared" si="46"/>
        <v>12</v>
      </c>
      <c r="AC144" s="53"/>
      <c r="AD144" s="57"/>
      <c r="AE144" s="57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</row>
    <row r="145" spans="1:41" ht="30" x14ac:dyDescent="0.25">
      <c r="A145" s="62" t="s">
        <v>523</v>
      </c>
      <c r="B145" s="62" t="s">
        <v>2535</v>
      </c>
      <c r="C145" s="62" t="s">
        <v>2536</v>
      </c>
      <c r="D145" s="62" t="s">
        <v>807</v>
      </c>
      <c r="E145" s="62" t="s">
        <v>2537</v>
      </c>
      <c r="F145" s="62">
        <v>5</v>
      </c>
      <c r="G145" s="62" t="s">
        <v>13</v>
      </c>
      <c r="H145" s="62">
        <v>21</v>
      </c>
      <c r="I145" s="62">
        <f t="shared" si="47"/>
        <v>105</v>
      </c>
      <c r="J145" s="51">
        <f t="shared" si="57"/>
        <v>104.5</v>
      </c>
      <c r="K145" s="51">
        <f t="shared" si="48"/>
        <v>103</v>
      </c>
      <c r="L145" s="51">
        <f t="shared" si="49"/>
        <v>12307</v>
      </c>
      <c r="M145" s="51">
        <f t="shared" si="50"/>
        <v>101</v>
      </c>
      <c r="N145" s="51" t="b">
        <f t="shared" si="39"/>
        <v>1</v>
      </c>
      <c r="O145" s="51" t="b">
        <f t="shared" si="40"/>
        <v>0</v>
      </c>
      <c r="P145" s="51" t="str">
        <f t="shared" si="51"/>
        <v>ct-5</v>
      </c>
      <c r="Q145" s="52" t="str">
        <f t="shared" si="52"/>
        <v>21C001165</v>
      </c>
      <c r="R145" s="51" t="b">
        <f t="shared" si="53"/>
        <v>0</v>
      </c>
      <c r="S145" s="51"/>
      <c r="T145" s="51" t="str">
        <f t="shared" si="54"/>
        <v>CT</v>
      </c>
      <c r="U145" s="51" t="str">
        <f t="shared" si="55"/>
        <v>ct</v>
      </c>
      <c r="V145" s="51">
        <f t="shared" si="56"/>
        <v>1</v>
      </c>
      <c r="W145" s="51" t="str">
        <f t="shared" si="41"/>
        <v>P005 5</v>
      </c>
      <c r="X145" s="51" t="str">
        <f t="shared" si="42"/>
        <v>CT</v>
      </c>
      <c r="Y145" s="51" t="str">
        <f t="shared" si="43"/>
        <v>21C</v>
      </c>
      <c r="Z145" s="51" t="str">
        <f t="shared" si="44"/>
        <v>SE</v>
      </c>
      <c r="AA145" s="51">
        <f t="shared" si="45"/>
        <v>4</v>
      </c>
      <c r="AB145" s="51">
        <f t="shared" si="46"/>
        <v>9</v>
      </c>
      <c r="AC145" s="53"/>
      <c r="AD145" s="57"/>
      <c r="AE145" s="57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</row>
    <row r="146" spans="1:41" ht="30" x14ac:dyDescent="0.25">
      <c r="A146" s="62" t="s">
        <v>30</v>
      </c>
      <c r="B146" s="62" t="s">
        <v>2538</v>
      </c>
      <c r="C146" s="62" t="s">
        <v>2539</v>
      </c>
      <c r="D146" s="62" t="s">
        <v>11</v>
      </c>
      <c r="E146" s="62" t="s">
        <v>1812</v>
      </c>
      <c r="F146" s="62">
        <v>4</v>
      </c>
      <c r="G146" s="62" t="s">
        <v>13</v>
      </c>
      <c r="H146" s="62">
        <v>35</v>
      </c>
      <c r="I146" s="62">
        <f t="shared" si="47"/>
        <v>140</v>
      </c>
      <c r="J146" s="51">
        <f t="shared" si="57"/>
        <v>68.5</v>
      </c>
      <c r="K146" s="51">
        <f t="shared" si="48"/>
        <v>67</v>
      </c>
      <c r="L146" s="51">
        <f t="shared" si="49"/>
        <v>12307</v>
      </c>
      <c r="M146" s="51">
        <f t="shared" si="50"/>
        <v>101</v>
      </c>
      <c r="N146" s="51" t="b">
        <f t="shared" si="39"/>
        <v>0</v>
      </c>
      <c r="O146" s="51" t="b">
        <f t="shared" si="40"/>
        <v>1</v>
      </c>
      <c r="P146" s="51" t="str">
        <f t="shared" si="51"/>
        <v>ct-4</v>
      </c>
      <c r="Q146" s="52" t="str">
        <f t="shared" si="52"/>
        <v>35C000101</v>
      </c>
      <c r="R146" s="51" t="b">
        <f t="shared" si="53"/>
        <v>0</v>
      </c>
      <c r="S146" s="51"/>
      <c r="T146" s="51" t="str">
        <f t="shared" si="54"/>
        <v>CT</v>
      </c>
      <c r="U146" s="51" t="str">
        <f t="shared" si="55"/>
        <v>ct</v>
      </c>
      <c r="V146" s="51">
        <f t="shared" si="56"/>
        <v>1</v>
      </c>
      <c r="W146" s="51" t="str">
        <f t="shared" si="41"/>
        <v>P014 4</v>
      </c>
      <c r="X146" s="51" t="str">
        <f t="shared" si="42"/>
        <v>CT</v>
      </c>
      <c r="Y146" s="51" t="str">
        <f t="shared" si="43"/>
        <v>35C</v>
      </c>
      <c r="Z146" s="51" t="str">
        <f t="shared" si="44"/>
        <v>UE</v>
      </c>
      <c r="AA146" s="51">
        <f t="shared" si="45"/>
        <v>4</v>
      </c>
      <c r="AB146" s="51">
        <f t="shared" si="46"/>
        <v>9</v>
      </c>
      <c r="AC146" s="53"/>
      <c r="AD146" s="57"/>
      <c r="AE146" s="57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</row>
    <row r="147" spans="1:41" ht="30" x14ac:dyDescent="0.25">
      <c r="A147" s="62" t="s">
        <v>55</v>
      </c>
      <c r="B147" s="62" t="s">
        <v>2540</v>
      </c>
      <c r="C147" s="62" t="s">
        <v>2541</v>
      </c>
      <c r="D147" s="62" t="s">
        <v>933</v>
      </c>
      <c r="E147" s="62" t="s">
        <v>1803</v>
      </c>
      <c r="F147" s="62">
        <v>5</v>
      </c>
      <c r="G147" s="62" t="s">
        <v>407</v>
      </c>
      <c r="H147" s="62">
        <v>16</v>
      </c>
      <c r="I147" s="62">
        <f t="shared" si="47"/>
        <v>80</v>
      </c>
      <c r="J147" s="51">
        <f t="shared" si="57"/>
        <v>128</v>
      </c>
      <c r="K147" s="51">
        <f t="shared" si="48"/>
        <v>125</v>
      </c>
      <c r="L147" s="51">
        <f t="shared" si="49"/>
        <v>801.5</v>
      </c>
      <c r="M147" s="51">
        <f t="shared" si="50"/>
        <v>10</v>
      </c>
      <c r="N147" s="51" t="b">
        <f t="shared" si="39"/>
        <v>1</v>
      </c>
      <c r="O147" s="51" t="b">
        <f t="shared" si="40"/>
        <v>0</v>
      </c>
      <c r="P147" s="51" t="str">
        <f t="shared" si="51"/>
        <v>pk-5</v>
      </c>
      <c r="Q147" s="52" t="str">
        <f t="shared" si="52"/>
        <v>16C008497</v>
      </c>
      <c r="R147" s="51" t="b">
        <f t="shared" si="53"/>
        <v>0</v>
      </c>
      <c r="S147" s="51"/>
      <c r="T147" s="51" t="str">
        <f t="shared" si="54"/>
        <v>PK</v>
      </c>
      <c r="U147" s="51" t="str">
        <f t="shared" si="55"/>
        <v>pk</v>
      </c>
      <c r="V147" s="51">
        <f t="shared" si="56"/>
        <v>1</v>
      </c>
      <c r="W147" s="51" t="str">
        <f t="shared" si="41"/>
        <v>P006 5</v>
      </c>
      <c r="X147" s="51" t="str">
        <f t="shared" si="42"/>
        <v>PK</v>
      </c>
      <c r="Y147" s="51" t="str">
        <f t="shared" si="43"/>
        <v>16C</v>
      </c>
      <c r="Z147" s="51" t="str">
        <f t="shared" si="44"/>
        <v>SE</v>
      </c>
      <c r="AA147" s="51">
        <f t="shared" si="45"/>
        <v>4</v>
      </c>
      <c r="AB147" s="51">
        <f t="shared" si="46"/>
        <v>9</v>
      </c>
      <c r="AC147" s="53"/>
      <c r="AD147" s="57"/>
      <c r="AE147" s="57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</row>
    <row r="148" spans="1:41" ht="30" x14ac:dyDescent="0.25">
      <c r="A148" s="62" t="s">
        <v>519</v>
      </c>
      <c r="B148" s="62" t="s">
        <v>2542</v>
      </c>
      <c r="C148" s="62" t="s">
        <v>2543</v>
      </c>
      <c r="D148" s="62" t="s">
        <v>1798</v>
      </c>
      <c r="E148" s="62" t="s">
        <v>238</v>
      </c>
      <c r="F148" s="62">
        <v>5</v>
      </c>
      <c r="G148" s="62" t="s">
        <v>1895</v>
      </c>
      <c r="H148" s="62">
        <v>15</v>
      </c>
      <c r="I148" s="62">
        <f t="shared" si="47"/>
        <v>75</v>
      </c>
      <c r="J148" s="51">
        <f t="shared" si="57"/>
        <v>134.5</v>
      </c>
      <c r="K148" s="51">
        <f t="shared" si="48"/>
        <v>134</v>
      </c>
      <c r="L148" s="51">
        <f t="shared" si="49"/>
        <v>12307</v>
      </c>
      <c r="M148" s="51">
        <f t="shared" si="50"/>
        <v>101</v>
      </c>
      <c r="N148" s="51" t="b">
        <f t="shared" ref="N148:N211" si="58">AND(J148&gt;100,"Pass", "fail")</f>
        <v>1</v>
      </c>
      <c r="O148" s="51" t="b">
        <f t="shared" ref="O148:O211" si="59">OR(J148&gt;250,"pass",J148&lt;100,"fail")</f>
        <v>0</v>
      </c>
      <c r="P148" s="51" t="str">
        <f t="shared" si="51"/>
        <v>Ct-5</v>
      </c>
      <c r="Q148" s="52" t="str">
        <f t="shared" si="52"/>
        <v>15C005773</v>
      </c>
      <c r="R148" s="51" t="b">
        <f t="shared" si="53"/>
        <v>0</v>
      </c>
      <c r="S148" s="51"/>
      <c r="T148" s="51" t="str">
        <f t="shared" si="54"/>
        <v>CT</v>
      </c>
      <c r="U148" s="51" t="str">
        <f t="shared" si="55"/>
        <v>ct</v>
      </c>
      <c r="V148" s="51">
        <f t="shared" si="56"/>
        <v>1</v>
      </c>
      <c r="W148" s="51" t="str">
        <f t="shared" ref="W148:W211" si="60">_xlfn.TEXTJOIN(" ",TRUE,A148,F148)</f>
        <v>P008 5</v>
      </c>
      <c r="X148" s="51" t="str">
        <f t="shared" ref="X148:X211" si="61">SUBSTITUTE(T148, "N","O")</f>
        <v>CT</v>
      </c>
      <c r="Y148" s="51" t="str">
        <f t="shared" ref="Y148:Y211" si="62">LEFT(Q148, 3)</f>
        <v>15C</v>
      </c>
      <c r="Z148" s="51" t="str">
        <f t="shared" ref="Z148:Z211" si="63">RIGHT(O148,"2")</f>
        <v>SE</v>
      </c>
      <c r="AA148" s="51">
        <f t="shared" ref="AA148:AA211" si="64">FIND("0",Q148)</f>
        <v>4</v>
      </c>
      <c r="AB148" s="51">
        <f t="shared" ref="AB148:AB211" si="65">LEN(Q148)</f>
        <v>9</v>
      </c>
      <c r="AC148" s="53"/>
      <c r="AD148" s="57"/>
      <c r="AE148" s="57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</row>
    <row r="149" spans="1:41" ht="30" x14ac:dyDescent="0.25">
      <c r="A149" s="62" t="s">
        <v>459</v>
      </c>
      <c r="B149" s="62" t="s">
        <v>2544</v>
      </c>
      <c r="C149" s="62" t="s">
        <v>2545</v>
      </c>
      <c r="D149" s="62" t="s">
        <v>1242</v>
      </c>
      <c r="E149" s="62" t="s">
        <v>1872</v>
      </c>
      <c r="F149" s="62">
        <v>6</v>
      </c>
      <c r="G149" s="62" t="s">
        <v>35</v>
      </c>
      <c r="H149" s="62">
        <v>40</v>
      </c>
      <c r="I149" s="62">
        <f t="shared" si="47"/>
        <v>240</v>
      </c>
      <c r="J149" s="51">
        <f t="shared" si="57"/>
        <v>16.5</v>
      </c>
      <c r="K149" s="51">
        <f t="shared" si="48"/>
        <v>16</v>
      </c>
      <c r="L149" s="51">
        <f t="shared" si="49"/>
        <v>4518</v>
      </c>
      <c r="M149" s="51">
        <f t="shared" si="50"/>
        <v>52</v>
      </c>
      <c r="N149" s="51" t="b">
        <f t="shared" si="58"/>
        <v>0</v>
      </c>
      <c r="O149" s="51" t="b">
        <f t="shared" si="59"/>
        <v>1</v>
      </c>
      <c r="P149" s="51" t="str">
        <f t="shared" si="51"/>
        <v>cans-6</v>
      </c>
      <c r="Q149" s="52" t="str">
        <f t="shared" si="52"/>
        <v>40C003572</v>
      </c>
      <c r="R149" s="51" t="b">
        <f t="shared" si="53"/>
        <v>0</v>
      </c>
      <c r="S149" s="51"/>
      <c r="T149" s="51" t="str">
        <f t="shared" si="54"/>
        <v>CANS</v>
      </c>
      <c r="U149" s="51" t="str">
        <f t="shared" si="55"/>
        <v>cans</v>
      </c>
      <c r="V149" s="51">
        <f t="shared" si="56"/>
        <v>1</v>
      </c>
      <c r="W149" s="51" t="str">
        <f t="shared" si="60"/>
        <v>P038 6</v>
      </c>
      <c r="X149" s="51" t="str">
        <f t="shared" si="61"/>
        <v>CAOS</v>
      </c>
      <c r="Y149" s="51" t="str">
        <f t="shared" si="62"/>
        <v>40C</v>
      </c>
      <c r="Z149" s="51" t="str">
        <f t="shared" si="63"/>
        <v>UE</v>
      </c>
      <c r="AA149" s="51">
        <f t="shared" si="64"/>
        <v>2</v>
      </c>
      <c r="AB149" s="51">
        <f t="shared" si="65"/>
        <v>9</v>
      </c>
      <c r="AC149" s="53"/>
      <c r="AD149" s="57"/>
      <c r="AE149" s="57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</row>
    <row r="150" spans="1:41" ht="30" x14ac:dyDescent="0.25">
      <c r="A150" s="62" t="s">
        <v>137</v>
      </c>
      <c r="B150" s="62" t="s">
        <v>2546</v>
      </c>
      <c r="C150" s="62" t="s">
        <v>2547</v>
      </c>
      <c r="D150" s="62" t="s">
        <v>1181</v>
      </c>
      <c r="E150" s="62" t="s">
        <v>1950</v>
      </c>
      <c r="F150" s="62">
        <v>2</v>
      </c>
      <c r="G150" s="62" t="s">
        <v>13</v>
      </c>
      <c r="H150" s="62">
        <v>14</v>
      </c>
      <c r="I150" s="62">
        <f t="shared" si="47"/>
        <v>28</v>
      </c>
      <c r="J150" s="51">
        <f t="shared" si="57"/>
        <v>202</v>
      </c>
      <c r="K150" s="51">
        <f t="shared" si="48"/>
        <v>202</v>
      </c>
      <c r="L150" s="51">
        <f t="shared" si="49"/>
        <v>12307</v>
      </c>
      <c r="M150" s="51">
        <f t="shared" si="50"/>
        <v>101</v>
      </c>
      <c r="N150" s="51" t="b">
        <f t="shared" si="58"/>
        <v>1</v>
      </c>
      <c r="O150" s="51" t="b">
        <f t="shared" si="59"/>
        <v>0</v>
      </c>
      <c r="P150" s="51" t="str">
        <f t="shared" si="51"/>
        <v>ct-2</v>
      </c>
      <c r="Q150" s="52" t="str">
        <f t="shared" si="52"/>
        <v>14C004890</v>
      </c>
      <c r="R150" s="51" t="b">
        <f t="shared" si="53"/>
        <v>0</v>
      </c>
      <c r="S150" s="51"/>
      <c r="T150" s="51" t="str">
        <f t="shared" si="54"/>
        <v>CT</v>
      </c>
      <c r="U150" s="51" t="str">
        <f t="shared" si="55"/>
        <v>ct</v>
      </c>
      <c r="V150" s="51">
        <f t="shared" si="56"/>
        <v>1</v>
      </c>
      <c r="W150" s="51" t="str">
        <f t="shared" si="60"/>
        <v>P020 2</v>
      </c>
      <c r="X150" s="51" t="str">
        <f t="shared" si="61"/>
        <v>CT</v>
      </c>
      <c r="Y150" s="51" t="str">
        <f t="shared" si="62"/>
        <v>14C</v>
      </c>
      <c r="Z150" s="51" t="str">
        <f t="shared" si="63"/>
        <v>SE</v>
      </c>
      <c r="AA150" s="51">
        <f t="shared" si="64"/>
        <v>4</v>
      </c>
      <c r="AB150" s="51">
        <f t="shared" si="65"/>
        <v>9</v>
      </c>
      <c r="AC150" s="53"/>
      <c r="AD150" s="57"/>
      <c r="AE150" s="57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</row>
    <row r="151" spans="1:41" ht="30" x14ac:dyDescent="0.25">
      <c r="A151" s="62" t="s">
        <v>240</v>
      </c>
      <c r="B151" s="62" t="s">
        <v>2548</v>
      </c>
      <c r="C151" s="62" t="s">
        <v>2549</v>
      </c>
      <c r="D151" s="62" t="s">
        <v>681</v>
      </c>
      <c r="E151" s="62" t="s">
        <v>470</v>
      </c>
      <c r="F151" s="62">
        <v>6</v>
      </c>
      <c r="G151" s="62" t="s">
        <v>407</v>
      </c>
      <c r="H151" s="62">
        <v>15</v>
      </c>
      <c r="I151" s="62">
        <f t="shared" si="47"/>
        <v>90</v>
      </c>
      <c r="J151" s="51">
        <f t="shared" si="57"/>
        <v>118</v>
      </c>
      <c r="K151" s="51">
        <f t="shared" si="48"/>
        <v>117</v>
      </c>
      <c r="L151" s="51">
        <f t="shared" si="49"/>
        <v>801.5</v>
      </c>
      <c r="M151" s="51">
        <f t="shared" si="50"/>
        <v>10</v>
      </c>
      <c r="N151" s="51" t="b">
        <f t="shared" si="58"/>
        <v>1</v>
      </c>
      <c r="O151" s="51" t="b">
        <f t="shared" si="59"/>
        <v>0</v>
      </c>
      <c r="P151" s="51" t="str">
        <f t="shared" si="51"/>
        <v>pk-6</v>
      </c>
      <c r="Q151" s="52" t="str">
        <f t="shared" si="52"/>
        <v>15C003488</v>
      </c>
      <c r="R151" s="51" t="b">
        <f t="shared" si="53"/>
        <v>0</v>
      </c>
      <c r="S151" s="51"/>
      <c r="T151" s="51" t="str">
        <f t="shared" si="54"/>
        <v>PK</v>
      </c>
      <c r="U151" s="51" t="str">
        <f t="shared" si="55"/>
        <v>pk</v>
      </c>
      <c r="V151" s="51">
        <f t="shared" si="56"/>
        <v>1</v>
      </c>
      <c r="W151" s="51" t="str">
        <f t="shared" si="60"/>
        <v>P024 6</v>
      </c>
      <c r="X151" s="51" t="str">
        <f t="shared" si="61"/>
        <v>PK</v>
      </c>
      <c r="Y151" s="51" t="str">
        <f t="shared" si="62"/>
        <v>15C</v>
      </c>
      <c r="Z151" s="51" t="str">
        <f t="shared" si="63"/>
        <v>SE</v>
      </c>
      <c r="AA151" s="51">
        <f t="shared" si="64"/>
        <v>4</v>
      </c>
      <c r="AB151" s="51">
        <f t="shared" si="65"/>
        <v>9</v>
      </c>
      <c r="AC151" s="53"/>
      <c r="AD151" s="57"/>
      <c r="AE151" s="57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</row>
    <row r="152" spans="1:41" ht="30" x14ac:dyDescent="0.25">
      <c r="A152" s="62" t="s">
        <v>240</v>
      </c>
      <c r="B152" s="62" t="s">
        <v>2550</v>
      </c>
      <c r="C152" s="62" t="s">
        <v>2551</v>
      </c>
      <c r="D152" s="62" t="s">
        <v>503</v>
      </c>
      <c r="E152" s="62" t="s">
        <v>2552</v>
      </c>
      <c r="F152" s="62">
        <v>2</v>
      </c>
      <c r="G152" s="62" t="s">
        <v>13</v>
      </c>
      <c r="H152" s="62">
        <v>16.5</v>
      </c>
      <c r="I152" s="62">
        <f t="shared" si="47"/>
        <v>33</v>
      </c>
      <c r="J152" s="51">
        <f t="shared" si="57"/>
        <v>189.5</v>
      </c>
      <c r="K152" s="51">
        <f t="shared" si="48"/>
        <v>188</v>
      </c>
      <c r="L152" s="51">
        <f t="shared" si="49"/>
        <v>12307</v>
      </c>
      <c r="M152" s="51">
        <f t="shared" si="50"/>
        <v>101</v>
      </c>
      <c r="N152" s="51" t="b">
        <f t="shared" si="58"/>
        <v>1</v>
      </c>
      <c r="O152" s="51" t="b">
        <f t="shared" si="59"/>
        <v>0</v>
      </c>
      <c r="P152" s="51" t="str">
        <f t="shared" si="51"/>
        <v>ct-2</v>
      </c>
      <c r="Q152" s="52" t="str">
        <f t="shared" si="52"/>
        <v>16.5C001608</v>
      </c>
      <c r="R152" s="51" t="b">
        <f t="shared" si="53"/>
        <v>0</v>
      </c>
      <c r="S152" s="51"/>
      <c r="T152" s="51" t="str">
        <f t="shared" si="54"/>
        <v>CT</v>
      </c>
      <c r="U152" s="51" t="str">
        <f t="shared" si="55"/>
        <v>ct</v>
      </c>
      <c r="V152" s="51">
        <f t="shared" si="56"/>
        <v>1</v>
      </c>
      <c r="W152" s="51" t="str">
        <f t="shared" si="60"/>
        <v>P024 2</v>
      </c>
      <c r="X152" s="51" t="str">
        <f t="shared" si="61"/>
        <v>CT</v>
      </c>
      <c r="Y152" s="51" t="str">
        <f t="shared" si="62"/>
        <v>16.</v>
      </c>
      <c r="Z152" s="51" t="str">
        <f t="shared" si="63"/>
        <v>SE</v>
      </c>
      <c r="AA152" s="51">
        <f t="shared" si="64"/>
        <v>6</v>
      </c>
      <c r="AB152" s="51">
        <f t="shared" si="65"/>
        <v>11</v>
      </c>
      <c r="AC152" s="53"/>
      <c r="AD152" s="57"/>
      <c r="AE152" s="57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</row>
    <row r="153" spans="1:41" ht="30" x14ac:dyDescent="0.25">
      <c r="A153" s="62" t="s">
        <v>107</v>
      </c>
      <c r="B153" s="62" t="s">
        <v>2553</v>
      </c>
      <c r="C153" s="62" t="s">
        <v>2554</v>
      </c>
      <c r="D153" s="62" t="s">
        <v>517</v>
      </c>
      <c r="E153" s="62" t="s">
        <v>2028</v>
      </c>
      <c r="F153" s="62">
        <v>8</v>
      </c>
      <c r="G153" s="62" t="s">
        <v>13</v>
      </c>
      <c r="H153" s="62">
        <v>20</v>
      </c>
      <c r="I153" s="62">
        <f t="shared" si="47"/>
        <v>160</v>
      </c>
      <c r="J153" s="51">
        <f t="shared" si="57"/>
        <v>50.5</v>
      </c>
      <c r="K153" s="51">
        <f t="shared" si="48"/>
        <v>48</v>
      </c>
      <c r="L153" s="51">
        <f t="shared" si="49"/>
        <v>12307</v>
      </c>
      <c r="M153" s="51">
        <f t="shared" si="50"/>
        <v>101</v>
      </c>
      <c r="N153" s="51" t="b">
        <f t="shared" si="58"/>
        <v>0</v>
      </c>
      <c r="O153" s="51" t="b">
        <f t="shared" si="59"/>
        <v>1</v>
      </c>
      <c r="P153" s="51" t="str">
        <f t="shared" si="51"/>
        <v>ct-8</v>
      </c>
      <c r="Q153" s="52" t="str">
        <f t="shared" si="52"/>
        <v>20C000566</v>
      </c>
      <c r="R153" s="51" t="b">
        <f t="shared" si="53"/>
        <v>0</v>
      </c>
      <c r="S153" s="51"/>
      <c r="T153" s="51" t="str">
        <f t="shared" si="54"/>
        <v>CT</v>
      </c>
      <c r="U153" s="51" t="str">
        <f t="shared" si="55"/>
        <v>ct</v>
      </c>
      <c r="V153" s="51">
        <f t="shared" si="56"/>
        <v>1</v>
      </c>
      <c r="W153" s="51" t="str">
        <f t="shared" si="60"/>
        <v>P015 8</v>
      </c>
      <c r="X153" s="51" t="str">
        <f t="shared" si="61"/>
        <v>CT</v>
      </c>
      <c r="Y153" s="51" t="str">
        <f t="shared" si="62"/>
        <v>20C</v>
      </c>
      <c r="Z153" s="51" t="str">
        <f t="shared" si="63"/>
        <v>UE</v>
      </c>
      <c r="AA153" s="51">
        <f t="shared" si="64"/>
        <v>2</v>
      </c>
      <c r="AB153" s="51">
        <f t="shared" si="65"/>
        <v>9</v>
      </c>
      <c r="AC153" s="53"/>
      <c r="AD153" s="57"/>
      <c r="AE153" s="57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</row>
    <row r="154" spans="1:41" ht="30" x14ac:dyDescent="0.25">
      <c r="A154" s="62" t="s">
        <v>101</v>
      </c>
      <c r="B154" s="62" t="s">
        <v>1811</v>
      </c>
      <c r="C154" s="62" t="s">
        <v>2555</v>
      </c>
      <c r="D154" s="62" t="s">
        <v>1877</v>
      </c>
      <c r="E154" s="62" t="s">
        <v>522</v>
      </c>
      <c r="F154" s="62">
        <v>6</v>
      </c>
      <c r="G154" s="62" t="s">
        <v>13</v>
      </c>
      <c r="H154" s="62">
        <v>53</v>
      </c>
      <c r="I154" s="62">
        <f t="shared" si="47"/>
        <v>318</v>
      </c>
      <c r="J154" s="51">
        <f t="shared" si="57"/>
        <v>7</v>
      </c>
      <c r="K154" s="51">
        <f t="shared" si="48"/>
        <v>7</v>
      </c>
      <c r="L154" s="51">
        <f t="shared" si="49"/>
        <v>12307</v>
      </c>
      <c r="M154" s="51">
        <f t="shared" si="50"/>
        <v>101</v>
      </c>
      <c r="N154" s="51" t="b">
        <f t="shared" si="58"/>
        <v>0</v>
      </c>
      <c r="O154" s="51" t="b">
        <f t="shared" si="59"/>
        <v>1</v>
      </c>
      <c r="P154" s="51" t="str">
        <f t="shared" si="51"/>
        <v>ct-6</v>
      </c>
      <c r="Q154" s="52" t="str">
        <f t="shared" si="52"/>
        <v>53C005867</v>
      </c>
      <c r="R154" s="51" t="b">
        <f t="shared" si="53"/>
        <v>0</v>
      </c>
      <c r="S154" s="51"/>
      <c r="T154" s="51" t="str">
        <f t="shared" si="54"/>
        <v>CT</v>
      </c>
      <c r="U154" s="51" t="str">
        <f t="shared" si="55"/>
        <v>ct</v>
      </c>
      <c r="V154" s="51">
        <f t="shared" si="56"/>
        <v>1</v>
      </c>
      <c r="W154" s="51" t="str">
        <f t="shared" si="60"/>
        <v>P011 6</v>
      </c>
      <c r="X154" s="51" t="str">
        <f t="shared" si="61"/>
        <v>CT</v>
      </c>
      <c r="Y154" s="51" t="str">
        <f t="shared" si="62"/>
        <v>53C</v>
      </c>
      <c r="Z154" s="51" t="str">
        <f t="shared" si="63"/>
        <v>UE</v>
      </c>
      <c r="AA154" s="51">
        <f t="shared" si="64"/>
        <v>4</v>
      </c>
      <c r="AB154" s="51">
        <f t="shared" si="65"/>
        <v>9</v>
      </c>
      <c r="AC154" s="53"/>
      <c r="AD154" s="57"/>
      <c r="AE154" s="57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</row>
    <row r="155" spans="1:41" x14ac:dyDescent="0.25">
      <c r="A155" s="62" t="s">
        <v>209</v>
      </c>
      <c r="B155" s="62" t="s">
        <v>2556</v>
      </c>
      <c r="C155" s="62" t="s">
        <v>2557</v>
      </c>
      <c r="D155" s="62" t="s">
        <v>132</v>
      </c>
      <c r="E155" s="62" t="s">
        <v>946</v>
      </c>
      <c r="F155" s="62">
        <v>8</v>
      </c>
      <c r="G155" s="62" t="s">
        <v>35</v>
      </c>
      <c r="H155" s="62">
        <v>8</v>
      </c>
      <c r="I155" s="62">
        <f t="shared" si="47"/>
        <v>64</v>
      </c>
      <c r="J155" s="51">
        <f t="shared" si="57"/>
        <v>154.5</v>
      </c>
      <c r="K155" s="51">
        <f t="shared" si="48"/>
        <v>154</v>
      </c>
      <c r="L155" s="51">
        <f t="shared" si="49"/>
        <v>4518</v>
      </c>
      <c r="M155" s="51">
        <f t="shared" si="50"/>
        <v>52</v>
      </c>
      <c r="N155" s="51" t="b">
        <f t="shared" si="58"/>
        <v>1</v>
      </c>
      <c r="O155" s="51" t="b">
        <f t="shared" si="59"/>
        <v>0</v>
      </c>
      <c r="P155" s="51" t="str">
        <f t="shared" si="51"/>
        <v>cans-8</v>
      </c>
      <c r="Q155" s="52" t="str">
        <f t="shared" si="52"/>
        <v>8C002147</v>
      </c>
      <c r="R155" s="51" t="b">
        <f t="shared" si="53"/>
        <v>0</v>
      </c>
      <c r="S155" s="51"/>
      <c r="T155" s="51" t="str">
        <f t="shared" si="54"/>
        <v>CANS</v>
      </c>
      <c r="U155" s="51" t="str">
        <f t="shared" si="55"/>
        <v>cans</v>
      </c>
      <c r="V155" s="51">
        <f t="shared" si="56"/>
        <v>1</v>
      </c>
      <c r="W155" s="51" t="str">
        <f t="shared" si="60"/>
        <v>P021 8</v>
      </c>
      <c r="X155" s="51" t="str">
        <f t="shared" si="61"/>
        <v>CAOS</v>
      </c>
      <c r="Y155" s="51" t="str">
        <f t="shared" si="62"/>
        <v>8C0</v>
      </c>
      <c r="Z155" s="51" t="str">
        <f t="shared" si="63"/>
        <v>SE</v>
      </c>
      <c r="AA155" s="51">
        <f t="shared" si="64"/>
        <v>3</v>
      </c>
      <c r="AB155" s="51">
        <f t="shared" si="65"/>
        <v>8</v>
      </c>
      <c r="AC155" s="53"/>
      <c r="AD155" s="57"/>
      <c r="AE155" s="57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</row>
    <row r="156" spans="1:41" ht="30" x14ac:dyDescent="0.25">
      <c r="A156" s="62" t="s">
        <v>30</v>
      </c>
      <c r="B156" s="62" t="s">
        <v>2558</v>
      </c>
      <c r="C156" s="62" t="s">
        <v>2559</v>
      </c>
      <c r="D156" s="62" t="s">
        <v>990</v>
      </c>
      <c r="E156" s="62" t="s">
        <v>575</v>
      </c>
      <c r="F156" s="62">
        <v>3</v>
      </c>
      <c r="G156" s="62" t="s">
        <v>407</v>
      </c>
      <c r="H156" s="62">
        <v>12.5</v>
      </c>
      <c r="I156" s="62">
        <f t="shared" si="47"/>
        <v>37.5</v>
      </c>
      <c r="J156" s="51">
        <f t="shared" si="57"/>
        <v>181.5</v>
      </c>
      <c r="K156" s="51">
        <f t="shared" si="48"/>
        <v>181</v>
      </c>
      <c r="L156" s="51">
        <f t="shared" si="49"/>
        <v>801.5</v>
      </c>
      <c r="M156" s="51">
        <f t="shared" si="50"/>
        <v>10</v>
      </c>
      <c r="N156" s="51" t="b">
        <f t="shared" si="58"/>
        <v>1</v>
      </c>
      <c r="O156" s="51" t="b">
        <f t="shared" si="59"/>
        <v>0</v>
      </c>
      <c r="P156" s="51" t="str">
        <f t="shared" si="51"/>
        <v>pk-3</v>
      </c>
      <c r="Q156" s="52" t="str">
        <f t="shared" si="52"/>
        <v>12.5C007449</v>
      </c>
      <c r="R156" s="51" t="b">
        <f t="shared" si="53"/>
        <v>0</v>
      </c>
      <c r="S156" s="51"/>
      <c r="T156" s="51" t="str">
        <f t="shared" si="54"/>
        <v>PK</v>
      </c>
      <c r="U156" s="51" t="str">
        <f t="shared" si="55"/>
        <v>pk</v>
      </c>
      <c r="V156" s="51">
        <f t="shared" si="56"/>
        <v>1</v>
      </c>
      <c r="W156" s="51" t="str">
        <f t="shared" si="60"/>
        <v>P014 3</v>
      </c>
      <c r="X156" s="51" t="str">
        <f t="shared" si="61"/>
        <v>PK</v>
      </c>
      <c r="Y156" s="51" t="str">
        <f t="shared" si="62"/>
        <v>12.</v>
      </c>
      <c r="Z156" s="51" t="str">
        <f t="shared" si="63"/>
        <v>SE</v>
      </c>
      <c r="AA156" s="51">
        <f t="shared" si="64"/>
        <v>6</v>
      </c>
      <c r="AB156" s="51">
        <f t="shared" si="65"/>
        <v>11</v>
      </c>
      <c r="AC156" s="53"/>
      <c r="AD156" s="57"/>
      <c r="AE156" s="57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</row>
    <row r="157" spans="1:41" ht="30" x14ac:dyDescent="0.25">
      <c r="A157" s="62" t="s">
        <v>20</v>
      </c>
      <c r="B157" s="62" t="s">
        <v>1964</v>
      </c>
      <c r="C157" s="62" t="s">
        <v>2560</v>
      </c>
      <c r="D157" s="62" t="s">
        <v>1877</v>
      </c>
      <c r="E157" s="62" t="s">
        <v>1834</v>
      </c>
      <c r="F157" s="62">
        <v>4</v>
      </c>
      <c r="G157" s="62" t="s">
        <v>13</v>
      </c>
      <c r="H157" s="62">
        <v>53</v>
      </c>
      <c r="I157" s="62">
        <f t="shared" si="47"/>
        <v>212</v>
      </c>
      <c r="J157" s="51">
        <f t="shared" si="57"/>
        <v>23</v>
      </c>
      <c r="K157" s="51">
        <f t="shared" si="48"/>
        <v>23</v>
      </c>
      <c r="L157" s="51">
        <f t="shared" si="49"/>
        <v>12307</v>
      </c>
      <c r="M157" s="51">
        <f t="shared" si="50"/>
        <v>101</v>
      </c>
      <c r="N157" s="51" t="b">
        <f t="shared" si="58"/>
        <v>0</v>
      </c>
      <c r="O157" s="51" t="b">
        <f t="shared" si="59"/>
        <v>1</v>
      </c>
      <c r="P157" s="51" t="str">
        <f t="shared" si="51"/>
        <v>ct-4</v>
      </c>
      <c r="Q157" s="52" t="str">
        <f t="shared" si="52"/>
        <v>53C008445</v>
      </c>
      <c r="R157" s="51" t="b">
        <f t="shared" si="53"/>
        <v>0</v>
      </c>
      <c r="S157" s="51"/>
      <c r="T157" s="51" t="str">
        <f t="shared" si="54"/>
        <v>CT</v>
      </c>
      <c r="U157" s="51" t="str">
        <f t="shared" si="55"/>
        <v>ct</v>
      </c>
      <c r="V157" s="51">
        <f t="shared" si="56"/>
        <v>1</v>
      </c>
      <c r="W157" s="51" t="str">
        <f t="shared" si="60"/>
        <v>P030 4</v>
      </c>
      <c r="X157" s="51" t="str">
        <f t="shared" si="61"/>
        <v>CT</v>
      </c>
      <c r="Y157" s="51" t="str">
        <f t="shared" si="62"/>
        <v>53C</v>
      </c>
      <c r="Z157" s="51" t="str">
        <f t="shared" si="63"/>
        <v>UE</v>
      </c>
      <c r="AA157" s="51">
        <f t="shared" si="64"/>
        <v>4</v>
      </c>
      <c r="AB157" s="51">
        <f t="shared" si="65"/>
        <v>9</v>
      </c>
      <c r="AC157" s="53"/>
      <c r="AD157" s="57"/>
      <c r="AE157" s="57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</row>
    <row r="158" spans="1:41" ht="30" x14ac:dyDescent="0.25">
      <c r="A158" s="62" t="s">
        <v>101</v>
      </c>
      <c r="B158" s="62" t="s">
        <v>2561</v>
      </c>
      <c r="C158" s="62" t="s">
        <v>2562</v>
      </c>
      <c r="D158" s="62" t="s">
        <v>600</v>
      </c>
      <c r="E158" s="62" t="s">
        <v>589</v>
      </c>
      <c r="F158" s="62">
        <v>2</v>
      </c>
      <c r="G158" s="62" t="s">
        <v>35</v>
      </c>
      <c r="H158" s="62">
        <v>40</v>
      </c>
      <c r="I158" s="62">
        <f t="shared" si="47"/>
        <v>80</v>
      </c>
      <c r="J158" s="51">
        <f t="shared" si="57"/>
        <v>128</v>
      </c>
      <c r="K158" s="51">
        <f t="shared" si="48"/>
        <v>125</v>
      </c>
      <c r="L158" s="51">
        <f t="shared" si="49"/>
        <v>4518</v>
      </c>
      <c r="M158" s="51">
        <f t="shared" si="50"/>
        <v>52</v>
      </c>
      <c r="N158" s="51" t="b">
        <f t="shared" si="58"/>
        <v>1</v>
      </c>
      <c r="O158" s="51" t="b">
        <f t="shared" si="59"/>
        <v>0</v>
      </c>
      <c r="P158" s="51" t="str">
        <f t="shared" si="51"/>
        <v>cans-2</v>
      </c>
      <c r="Q158" s="52" t="str">
        <f t="shared" si="52"/>
        <v>40C008193</v>
      </c>
      <c r="R158" s="51" t="b">
        <f t="shared" si="53"/>
        <v>0</v>
      </c>
      <c r="S158" s="51"/>
      <c r="T158" s="51" t="str">
        <f t="shared" si="54"/>
        <v>CANS</v>
      </c>
      <c r="U158" s="51" t="str">
        <f t="shared" si="55"/>
        <v>cans</v>
      </c>
      <c r="V158" s="51">
        <f t="shared" si="56"/>
        <v>1</v>
      </c>
      <c r="W158" s="51" t="str">
        <f t="shared" si="60"/>
        <v>P011 2</v>
      </c>
      <c r="X158" s="51" t="str">
        <f t="shared" si="61"/>
        <v>CAOS</v>
      </c>
      <c r="Y158" s="51" t="str">
        <f t="shared" si="62"/>
        <v>40C</v>
      </c>
      <c r="Z158" s="51" t="str">
        <f t="shared" si="63"/>
        <v>SE</v>
      </c>
      <c r="AA158" s="51">
        <f t="shared" si="64"/>
        <v>2</v>
      </c>
      <c r="AB158" s="51">
        <f t="shared" si="65"/>
        <v>9</v>
      </c>
      <c r="AC158" s="53"/>
      <c r="AD158" s="57"/>
      <c r="AE158" s="57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</row>
    <row r="159" spans="1:41" ht="30" x14ac:dyDescent="0.25">
      <c r="A159" s="62" t="s">
        <v>168</v>
      </c>
      <c r="B159" s="62" t="s">
        <v>2563</v>
      </c>
      <c r="C159" s="62" t="s">
        <v>2564</v>
      </c>
      <c r="D159" s="62" t="s">
        <v>410</v>
      </c>
      <c r="E159" s="62" t="s">
        <v>2565</v>
      </c>
      <c r="F159" s="62">
        <v>4</v>
      </c>
      <c r="G159" s="62" t="s">
        <v>60</v>
      </c>
      <c r="H159" s="62">
        <v>24</v>
      </c>
      <c r="I159" s="62">
        <f t="shared" si="47"/>
        <v>96</v>
      </c>
      <c r="J159" s="51">
        <f t="shared" si="57"/>
        <v>112.5</v>
      </c>
      <c r="K159" s="51">
        <f t="shared" si="48"/>
        <v>110</v>
      </c>
      <c r="L159" s="51">
        <f t="shared" si="49"/>
        <v>3427</v>
      </c>
      <c r="M159" s="51">
        <f t="shared" si="50"/>
        <v>31</v>
      </c>
      <c r="N159" s="51" t="b">
        <f t="shared" si="58"/>
        <v>1</v>
      </c>
      <c r="O159" s="51" t="b">
        <f t="shared" si="59"/>
        <v>0</v>
      </c>
      <c r="P159" s="51" t="str">
        <f t="shared" si="51"/>
        <v>bottles-4</v>
      </c>
      <c r="Q159" s="52" t="str">
        <f t="shared" si="52"/>
        <v>24C004973</v>
      </c>
      <c r="R159" s="51" t="b">
        <f t="shared" si="53"/>
        <v>0</v>
      </c>
      <c r="S159" s="51"/>
      <c r="T159" s="51" t="str">
        <f t="shared" si="54"/>
        <v>BOTTLES</v>
      </c>
      <c r="U159" s="51" t="str">
        <f t="shared" si="55"/>
        <v>bottles</v>
      </c>
      <c r="V159" s="51">
        <f t="shared" si="56"/>
        <v>1</v>
      </c>
      <c r="W159" s="51" t="str">
        <f t="shared" si="60"/>
        <v>P017 4</v>
      </c>
      <c r="X159" s="51" t="str">
        <f t="shared" si="61"/>
        <v>BOTTLES</v>
      </c>
      <c r="Y159" s="51" t="str">
        <f t="shared" si="62"/>
        <v>24C</v>
      </c>
      <c r="Z159" s="51" t="str">
        <f t="shared" si="63"/>
        <v>SE</v>
      </c>
      <c r="AA159" s="51">
        <f t="shared" si="64"/>
        <v>4</v>
      </c>
      <c r="AB159" s="51">
        <f t="shared" si="65"/>
        <v>9</v>
      </c>
      <c r="AC159" s="53"/>
      <c r="AD159" s="57"/>
      <c r="AE159" s="57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</row>
    <row r="160" spans="1:41" ht="30" x14ac:dyDescent="0.25">
      <c r="A160" s="62" t="s">
        <v>359</v>
      </c>
      <c r="B160" s="62" t="s">
        <v>2566</v>
      </c>
      <c r="C160" s="62" t="s">
        <v>2567</v>
      </c>
      <c r="D160" s="62" t="s">
        <v>503</v>
      </c>
      <c r="E160" s="62" t="s">
        <v>213</v>
      </c>
      <c r="F160" s="62">
        <v>2</v>
      </c>
      <c r="G160" s="62" t="s">
        <v>13</v>
      </c>
      <c r="H160" s="62">
        <v>16.5</v>
      </c>
      <c r="I160" s="62">
        <f t="shared" si="47"/>
        <v>33</v>
      </c>
      <c r="J160" s="51">
        <f t="shared" si="57"/>
        <v>189.5</v>
      </c>
      <c r="K160" s="51">
        <f t="shared" si="48"/>
        <v>188</v>
      </c>
      <c r="L160" s="51">
        <f t="shared" si="49"/>
        <v>12307</v>
      </c>
      <c r="M160" s="51">
        <f t="shared" si="50"/>
        <v>101</v>
      </c>
      <c r="N160" s="51" t="b">
        <f t="shared" si="58"/>
        <v>1</v>
      </c>
      <c r="O160" s="51" t="b">
        <f t="shared" si="59"/>
        <v>0</v>
      </c>
      <c r="P160" s="51" t="str">
        <f t="shared" si="51"/>
        <v>ct-2</v>
      </c>
      <c r="Q160" s="52" t="str">
        <f t="shared" si="52"/>
        <v>16.5C001639</v>
      </c>
      <c r="R160" s="51" t="b">
        <f t="shared" si="53"/>
        <v>0</v>
      </c>
      <c r="S160" s="51"/>
      <c r="T160" s="51" t="str">
        <f t="shared" si="54"/>
        <v>CT</v>
      </c>
      <c r="U160" s="51" t="str">
        <f t="shared" si="55"/>
        <v>ct</v>
      </c>
      <c r="V160" s="51">
        <f t="shared" si="56"/>
        <v>1</v>
      </c>
      <c r="W160" s="51" t="str">
        <f t="shared" si="60"/>
        <v>P004 2</v>
      </c>
      <c r="X160" s="51" t="str">
        <f t="shared" si="61"/>
        <v>CT</v>
      </c>
      <c r="Y160" s="51" t="str">
        <f t="shared" si="62"/>
        <v>16.</v>
      </c>
      <c r="Z160" s="51" t="str">
        <f t="shared" si="63"/>
        <v>SE</v>
      </c>
      <c r="AA160" s="51">
        <f t="shared" si="64"/>
        <v>6</v>
      </c>
      <c r="AB160" s="51">
        <f t="shared" si="65"/>
        <v>11</v>
      </c>
      <c r="AC160" s="53"/>
      <c r="AD160" s="57"/>
      <c r="AE160" s="57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</row>
    <row r="161" spans="1:41" ht="30" x14ac:dyDescent="0.25">
      <c r="A161" s="62" t="s">
        <v>209</v>
      </c>
      <c r="B161" s="62" t="s">
        <v>2568</v>
      </c>
      <c r="C161" s="62" t="s">
        <v>2569</v>
      </c>
      <c r="D161" s="62" t="s">
        <v>301</v>
      </c>
      <c r="E161" s="62" t="s">
        <v>1839</v>
      </c>
      <c r="F161" s="62">
        <v>8</v>
      </c>
      <c r="G161" s="62" t="s">
        <v>35</v>
      </c>
      <c r="H161" s="62">
        <v>55</v>
      </c>
      <c r="I161" s="62">
        <f t="shared" si="47"/>
        <v>440</v>
      </c>
      <c r="J161" s="51">
        <f t="shared" si="57"/>
        <v>5</v>
      </c>
      <c r="K161" s="51">
        <f t="shared" si="48"/>
        <v>5</v>
      </c>
      <c r="L161" s="51">
        <f t="shared" si="49"/>
        <v>4518</v>
      </c>
      <c r="M161" s="51">
        <f t="shared" si="50"/>
        <v>52</v>
      </c>
      <c r="N161" s="51" t="b">
        <f t="shared" si="58"/>
        <v>0</v>
      </c>
      <c r="O161" s="51" t="b">
        <f t="shared" si="59"/>
        <v>1</v>
      </c>
      <c r="P161" s="51" t="str">
        <f t="shared" si="51"/>
        <v>cans-8</v>
      </c>
      <c r="Q161" s="52" t="str">
        <f t="shared" si="52"/>
        <v>55C008029</v>
      </c>
      <c r="R161" s="51" t="b">
        <f t="shared" si="53"/>
        <v>0</v>
      </c>
      <c r="S161" s="51"/>
      <c r="T161" s="51" t="str">
        <f t="shared" si="54"/>
        <v>CANS</v>
      </c>
      <c r="U161" s="51" t="str">
        <f t="shared" si="55"/>
        <v>cans</v>
      </c>
      <c r="V161" s="51">
        <f t="shared" si="56"/>
        <v>1</v>
      </c>
      <c r="W161" s="51" t="str">
        <f t="shared" si="60"/>
        <v>P021 8</v>
      </c>
      <c r="X161" s="51" t="str">
        <f t="shared" si="61"/>
        <v>CAOS</v>
      </c>
      <c r="Y161" s="51" t="str">
        <f t="shared" si="62"/>
        <v>55C</v>
      </c>
      <c r="Z161" s="51" t="str">
        <f t="shared" si="63"/>
        <v>UE</v>
      </c>
      <c r="AA161" s="51">
        <f t="shared" si="64"/>
        <v>4</v>
      </c>
      <c r="AB161" s="51">
        <f t="shared" si="65"/>
        <v>9</v>
      </c>
      <c r="AC161" s="53"/>
      <c r="AD161" s="57"/>
      <c r="AE161" s="57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</row>
    <row r="162" spans="1:41" ht="30" x14ac:dyDescent="0.25">
      <c r="A162" s="62" t="s">
        <v>55</v>
      </c>
      <c r="B162" s="62" t="s">
        <v>2570</v>
      </c>
      <c r="C162" s="62" t="s">
        <v>2571</v>
      </c>
      <c r="D162" s="62" t="s">
        <v>453</v>
      </c>
      <c r="E162" s="62" t="s">
        <v>2365</v>
      </c>
      <c r="F162" s="62">
        <v>6</v>
      </c>
      <c r="G162" s="62" t="s">
        <v>35</v>
      </c>
      <c r="H162" s="62">
        <v>40</v>
      </c>
      <c r="I162" s="62">
        <f t="shared" si="47"/>
        <v>240</v>
      </c>
      <c r="J162" s="51">
        <f t="shared" si="57"/>
        <v>16.5</v>
      </c>
      <c r="K162" s="51">
        <f t="shared" si="48"/>
        <v>16</v>
      </c>
      <c r="L162" s="51">
        <f t="shared" si="49"/>
        <v>4518</v>
      </c>
      <c r="M162" s="51">
        <f t="shared" si="50"/>
        <v>52</v>
      </c>
      <c r="N162" s="51" t="b">
        <f t="shared" si="58"/>
        <v>0</v>
      </c>
      <c r="O162" s="51" t="b">
        <f t="shared" si="59"/>
        <v>1</v>
      </c>
      <c r="P162" s="51" t="str">
        <f t="shared" si="51"/>
        <v>cans-6</v>
      </c>
      <c r="Q162" s="52" t="str">
        <f t="shared" si="52"/>
        <v>40C008951</v>
      </c>
      <c r="R162" s="51" t="b">
        <f t="shared" si="53"/>
        <v>0</v>
      </c>
      <c r="S162" s="51"/>
      <c r="T162" s="51" t="str">
        <f t="shared" si="54"/>
        <v>CANS</v>
      </c>
      <c r="U162" s="51" t="str">
        <f t="shared" si="55"/>
        <v>cans</v>
      </c>
      <c r="V162" s="51">
        <f t="shared" si="56"/>
        <v>1</v>
      </c>
      <c r="W162" s="51" t="str">
        <f t="shared" si="60"/>
        <v>P006 6</v>
      </c>
      <c r="X162" s="51" t="str">
        <f t="shared" si="61"/>
        <v>CAOS</v>
      </c>
      <c r="Y162" s="51" t="str">
        <f t="shared" si="62"/>
        <v>40C</v>
      </c>
      <c r="Z162" s="51" t="str">
        <f t="shared" si="63"/>
        <v>UE</v>
      </c>
      <c r="AA162" s="51">
        <f t="shared" si="64"/>
        <v>2</v>
      </c>
      <c r="AB162" s="51">
        <f t="shared" si="65"/>
        <v>9</v>
      </c>
      <c r="AC162" s="53"/>
      <c r="AD162" s="57"/>
      <c r="AE162" s="57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</row>
    <row r="163" spans="1:41" ht="30" x14ac:dyDescent="0.25">
      <c r="A163" s="62" t="s">
        <v>743</v>
      </c>
      <c r="B163" s="62" t="s">
        <v>2572</v>
      </c>
      <c r="C163" s="62" t="s">
        <v>2573</v>
      </c>
      <c r="D163" s="62" t="s">
        <v>1541</v>
      </c>
      <c r="E163" s="62" t="s">
        <v>1637</v>
      </c>
      <c r="F163" s="62">
        <v>6</v>
      </c>
      <c r="G163" s="62" t="s">
        <v>35</v>
      </c>
      <c r="H163" s="62">
        <v>23</v>
      </c>
      <c r="I163" s="62">
        <f t="shared" si="47"/>
        <v>138</v>
      </c>
      <c r="J163" s="51">
        <f t="shared" si="57"/>
        <v>71</v>
      </c>
      <c r="K163" s="51">
        <f t="shared" si="48"/>
        <v>71</v>
      </c>
      <c r="L163" s="51">
        <f t="shared" si="49"/>
        <v>4518</v>
      </c>
      <c r="M163" s="51">
        <f t="shared" si="50"/>
        <v>52</v>
      </c>
      <c r="N163" s="51" t="b">
        <f t="shared" si="58"/>
        <v>0</v>
      </c>
      <c r="O163" s="51" t="b">
        <f t="shared" si="59"/>
        <v>1</v>
      </c>
      <c r="P163" s="51" t="str">
        <f t="shared" si="51"/>
        <v>cans-6</v>
      </c>
      <c r="Q163" s="52" t="str">
        <f t="shared" si="52"/>
        <v>23C007095</v>
      </c>
      <c r="R163" s="51" t="b">
        <f t="shared" si="53"/>
        <v>0</v>
      </c>
      <c r="S163" s="51"/>
      <c r="T163" s="51" t="str">
        <f t="shared" si="54"/>
        <v>CANS</v>
      </c>
      <c r="U163" s="51" t="str">
        <f t="shared" si="55"/>
        <v>cans</v>
      </c>
      <c r="V163" s="51">
        <f t="shared" si="56"/>
        <v>1</v>
      </c>
      <c r="W163" s="51" t="str">
        <f t="shared" si="60"/>
        <v>P007 6</v>
      </c>
      <c r="X163" s="51" t="str">
        <f t="shared" si="61"/>
        <v>CAOS</v>
      </c>
      <c r="Y163" s="51" t="str">
        <f t="shared" si="62"/>
        <v>23C</v>
      </c>
      <c r="Z163" s="51" t="str">
        <f t="shared" si="63"/>
        <v>UE</v>
      </c>
      <c r="AA163" s="51">
        <f t="shared" si="64"/>
        <v>4</v>
      </c>
      <c r="AB163" s="51">
        <f t="shared" si="65"/>
        <v>9</v>
      </c>
      <c r="AC163" s="53"/>
      <c r="AD163" s="57"/>
      <c r="AE163" s="57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</row>
    <row r="164" spans="1:41" ht="30" x14ac:dyDescent="0.25">
      <c r="A164" s="62" t="s">
        <v>523</v>
      </c>
      <c r="B164" s="62" t="s">
        <v>2574</v>
      </c>
      <c r="C164" s="62" t="s">
        <v>2575</v>
      </c>
      <c r="D164" s="62" t="s">
        <v>85</v>
      </c>
      <c r="E164" s="62" t="s">
        <v>473</v>
      </c>
      <c r="F164" s="62">
        <v>1</v>
      </c>
      <c r="G164" s="62" t="s">
        <v>60</v>
      </c>
      <c r="H164" s="62">
        <v>20</v>
      </c>
      <c r="I164" s="62">
        <f t="shared" si="47"/>
        <v>20</v>
      </c>
      <c r="J164" s="51">
        <f t="shared" si="57"/>
        <v>216.5</v>
      </c>
      <c r="K164" s="51">
        <f t="shared" si="48"/>
        <v>215</v>
      </c>
      <c r="L164" s="51">
        <f t="shared" si="49"/>
        <v>3427</v>
      </c>
      <c r="M164" s="51">
        <f t="shared" si="50"/>
        <v>31</v>
      </c>
      <c r="N164" s="51" t="b">
        <f t="shared" si="58"/>
        <v>1</v>
      </c>
      <c r="O164" s="51" t="b">
        <f t="shared" si="59"/>
        <v>0</v>
      </c>
      <c r="P164" s="51" t="str">
        <f t="shared" si="51"/>
        <v>bottles-1</v>
      </c>
      <c r="Q164" s="52" t="str">
        <f t="shared" si="52"/>
        <v>20C009145</v>
      </c>
      <c r="R164" s="51" t="b">
        <f t="shared" si="53"/>
        <v>0</v>
      </c>
      <c r="S164" s="51"/>
      <c r="T164" s="51" t="str">
        <f t="shared" si="54"/>
        <v>BOTTLES</v>
      </c>
      <c r="U164" s="51" t="str">
        <f t="shared" si="55"/>
        <v>bottles</v>
      </c>
      <c r="V164" s="51">
        <f t="shared" si="56"/>
        <v>1</v>
      </c>
      <c r="W164" s="51" t="str">
        <f t="shared" si="60"/>
        <v>P005 1</v>
      </c>
      <c r="X164" s="51" t="str">
        <f t="shared" si="61"/>
        <v>BOTTLES</v>
      </c>
      <c r="Y164" s="51" t="str">
        <f t="shared" si="62"/>
        <v>20C</v>
      </c>
      <c r="Z164" s="51" t="str">
        <f t="shared" si="63"/>
        <v>SE</v>
      </c>
      <c r="AA164" s="51">
        <f t="shared" si="64"/>
        <v>2</v>
      </c>
      <c r="AB164" s="51">
        <f t="shared" si="65"/>
        <v>9</v>
      </c>
      <c r="AC164" s="53"/>
      <c r="AD164" s="57"/>
      <c r="AE164" s="57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</row>
    <row r="165" spans="1:41" ht="30" x14ac:dyDescent="0.25">
      <c r="A165" s="62" t="s">
        <v>20</v>
      </c>
      <c r="B165" s="62" t="s">
        <v>2576</v>
      </c>
      <c r="C165" s="62" t="s">
        <v>2577</v>
      </c>
      <c r="D165" s="62" t="s">
        <v>362</v>
      </c>
      <c r="E165" s="62" t="s">
        <v>1006</v>
      </c>
      <c r="F165" s="62">
        <v>3</v>
      </c>
      <c r="G165" s="62" t="s">
        <v>13</v>
      </c>
      <c r="H165" s="62">
        <v>24</v>
      </c>
      <c r="I165" s="62">
        <f>H165*F165</f>
        <v>72</v>
      </c>
      <c r="J165" s="51">
        <f t="shared" si="57"/>
        <v>141.5</v>
      </c>
      <c r="K165" s="51">
        <f t="shared" si="48"/>
        <v>137</v>
      </c>
      <c r="L165" s="51">
        <f t="shared" si="49"/>
        <v>12307</v>
      </c>
      <c r="M165" s="51">
        <f t="shared" si="50"/>
        <v>101</v>
      </c>
      <c r="N165" s="51" t="b">
        <f t="shared" si="58"/>
        <v>1</v>
      </c>
      <c r="O165" s="51" t="b">
        <f t="shared" si="59"/>
        <v>0</v>
      </c>
      <c r="P165" s="51" t="str">
        <f t="shared" si="51"/>
        <v>ct-3</v>
      </c>
      <c r="Q165" s="52" t="str">
        <f t="shared" si="52"/>
        <v>24C002376</v>
      </c>
      <c r="R165" s="51" t="b">
        <f t="shared" si="53"/>
        <v>0</v>
      </c>
      <c r="S165" s="51"/>
      <c r="T165" s="51" t="str">
        <f t="shared" si="54"/>
        <v>CT</v>
      </c>
      <c r="U165" s="51" t="str">
        <f t="shared" si="55"/>
        <v>ct</v>
      </c>
      <c r="V165" s="51">
        <f t="shared" si="56"/>
        <v>1</v>
      </c>
      <c r="W165" s="51" t="str">
        <f t="shared" si="60"/>
        <v>P030 3</v>
      </c>
      <c r="X165" s="51" t="str">
        <f t="shared" si="61"/>
        <v>CT</v>
      </c>
      <c r="Y165" s="51" t="str">
        <f t="shared" si="62"/>
        <v>24C</v>
      </c>
      <c r="Z165" s="51" t="str">
        <f t="shared" si="63"/>
        <v>SE</v>
      </c>
      <c r="AA165" s="51">
        <f t="shared" si="64"/>
        <v>4</v>
      </c>
      <c r="AB165" s="51">
        <f t="shared" si="65"/>
        <v>9</v>
      </c>
      <c r="AC165" s="53"/>
      <c r="AD165" s="57"/>
      <c r="AE165" s="57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</row>
    <row r="166" spans="1:41" ht="30" x14ac:dyDescent="0.25">
      <c r="A166" s="62" t="s">
        <v>168</v>
      </c>
      <c r="B166" s="62" t="s">
        <v>2578</v>
      </c>
      <c r="C166" s="62" t="s">
        <v>2579</v>
      </c>
      <c r="D166" s="62" t="s">
        <v>428</v>
      </c>
      <c r="E166" s="62" t="s">
        <v>2328</v>
      </c>
      <c r="F166" s="62">
        <v>11</v>
      </c>
      <c r="G166" s="62" t="s">
        <v>13</v>
      </c>
      <c r="H166" s="62">
        <v>14</v>
      </c>
      <c r="I166" s="62">
        <f t="shared" si="47"/>
        <v>154</v>
      </c>
      <c r="J166" s="51">
        <f t="shared" si="57"/>
        <v>55.5</v>
      </c>
      <c r="K166" s="51">
        <f t="shared" si="48"/>
        <v>55</v>
      </c>
      <c r="L166" s="51">
        <f t="shared" si="49"/>
        <v>12307</v>
      </c>
      <c r="M166" s="51">
        <f t="shared" si="50"/>
        <v>101</v>
      </c>
      <c r="N166" s="51" t="b">
        <f t="shared" si="58"/>
        <v>0</v>
      </c>
      <c r="O166" s="51" t="b">
        <f t="shared" si="59"/>
        <v>1</v>
      </c>
      <c r="P166" s="51" t="str">
        <f t="shared" si="51"/>
        <v>ct-11</v>
      </c>
      <c r="Q166" s="52" t="str">
        <f t="shared" si="52"/>
        <v>14C001378</v>
      </c>
      <c r="R166" s="51" t="b">
        <f t="shared" si="53"/>
        <v>0</v>
      </c>
      <c r="S166" s="51"/>
      <c r="T166" s="51" t="str">
        <f t="shared" si="54"/>
        <v>CT</v>
      </c>
      <c r="U166" s="51" t="str">
        <f t="shared" si="55"/>
        <v>ct</v>
      </c>
      <c r="V166" s="51">
        <f t="shared" si="56"/>
        <v>1</v>
      </c>
      <c r="W166" s="51" t="str">
        <f t="shared" si="60"/>
        <v>P017 11</v>
      </c>
      <c r="X166" s="51" t="str">
        <f t="shared" si="61"/>
        <v>CT</v>
      </c>
      <c r="Y166" s="51" t="str">
        <f t="shared" si="62"/>
        <v>14C</v>
      </c>
      <c r="Z166" s="51" t="str">
        <f t="shared" si="63"/>
        <v>UE</v>
      </c>
      <c r="AA166" s="51">
        <f t="shared" si="64"/>
        <v>4</v>
      </c>
      <c r="AB166" s="51">
        <f t="shared" si="65"/>
        <v>9</v>
      </c>
      <c r="AC166" s="53"/>
      <c r="AD166" s="57"/>
      <c r="AE166" s="57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</row>
    <row r="167" spans="1:41" ht="30" x14ac:dyDescent="0.25">
      <c r="A167" s="62" t="s">
        <v>162</v>
      </c>
      <c r="B167" s="62" t="s">
        <v>2580</v>
      </c>
      <c r="C167" s="62" t="s">
        <v>2581</v>
      </c>
      <c r="D167" s="62" t="s">
        <v>829</v>
      </c>
      <c r="E167" s="62" t="s">
        <v>1873</v>
      </c>
      <c r="F167" s="62">
        <v>11</v>
      </c>
      <c r="G167" s="62" t="s">
        <v>35</v>
      </c>
      <c r="H167" s="62">
        <v>16</v>
      </c>
      <c r="I167" s="62">
        <f t="shared" si="47"/>
        <v>176</v>
      </c>
      <c r="J167" s="51">
        <f t="shared" si="57"/>
        <v>39</v>
      </c>
      <c r="K167" s="51">
        <f t="shared" si="48"/>
        <v>38</v>
      </c>
      <c r="L167" s="51">
        <f t="shared" si="49"/>
        <v>4518</v>
      </c>
      <c r="M167" s="51">
        <f t="shared" si="50"/>
        <v>52</v>
      </c>
      <c r="N167" s="51" t="b">
        <f t="shared" si="58"/>
        <v>0</v>
      </c>
      <c r="O167" s="51" t="b">
        <f t="shared" si="59"/>
        <v>1</v>
      </c>
      <c r="P167" s="51" t="str">
        <f t="shared" si="51"/>
        <v>cans-11</v>
      </c>
      <c r="Q167" s="52" t="str">
        <f t="shared" si="52"/>
        <v>16C008832</v>
      </c>
      <c r="R167" s="51" t="b">
        <f t="shared" si="53"/>
        <v>0</v>
      </c>
      <c r="S167" s="51"/>
      <c r="T167" s="51" t="str">
        <f t="shared" si="54"/>
        <v>CANS</v>
      </c>
      <c r="U167" s="51" t="str">
        <f t="shared" si="55"/>
        <v>cans</v>
      </c>
      <c r="V167" s="51">
        <f t="shared" si="56"/>
        <v>1</v>
      </c>
      <c r="W167" s="51" t="str">
        <f t="shared" si="60"/>
        <v>P012 11</v>
      </c>
      <c r="X167" s="51" t="str">
        <f t="shared" si="61"/>
        <v>CAOS</v>
      </c>
      <c r="Y167" s="51" t="str">
        <f t="shared" si="62"/>
        <v>16C</v>
      </c>
      <c r="Z167" s="51" t="str">
        <f t="shared" si="63"/>
        <v>UE</v>
      </c>
      <c r="AA167" s="51">
        <f t="shared" si="64"/>
        <v>4</v>
      </c>
      <c r="AB167" s="51">
        <f t="shared" si="65"/>
        <v>9</v>
      </c>
      <c r="AC167" s="53"/>
      <c r="AD167" s="57"/>
      <c r="AE167" s="57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</row>
    <row r="168" spans="1:41" ht="30" x14ac:dyDescent="0.25">
      <c r="A168" s="62" t="s">
        <v>66</v>
      </c>
      <c r="B168" s="62" t="s">
        <v>2582</v>
      </c>
      <c r="C168" s="62" t="s">
        <v>2583</v>
      </c>
      <c r="D168" s="62" t="s">
        <v>267</v>
      </c>
      <c r="E168" s="62" t="s">
        <v>141</v>
      </c>
      <c r="F168" s="62">
        <v>6</v>
      </c>
      <c r="G168" s="62" t="s">
        <v>269</v>
      </c>
      <c r="H168" s="62">
        <v>13</v>
      </c>
      <c r="I168" s="62">
        <f t="shared" si="47"/>
        <v>78</v>
      </c>
      <c r="J168" s="51">
        <f t="shared" si="57"/>
        <v>132</v>
      </c>
      <c r="K168" s="51">
        <f t="shared" si="48"/>
        <v>132</v>
      </c>
      <c r="L168" s="51">
        <f t="shared" si="49"/>
        <v>559</v>
      </c>
      <c r="M168" s="51">
        <f t="shared" si="50"/>
        <v>7</v>
      </c>
      <c r="N168" s="51" t="b">
        <f t="shared" si="58"/>
        <v>1</v>
      </c>
      <c r="O168" s="51" t="b">
        <f t="shared" si="59"/>
        <v>0</v>
      </c>
      <c r="P168" s="51" t="str">
        <f t="shared" si="51"/>
        <v>ct.-6</v>
      </c>
      <c r="Q168" s="52" t="str">
        <f t="shared" si="52"/>
        <v>13C003497</v>
      </c>
      <c r="R168" s="51" t="b">
        <f t="shared" si="53"/>
        <v>0</v>
      </c>
      <c r="S168" s="51"/>
      <c r="T168" s="51" t="str">
        <f t="shared" si="54"/>
        <v>CT.</v>
      </c>
      <c r="U168" s="51" t="str">
        <f t="shared" si="55"/>
        <v>ct.</v>
      </c>
      <c r="V168" s="51">
        <f t="shared" si="56"/>
        <v>1</v>
      </c>
      <c r="W168" s="51" t="str">
        <f t="shared" si="60"/>
        <v>P027 6</v>
      </c>
      <c r="X168" s="51" t="str">
        <f t="shared" si="61"/>
        <v>CT.</v>
      </c>
      <c r="Y168" s="51" t="str">
        <f t="shared" si="62"/>
        <v>13C</v>
      </c>
      <c r="Z168" s="51" t="str">
        <f t="shared" si="63"/>
        <v>SE</v>
      </c>
      <c r="AA168" s="51">
        <f t="shared" si="64"/>
        <v>4</v>
      </c>
      <c r="AB168" s="51">
        <f t="shared" si="65"/>
        <v>9</v>
      </c>
      <c r="AC168" s="53"/>
      <c r="AD168" s="57"/>
      <c r="AE168" s="57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</row>
    <row r="169" spans="1:41" ht="30" x14ac:dyDescent="0.25">
      <c r="A169" s="62" t="s">
        <v>55</v>
      </c>
      <c r="B169" s="62" t="s">
        <v>2584</v>
      </c>
      <c r="C169" s="62" t="s">
        <v>2585</v>
      </c>
      <c r="D169" s="62" t="s">
        <v>1882</v>
      </c>
      <c r="E169" s="62" t="s">
        <v>2586</v>
      </c>
      <c r="F169" s="62">
        <v>9</v>
      </c>
      <c r="G169" s="62" t="s">
        <v>13</v>
      </c>
      <c r="H169" s="62">
        <v>18</v>
      </c>
      <c r="I169" s="62">
        <f t="shared" si="47"/>
        <v>162</v>
      </c>
      <c r="J169" s="51">
        <f t="shared" si="57"/>
        <v>46</v>
      </c>
      <c r="K169" s="51">
        <f t="shared" si="48"/>
        <v>46</v>
      </c>
      <c r="L169" s="51">
        <f t="shared" si="49"/>
        <v>12307</v>
      </c>
      <c r="M169" s="51">
        <f t="shared" si="50"/>
        <v>101</v>
      </c>
      <c r="N169" s="51" t="b">
        <f t="shared" si="58"/>
        <v>0</v>
      </c>
      <c r="O169" s="51" t="b">
        <f t="shared" si="59"/>
        <v>1</v>
      </c>
      <c r="P169" s="51" t="str">
        <f t="shared" si="51"/>
        <v>ct-9</v>
      </c>
      <c r="Q169" s="52" t="str">
        <f t="shared" si="52"/>
        <v>18C008451</v>
      </c>
      <c r="R169" s="51" t="b">
        <f t="shared" si="53"/>
        <v>0</v>
      </c>
      <c r="S169" s="51"/>
      <c r="T169" s="51" t="str">
        <f t="shared" si="54"/>
        <v>CT</v>
      </c>
      <c r="U169" s="51" t="str">
        <f t="shared" si="55"/>
        <v>ct</v>
      </c>
      <c r="V169" s="51">
        <f t="shared" si="56"/>
        <v>1</v>
      </c>
      <c r="W169" s="51" t="str">
        <f t="shared" si="60"/>
        <v>P006 9</v>
      </c>
      <c r="X169" s="51" t="str">
        <f t="shared" si="61"/>
        <v>CT</v>
      </c>
      <c r="Y169" s="51" t="str">
        <f t="shared" si="62"/>
        <v>18C</v>
      </c>
      <c r="Z169" s="51" t="str">
        <f t="shared" si="63"/>
        <v>UE</v>
      </c>
      <c r="AA169" s="51">
        <f t="shared" si="64"/>
        <v>4</v>
      </c>
      <c r="AB169" s="51">
        <f t="shared" si="65"/>
        <v>9</v>
      </c>
      <c r="AC169" s="53"/>
      <c r="AD169" s="57"/>
      <c r="AE169" s="57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</row>
    <row r="170" spans="1:41" ht="30" x14ac:dyDescent="0.25">
      <c r="A170" s="62" t="s">
        <v>101</v>
      </c>
      <c r="B170" s="62" t="s">
        <v>2587</v>
      </c>
      <c r="C170" s="62" t="s">
        <v>2588</v>
      </c>
      <c r="D170" s="62" t="s">
        <v>414</v>
      </c>
      <c r="E170" s="62" t="s">
        <v>2589</v>
      </c>
      <c r="F170" s="62">
        <v>7</v>
      </c>
      <c r="G170" s="62" t="s">
        <v>407</v>
      </c>
      <c r="H170" s="62">
        <v>15</v>
      </c>
      <c r="I170" s="62">
        <f t="shared" si="47"/>
        <v>105</v>
      </c>
      <c r="J170" s="51">
        <f t="shared" si="57"/>
        <v>104.5</v>
      </c>
      <c r="K170" s="51">
        <f t="shared" si="48"/>
        <v>103</v>
      </c>
      <c r="L170" s="51">
        <f t="shared" si="49"/>
        <v>801.5</v>
      </c>
      <c r="M170" s="51">
        <f t="shared" si="50"/>
        <v>10</v>
      </c>
      <c r="N170" s="51" t="b">
        <f t="shared" si="58"/>
        <v>1</v>
      </c>
      <c r="O170" s="51" t="b">
        <f t="shared" si="59"/>
        <v>0</v>
      </c>
      <c r="P170" s="51" t="str">
        <f t="shared" si="51"/>
        <v>pk-7</v>
      </c>
      <c r="Q170" s="52" t="str">
        <f t="shared" si="52"/>
        <v>15C004038</v>
      </c>
      <c r="R170" s="51" t="b">
        <f t="shared" si="53"/>
        <v>0</v>
      </c>
      <c r="S170" s="51"/>
      <c r="T170" s="51" t="str">
        <f t="shared" si="54"/>
        <v>PK</v>
      </c>
      <c r="U170" s="51" t="str">
        <f t="shared" si="55"/>
        <v>pk</v>
      </c>
      <c r="V170" s="51">
        <f t="shared" si="56"/>
        <v>1</v>
      </c>
      <c r="W170" s="51" t="str">
        <f t="shared" si="60"/>
        <v>P011 7</v>
      </c>
      <c r="X170" s="51" t="str">
        <f t="shared" si="61"/>
        <v>PK</v>
      </c>
      <c r="Y170" s="51" t="str">
        <f t="shared" si="62"/>
        <v>15C</v>
      </c>
      <c r="Z170" s="51" t="str">
        <f t="shared" si="63"/>
        <v>SE</v>
      </c>
      <c r="AA170" s="51">
        <f t="shared" si="64"/>
        <v>4</v>
      </c>
      <c r="AB170" s="51">
        <f t="shared" si="65"/>
        <v>9</v>
      </c>
      <c r="AC170" s="53"/>
      <c r="AD170" s="57"/>
      <c r="AE170" s="57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</row>
    <row r="171" spans="1:41" ht="30" x14ac:dyDescent="0.25">
      <c r="A171" s="62" t="s">
        <v>82</v>
      </c>
      <c r="B171" s="62" t="s">
        <v>2590</v>
      </c>
      <c r="C171" s="62" t="s">
        <v>2591</v>
      </c>
      <c r="D171" s="62" t="s">
        <v>1598</v>
      </c>
      <c r="E171" s="62" t="s">
        <v>342</v>
      </c>
      <c r="F171" s="62">
        <v>11</v>
      </c>
      <c r="G171" s="62" t="s">
        <v>13</v>
      </c>
      <c r="H171" s="62">
        <v>16</v>
      </c>
      <c r="I171" s="62">
        <f t="shared" si="47"/>
        <v>176</v>
      </c>
      <c r="J171" s="51">
        <f t="shared" si="57"/>
        <v>39</v>
      </c>
      <c r="K171" s="51">
        <f t="shared" si="48"/>
        <v>38</v>
      </c>
      <c r="L171" s="51">
        <f t="shared" si="49"/>
        <v>12307</v>
      </c>
      <c r="M171" s="51">
        <f t="shared" si="50"/>
        <v>101</v>
      </c>
      <c r="N171" s="51" t="b">
        <f t="shared" si="58"/>
        <v>0</v>
      </c>
      <c r="O171" s="51" t="b">
        <f t="shared" si="59"/>
        <v>1</v>
      </c>
      <c r="P171" s="51" t="str">
        <f t="shared" si="51"/>
        <v>ct-11</v>
      </c>
      <c r="Q171" s="52" t="str">
        <f t="shared" si="52"/>
        <v>16C005016</v>
      </c>
      <c r="R171" s="51" t="b">
        <f t="shared" si="53"/>
        <v>0</v>
      </c>
      <c r="S171" s="51"/>
      <c r="T171" s="51" t="str">
        <f t="shared" si="54"/>
        <v>CT</v>
      </c>
      <c r="U171" s="51" t="str">
        <f t="shared" si="55"/>
        <v>ct</v>
      </c>
      <c r="V171" s="51">
        <f t="shared" si="56"/>
        <v>1</v>
      </c>
      <c r="W171" s="51" t="str">
        <f t="shared" si="60"/>
        <v>P018 11</v>
      </c>
      <c r="X171" s="51" t="str">
        <f t="shared" si="61"/>
        <v>CT</v>
      </c>
      <c r="Y171" s="51" t="str">
        <f t="shared" si="62"/>
        <v>16C</v>
      </c>
      <c r="Z171" s="51" t="str">
        <f t="shared" si="63"/>
        <v>UE</v>
      </c>
      <c r="AA171" s="51">
        <f t="shared" si="64"/>
        <v>4</v>
      </c>
      <c r="AB171" s="51">
        <f t="shared" si="65"/>
        <v>9</v>
      </c>
      <c r="AC171" s="53"/>
      <c r="AD171" s="57"/>
      <c r="AE171" s="57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</row>
    <row r="172" spans="1:41" ht="30" x14ac:dyDescent="0.25">
      <c r="A172" s="62" t="s">
        <v>71</v>
      </c>
      <c r="B172" s="62" t="s">
        <v>2592</v>
      </c>
      <c r="C172" s="62" t="s">
        <v>2593</v>
      </c>
      <c r="D172" s="62" t="s">
        <v>789</v>
      </c>
      <c r="E172" s="62" t="s">
        <v>1845</v>
      </c>
      <c r="F172" s="62">
        <v>10</v>
      </c>
      <c r="G172" s="62" t="s">
        <v>35</v>
      </c>
      <c r="H172" s="62">
        <v>6.75</v>
      </c>
      <c r="I172" s="62">
        <f t="shared" si="47"/>
        <v>67.5</v>
      </c>
      <c r="J172" s="51">
        <f t="shared" si="57"/>
        <v>150</v>
      </c>
      <c r="K172" s="51">
        <f t="shared" si="48"/>
        <v>150</v>
      </c>
      <c r="L172" s="51">
        <f t="shared" si="49"/>
        <v>4518</v>
      </c>
      <c r="M172" s="51">
        <f t="shared" si="50"/>
        <v>52</v>
      </c>
      <c r="N172" s="51" t="b">
        <f t="shared" si="58"/>
        <v>1</v>
      </c>
      <c r="O172" s="51" t="b">
        <f t="shared" si="59"/>
        <v>0</v>
      </c>
      <c r="P172" s="51" t="str">
        <f t="shared" si="51"/>
        <v>cans-10</v>
      </c>
      <c r="Q172" s="52" t="str">
        <f t="shared" si="52"/>
        <v>6.75C001801</v>
      </c>
      <c r="R172" s="51" t="b">
        <f t="shared" si="53"/>
        <v>0</v>
      </c>
      <c r="S172" s="51"/>
      <c r="T172" s="51" t="str">
        <f t="shared" si="54"/>
        <v>CANS</v>
      </c>
      <c r="U172" s="51" t="str">
        <f t="shared" si="55"/>
        <v>cans</v>
      </c>
      <c r="V172" s="51">
        <f t="shared" si="56"/>
        <v>1</v>
      </c>
      <c r="W172" s="51" t="str">
        <f t="shared" si="60"/>
        <v>P025 10</v>
      </c>
      <c r="X172" s="51" t="str">
        <f t="shared" si="61"/>
        <v>CAOS</v>
      </c>
      <c r="Y172" s="51" t="str">
        <f t="shared" si="62"/>
        <v>6.7</v>
      </c>
      <c r="Z172" s="51" t="str">
        <f t="shared" si="63"/>
        <v>SE</v>
      </c>
      <c r="AA172" s="51">
        <f t="shared" si="64"/>
        <v>6</v>
      </c>
      <c r="AB172" s="51">
        <f t="shared" si="65"/>
        <v>11</v>
      </c>
      <c r="AC172" s="53"/>
      <c r="AD172" s="57"/>
      <c r="AE172" s="57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</row>
    <row r="173" spans="1:41" ht="30" x14ac:dyDescent="0.25">
      <c r="A173" s="62" t="s">
        <v>519</v>
      </c>
      <c r="B173" s="62" t="s">
        <v>2594</v>
      </c>
      <c r="C173" s="62" t="s">
        <v>2595</v>
      </c>
      <c r="D173" s="62" t="s">
        <v>1268</v>
      </c>
      <c r="E173" s="62" t="s">
        <v>991</v>
      </c>
      <c r="F173" s="62">
        <v>7</v>
      </c>
      <c r="G173" s="62" t="s">
        <v>167</v>
      </c>
      <c r="H173" s="62">
        <v>11</v>
      </c>
      <c r="I173" s="62">
        <f t="shared" si="47"/>
        <v>77</v>
      </c>
      <c r="J173" s="51">
        <f t="shared" si="57"/>
        <v>133</v>
      </c>
      <c r="K173" s="51">
        <f t="shared" si="48"/>
        <v>133</v>
      </c>
      <c r="L173" s="51">
        <f t="shared" si="49"/>
        <v>961.5</v>
      </c>
      <c r="M173" s="51">
        <f t="shared" si="50"/>
        <v>12</v>
      </c>
      <c r="N173" s="51" t="b">
        <f t="shared" si="58"/>
        <v>1</v>
      </c>
      <c r="O173" s="51" t="b">
        <f t="shared" si="59"/>
        <v>0</v>
      </c>
      <c r="P173" s="51" t="str">
        <f t="shared" si="51"/>
        <v>oz-7</v>
      </c>
      <c r="Q173" s="52" t="str">
        <f t="shared" si="52"/>
        <v>11C001112</v>
      </c>
      <c r="R173" s="51" t="b">
        <f t="shared" si="53"/>
        <v>0</v>
      </c>
      <c r="S173" s="51"/>
      <c r="T173" s="51" t="str">
        <f t="shared" si="54"/>
        <v>OZ</v>
      </c>
      <c r="U173" s="51" t="str">
        <f t="shared" si="55"/>
        <v>oz</v>
      </c>
      <c r="V173" s="51">
        <f t="shared" si="56"/>
        <v>1</v>
      </c>
      <c r="W173" s="51" t="str">
        <f t="shared" si="60"/>
        <v>P008 7</v>
      </c>
      <c r="X173" s="51" t="str">
        <f t="shared" si="61"/>
        <v>OZ</v>
      </c>
      <c r="Y173" s="51" t="str">
        <f t="shared" si="62"/>
        <v>11C</v>
      </c>
      <c r="Z173" s="51" t="str">
        <f t="shared" si="63"/>
        <v>SE</v>
      </c>
      <c r="AA173" s="51">
        <f t="shared" si="64"/>
        <v>4</v>
      </c>
      <c r="AB173" s="51">
        <f t="shared" si="65"/>
        <v>9</v>
      </c>
      <c r="AC173" s="53"/>
      <c r="AD173" s="57"/>
      <c r="AE173" s="57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</row>
    <row r="174" spans="1:41" ht="30" x14ac:dyDescent="0.25">
      <c r="A174" s="62" t="s">
        <v>519</v>
      </c>
      <c r="B174" s="62" t="s">
        <v>2596</v>
      </c>
      <c r="C174" s="62" t="s">
        <v>2597</v>
      </c>
      <c r="D174" s="62" t="s">
        <v>243</v>
      </c>
      <c r="E174" s="62" t="s">
        <v>2598</v>
      </c>
      <c r="F174" s="62">
        <v>2</v>
      </c>
      <c r="G174" s="62" t="s">
        <v>245</v>
      </c>
      <c r="H174" s="62">
        <v>12</v>
      </c>
      <c r="I174" s="62">
        <f t="shared" si="47"/>
        <v>24</v>
      </c>
      <c r="J174" s="51">
        <f t="shared" si="57"/>
        <v>208.5</v>
      </c>
      <c r="K174" s="51">
        <f t="shared" si="48"/>
        <v>207</v>
      </c>
      <c r="L174" s="51">
        <f t="shared" si="49"/>
        <v>108</v>
      </c>
      <c r="M174" s="51">
        <f t="shared" si="50"/>
        <v>2</v>
      </c>
      <c r="N174" s="51" t="b">
        <f t="shared" si="58"/>
        <v>1</v>
      </c>
      <c r="O174" s="51" t="b">
        <f t="shared" si="59"/>
        <v>0</v>
      </c>
      <c r="P174" s="51" t="str">
        <f t="shared" si="51"/>
        <v>tins-2</v>
      </c>
      <c r="Q174" s="52" t="str">
        <f t="shared" si="52"/>
        <v>12C005506</v>
      </c>
      <c r="R174" s="51" t="b">
        <f t="shared" si="53"/>
        <v>0</v>
      </c>
      <c r="S174" s="51"/>
      <c r="T174" s="51" t="str">
        <f t="shared" si="54"/>
        <v>TINS</v>
      </c>
      <c r="U174" s="51" t="str">
        <f t="shared" si="55"/>
        <v>tins</v>
      </c>
      <c r="V174" s="51">
        <f t="shared" si="56"/>
        <v>1</v>
      </c>
      <c r="W174" s="51" t="str">
        <f t="shared" si="60"/>
        <v>P008 2</v>
      </c>
      <c r="X174" s="51" t="str">
        <f t="shared" si="61"/>
        <v>TIOS</v>
      </c>
      <c r="Y174" s="51" t="str">
        <f t="shared" si="62"/>
        <v>12C</v>
      </c>
      <c r="Z174" s="51" t="str">
        <f t="shared" si="63"/>
        <v>SE</v>
      </c>
      <c r="AA174" s="51">
        <f t="shared" si="64"/>
        <v>4</v>
      </c>
      <c r="AB174" s="51">
        <f t="shared" si="65"/>
        <v>9</v>
      </c>
      <c r="AC174" s="53"/>
      <c r="AD174" s="57"/>
      <c r="AE174" s="57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</row>
    <row r="175" spans="1:41" ht="30" x14ac:dyDescent="0.25">
      <c r="A175" s="62" t="s">
        <v>137</v>
      </c>
      <c r="B175" s="62" t="s">
        <v>2599</v>
      </c>
      <c r="C175" s="62" t="s">
        <v>2600</v>
      </c>
      <c r="D175" s="62" t="s">
        <v>259</v>
      </c>
      <c r="E175" s="62" t="s">
        <v>1855</v>
      </c>
      <c r="F175" s="62">
        <v>1</v>
      </c>
      <c r="G175" s="62" t="s">
        <v>106</v>
      </c>
      <c r="H175" s="62">
        <v>17</v>
      </c>
      <c r="I175" s="62">
        <f t="shared" si="47"/>
        <v>17</v>
      </c>
      <c r="J175" s="51">
        <f t="shared" si="57"/>
        <v>223.5</v>
      </c>
      <c r="K175" s="51">
        <f t="shared" si="48"/>
        <v>223</v>
      </c>
      <c r="L175" s="51">
        <f t="shared" si="49"/>
        <v>1357</v>
      </c>
      <c r="M175" s="51">
        <f t="shared" si="50"/>
        <v>14</v>
      </c>
      <c r="N175" s="51" t="b">
        <f t="shared" si="58"/>
        <v>1</v>
      </c>
      <c r="O175" s="51" t="b">
        <f t="shared" si="59"/>
        <v>0</v>
      </c>
      <c r="P175" s="51" t="str">
        <f t="shared" si="51"/>
        <v>bags-1</v>
      </c>
      <c r="Q175" s="52" t="str">
        <f t="shared" si="52"/>
        <v>17C000537</v>
      </c>
      <c r="R175" s="51" t="b">
        <f t="shared" si="53"/>
        <v>0</v>
      </c>
      <c r="S175" s="51"/>
      <c r="T175" s="51" t="str">
        <f t="shared" si="54"/>
        <v>BAGS</v>
      </c>
      <c r="U175" s="51" t="str">
        <f t="shared" si="55"/>
        <v>bags</v>
      </c>
      <c r="V175" s="51">
        <f t="shared" si="56"/>
        <v>1</v>
      </c>
      <c r="W175" s="51" t="str">
        <f t="shared" si="60"/>
        <v>P020 1</v>
      </c>
      <c r="X175" s="51" t="str">
        <f t="shared" si="61"/>
        <v>BAGS</v>
      </c>
      <c r="Y175" s="51" t="str">
        <f t="shared" si="62"/>
        <v>17C</v>
      </c>
      <c r="Z175" s="51" t="str">
        <f t="shared" si="63"/>
        <v>SE</v>
      </c>
      <c r="AA175" s="51">
        <f t="shared" si="64"/>
        <v>4</v>
      </c>
      <c r="AB175" s="51">
        <f t="shared" si="65"/>
        <v>9</v>
      </c>
      <c r="AC175" s="53"/>
      <c r="AD175" s="57"/>
      <c r="AE175" s="57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</row>
    <row r="176" spans="1:41" ht="30" x14ac:dyDescent="0.25">
      <c r="A176" s="62" t="s">
        <v>55</v>
      </c>
      <c r="B176" s="62" t="s">
        <v>2601</v>
      </c>
      <c r="C176" s="62" t="s">
        <v>2602</v>
      </c>
      <c r="D176" s="62" t="s">
        <v>337</v>
      </c>
      <c r="E176" s="62" t="s">
        <v>1925</v>
      </c>
      <c r="F176" s="62">
        <v>1</v>
      </c>
      <c r="G176" s="62" t="s">
        <v>35</v>
      </c>
      <c r="H176" s="62">
        <v>6.75</v>
      </c>
      <c r="I176" s="62">
        <f t="shared" si="47"/>
        <v>6.75</v>
      </c>
      <c r="J176" s="51">
        <f t="shared" si="57"/>
        <v>242</v>
      </c>
      <c r="K176" s="51">
        <f t="shared" si="48"/>
        <v>241</v>
      </c>
      <c r="L176" s="51">
        <f t="shared" si="49"/>
        <v>4518</v>
      </c>
      <c r="M176" s="51">
        <f t="shared" si="50"/>
        <v>52</v>
      </c>
      <c r="N176" s="51" t="b">
        <f t="shared" si="58"/>
        <v>1</v>
      </c>
      <c r="O176" s="51" t="b">
        <f t="shared" si="59"/>
        <v>0</v>
      </c>
      <c r="P176" s="51" t="str">
        <f t="shared" si="51"/>
        <v>cans-1</v>
      </c>
      <c r="Q176" s="52" t="str">
        <f t="shared" si="52"/>
        <v>6.75C003277</v>
      </c>
      <c r="R176" s="51" t="b">
        <f t="shared" si="53"/>
        <v>0</v>
      </c>
      <c r="S176" s="51"/>
      <c r="T176" s="51" t="str">
        <f t="shared" si="54"/>
        <v>CANS</v>
      </c>
      <c r="U176" s="51" t="str">
        <f t="shared" si="55"/>
        <v>cans</v>
      </c>
      <c r="V176" s="51">
        <f t="shared" si="56"/>
        <v>1</v>
      </c>
      <c r="W176" s="51" t="str">
        <f t="shared" si="60"/>
        <v>P006 1</v>
      </c>
      <c r="X176" s="51" t="str">
        <f t="shared" si="61"/>
        <v>CAOS</v>
      </c>
      <c r="Y176" s="51" t="str">
        <f t="shared" si="62"/>
        <v>6.7</v>
      </c>
      <c r="Z176" s="51" t="str">
        <f t="shared" si="63"/>
        <v>SE</v>
      </c>
      <c r="AA176" s="51">
        <f t="shared" si="64"/>
        <v>6</v>
      </c>
      <c r="AB176" s="51">
        <f t="shared" si="65"/>
        <v>11</v>
      </c>
      <c r="AC176" s="53"/>
      <c r="AD176" s="57"/>
      <c r="AE176" s="57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</row>
    <row r="177" spans="1:41" ht="30" x14ac:dyDescent="0.25">
      <c r="A177" s="62" t="s">
        <v>146</v>
      </c>
      <c r="B177" s="62" t="s">
        <v>1847</v>
      </c>
      <c r="C177" s="62" t="s">
        <v>2603</v>
      </c>
      <c r="D177" s="62" t="s">
        <v>846</v>
      </c>
      <c r="E177" s="62" t="s">
        <v>1601</v>
      </c>
      <c r="F177" s="62">
        <v>9</v>
      </c>
      <c r="G177" s="62" t="s">
        <v>60</v>
      </c>
      <c r="H177" s="62">
        <v>23</v>
      </c>
      <c r="I177" s="62">
        <f t="shared" si="47"/>
        <v>207</v>
      </c>
      <c r="J177" s="51">
        <f t="shared" si="57"/>
        <v>25</v>
      </c>
      <c r="K177" s="51">
        <f t="shared" si="48"/>
        <v>25</v>
      </c>
      <c r="L177" s="51">
        <f t="shared" si="49"/>
        <v>3427</v>
      </c>
      <c r="M177" s="51">
        <f t="shared" si="50"/>
        <v>31</v>
      </c>
      <c r="N177" s="51" t="b">
        <f t="shared" si="58"/>
        <v>0</v>
      </c>
      <c r="O177" s="51" t="b">
        <f t="shared" si="59"/>
        <v>1</v>
      </c>
      <c r="P177" s="51" t="str">
        <f t="shared" si="51"/>
        <v>bottles-9</v>
      </c>
      <c r="Q177" s="52" t="str">
        <f t="shared" si="52"/>
        <v>23C005983</v>
      </c>
      <c r="R177" s="51" t="b">
        <f t="shared" si="53"/>
        <v>0</v>
      </c>
      <c r="S177" s="51"/>
      <c r="T177" s="51" t="str">
        <f t="shared" si="54"/>
        <v>BOTTLES</v>
      </c>
      <c r="U177" s="51" t="str">
        <f t="shared" si="55"/>
        <v>bottles</v>
      </c>
      <c r="V177" s="51">
        <f t="shared" si="56"/>
        <v>1</v>
      </c>
      <c r="W177" s="51" t="str">
        <f t="shared" si="60"/>
        <v>P010 9</v>
      </c>
      <c r="X177" s="51" t="str">
        <f t="shared" si="61"/>
        <v>BOTTLES</v>
      </c>
      <c r="Y177" s="51" t="str">
        <f t="shared" si="62"/>
        <v>23C</v>
      </c>
      <c r="Z177" s="51" t="str">
        <f t="shared" si="63"/>
        <v>UE</v>
      </c>
      <c r="AA177" s="51">
        <f t="shared" si="64"/>
        <v>4</v>
      </c>
      <c r="AB177" s="51">
        <f t="shared" si="65"/>
        <v>9</v>
      </c>
      <c r="AC177" s="53"/>
      <c r="AD177" s="57"/>
      <c r="AE177" s="57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</row>
    <row r="178" spans="1:41" ht="30" x14ac:dyDescent="0.25">
      <c r="A178" s="62" t="s">
        <v>61</v>
      </c>
      <c r="B178" s="62" t="s">
        <v>2604</v>
      </c>
      <c r="C178" s="62" t="s">
        <v>2605</v>
      </c>
      <c r="D178" s="62" t="s">
        <v>649</v>
      </c>
      <c r="E178" s="62" t="s">
        <v>982</v>
      </c>
      <c r="F178" s="62">
        <v>10</v>
      </c>
      <c r="G178" s="62" t="s">
        <v>60</v>
      </c>
      <c r="H178" s="62">
        <v>28</v>
      </c>
      <c r="I178" s="62">
        <f t="shared" si="47"/>
        <v>280</v>
      </c>
      <c r="J178" s="51">
        <f t="shared" si="57"/>
        <v>11</v>
      </c>
      <c r="K178" s="51">
        <f t="shared" si="48"/>
        <v>11</v>
      </c>
      <c r="L178" s="51">
        <f t="shared" si="49"/>
        <v>3427</v>
      </c>
      <c r="M178" s="51">
        <f t="shared" si="50"/>
        <v>31</v>
      </c>
      <c r="N178" s="51" t="b">
        <f t="shared" si="58"/>
        <v>0</v>
      </c>
      <c r="O178" s="51" t="b">
        <f t="shared" si="59"/>
        <v>1</v>
      </c>
      <c r="P178" s="51" t="str">
        <f t="shared" si="51"/>
        <v>bottles-10</v>
      </c>
      <c r="Q178" s="52" t="str">
        <f t="shared" si="52"/>
        <v>28C003179</v>
      </c>
      <c r="R178" s="51" t="b">
        <f t="shared" si="53"/>
        <v>0</v>
      </c>
      <c r="S178" s="51"/>
      <c r="T178" s="51" t="str">
        <f t="shared" si="54"/>
        <v>BOTTLES</v>
      </c>
      <c r="U178" s="51" t="str">
        <f t="shared" si="55"/>
        <v>bottles</v>
      </c>
      <c r="V178" s="51">
        <f t="shared" si="56"/>
        <v>1</v>
      </c>
      <c r="W178" s="51" t="str">
        <f t="shared" si="60"/>
        <v>P023 10</v>
      </c>
      <c r="X178" s="51" t="str">
        <f t="shared" si="61"/>
        <v>BOTTLES</v>
      </c>
      <c r="Y178" s="51" t="str">
        <f t="shared" si="62"/>
        <v>28C</v>
      </c>
      <c r="Z178" s="51" t="str">
        <f t="shared" si="63"/>
        <v>UE</v>
      </c>
      <c r="AA178" s="51">
        <f t="shared" si="64"/>
        <v>4</v>
      </c>
      <c r="AB178" s="51">
        <f t="shared" si="65"/>
        <v>9</v>
      </c>
      <c r="AC178" s="53"/>
      <c r="AD178" s="57"/>
      <c r="AE178" s="57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</row>
    <row r="179" spans="1:41" ht="30" x14ac:dyDescent="0.25">
      <c r="A179" s="62" t="s">
        <v>359</v>
      </c>
      <c r="B179" s="62" t="s">
        <v>2606</v>
      </c>
      <c r="C179" s="62" t="s">
        <v>2607</v>
      </c>
      <c r="D179" s="62" t="s">
        <v>17</v>
      </c>
      <c r="E179" s="62" t="s">
        <v>1865</v>
      </c>
      <c r="F179" s="62">
        <v>7</v>
      </c>
      <c r="G179" s="62" t="s">
        <v>19</v>
      </c>
      <c r="H179" s="62">
        <v>26</v>
      </c>
      <c r="I179" s="62">
        <f t="shared" si="47"/>
        <v>182</v>
      </c>
      <c r="J179" s="51">
        <f t="shared" si="57"/>
        <v>35</v>
      </c>
      <c r="K179" s="51">
        <f t="shared" si="48"/>
        <v>35</v>
      </c>
      <c r="L179" s="51">
        <f t="shared" si="49"/>
        <v>416</v>
      </c>
      <c r="M179" s="51">
        <f t="shared" si="50"/>
        <v>2</v>
      </c>
      <c r="N179" s="51" t="b">
        <f t="shared" si="58"/>
        <v>0</v>
      </c>
      <c r="O179" s="51" t="b">
        <f t="shared" si="59"/>
        <v>1</v>
      </c>
      <c r="P179" s="51" t="str">
        <f t="shared" si="51"/>
        <v>rolls-7</v>
      </c>
      <c r="Q179" s="52" t="str">
        <f t="shared" si="52"/>
        <v>26C005089</v>
      </c>
      <c r="R179" s="51" t="b">
        <f t="shared" si="53"/>
        <v>0</v>
      </c>
      <c r="S179" s="51"/>
      <c r="T179" s="51" t="str">
        <f t="shared" si="54"/>
        <v>ROLLS</v>
      </c>
      <c r="U179" s="51" t="str">
        <f t="shared" si="55"/>
        <v>rolls</v>
      </c>
      <c r="V179" s="51">
        <f t="shared" si="56"/>
        <v>1</v>
      </c>
      <c r="W179" s="51" t="str">
        <f t="shared" si="60"/>
        <v>P004 7</v>
      </c>
      <c r="X179" s="51" t="str">
        <f t="shared" si="61"/>
        <v>ROLLS</v>
      </c>
      <c r="Y179" s="51" t="str">
        <f t="shared" si="62"/>
        <v>26C</v>
      </c>
      <c r="Z179" s="51" t="str">
        <f t="shared" si="63"/>
        <v>UE</v>
      </c>
      <c r="AA179" s="51">
        <f t="shared" si="64"/>
        <v>4</v>
      </c>
      <c r="AB179" s="51">
        <f t="shared" si="65"/>
        <v>9</v>
      </c>
      <c r="AC179" s="53"/>
      <c r="AD179" s="57"/>
      <c r="AE179" s="57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</row>
    <row r="180" spans="1:41" ht="30" x14ac:dyDescent="0.25">
      <c r="A180" s="62" t="s">
        <v>162</v>
      </c>
      <c r="B180" s="62" t="s">
        <v>2608</v>
      </c>
      <c r="C180" s="62" t="s">
        <v>2609</v>
      </c>
      <c r="D180" s="62" t="s">
        <v>603</v>
      </c>
      <c r="E180" s="62" t="s">
        <v>1857</v>
      </c>
      <c r="F180" s="62">
        <v>5</v>
      </c>
      <c r="G180" s="62" t="s">
        <v>407</v>
      </c>
      <c r="H180" s="62">
        <v>21</v>
      </c>
      <c r="I180" s="62">
        <f t="shared" si="47"/>
        <v>105</v>
      </c>
      <c r="J180" s="51">
        <f t="shared" si="57"/>
        <v>104.5</v>
      </c>
      <c r="K180" s="51">
        <f t="shared" si="48"/>
        <v>103</v>
      </c>
      <c r="L180" s="51">
        <f t="shared" si="49"/>
        <v>801.5</v>
      </c>
      <c r="M180" s="51">
        <f t="shared" si="50"/>
        <v>10</v>
      </c>
      <c r="N180" s="51" t="b">
        <f t="shared" si="58"/>
        <v>1</v>
      </c>
      <c r="O180" s="51" t="b">
        <f t="shared" si="59"/>
        <v>0</v>
      </c>
      <c r="P180" s="51" t="str">
        <f t="shared" si="51"/>
        <v>pk-5</v>
      </c>
      <c r="Q180" s="52" t="str">
        <f t="shared" si="52"/>
        <v>21C003288</v>
      </c>
      <c r="R180" s="51" t="b">
        <f t="shared" si="53"/>
        <v>0</v>
      </c>
      <c r="S180" s="51"/>
      <c r="T180" s="51" t="str">
        <f t="shared" si="54"/>
        <v>PK</v>
      </c>
      <c r="U180" s="51" t="str">
        <f t="shared" si="55"/>
        <v>pk</v>
      </c>
      <c r="V180" s="51">
        <f t="shared" si="56"/>
        <v>1</v>
      </c>
      <c r="W180" s="51" t="str">
        <f t="shared" si="60"/>
        <v>P012 5</v>
      </c>
      <c r="X180" s="51" t="str">
        <f t="shared" si="61"/>
        <v>PK</v>
      </c>
      <c r="Y180" s="51" t="str">
        <f t="shared" si="62"/>
        <v>21C</v>
      </c>
      <c r="Z180" s="51" t="str">
        <f t="shared" si="63"/>
        <v>SE</v>
      </c>
      <c r="AA180" s="51">
        <f t="shared" si="64"/>
        <v>4</v>
      </c>
      <c r="AB180" s="51">
        <f t="shared" si="65"/>
        <v>9</v>
      </c>
      <c r="AC180" s="53"/>
      <c r="AD180" s="57"/>
      <c r="AE180" s="57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</row>
    <row r="181" spans="1:41" ht="30" x14ac:dyDescent="0.25">
      <c r="A181" s="62" t="s">
        <v>283</v>
      </c>
      <c r="B181" s="62" t="s">
        <v>2610</v>
      </c>
      <c r="C181" s="62" t="s">
        <v>2611</v>
      </c>
      <c r="D181" s="62" t="s">
        <v>366</v>
      </c>
      <c r="E181" s="62" t="s">
        <v>1833</v>
      </c>
      <c r="F181" s="62">
        <v>11</v>
      </c>
      <c r="G181" s="62" t="s">
        <v>60</v>
      </c>
      <c r="H181" s="62">
        <v>17.5</v>
      </c>
      <c r="I181" s="62">
        <f t="shared" si="47"/>
        <v>192.5</v>
      </c>
      <c r="J181" s="51">
        <f t="shared" si="57"/>
        <v>29</v>
      </c>
      <c r="K181" s="51">
        <f t="shared" si="48"/>
        <v>29</v>
      </c>
      <c r="L181" s="51">
        <f t="shared" si="49"/>
        <v>3427</v>
      </c>
      <c r="M181" s="51">
        <f t="shared" si="50"/>
        <v>31</v>
      </c>
      <c r="N181" s="51" t="b">
        <f t="shared" si="58"/>
        <v>0</v>
      </c>
      <c r="O181" s="51" t="b">
        <f t="shared" si="59"/>
        <v>1</v>
      </c>
      <c r="P181" s="51" t="str">
        <f t="shared" si="51"/>
        <v>bottles-11</v>
      </c>
      <c r="Q181" s="52" t="str">
        <f t="shared" si="52"/>
        <v>17.5C002786</v>
      </c>
      <c r="R181" s="51" t="b">
        <f t="shared" si="53"/>
        <v>0</v>
      </c>
      <c r="S181" s="51"/>
      <c r="T181" s="51" t="str">
        <f t="shared" si="54"/>
        <v>BOTTLES</v>
      </c>
      <c r="U181" s="51" t="str">
        <f t="shared" si="55"/>
        <v>bottles</v>
      </c>
      <c r="V181" s="51">
        <f t="shared" si="56"/>
        <v>1</v>
      </c>
      <c r="W181" s="51" t="str">
        <f t="shared" si="60"/>
        <v>P039 11</v>
      </c>
      <c r="X181" s="51" t="str">
        <f t="shared" si="61"/>
        <v>BOTTLES</v>
      </c>
      <c r="Y181" s="51" t="str">
        <f t="shared" si="62"/>
        <v>17.</v>
      </c>
      <c r="Z181" s="51" t="str">
        <f t="shared" si="63"/>
        <v>UE</v>
      </c>
      <c r="AA181" s="51">
        <f t="shared" si="64"/>
        <v>6</v>
      </c>
      <c r="AB181" s="51">
        <f t="shared" si="65"/>
        <v>11</v>
      </c>
      <c r="AC181" s="53"/>
      <c r="AD181" s="57"/>
      <c r="AE181" s="57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</row>
    <row r="182" spans="1:41" ht="30" x14ac:dyDescent="0.25">
      <c r="A182" s="62" t="s">
        <v>218</v>
      </c>
      <c r="B182" s="62" t="s">
        <v>2612</v>
      </c>
      <c r="C182" s="62" t="s">
        <v>2613</v>
      </c>
      <c r="D182" s="62" t="s">
        <v>552</v>
      </c>
      <c r="E182" s="62" t="s">
        <v>1821</v>
      </c>
      <c r="F182" s="62">
        <v>4</v>
      </c>
      <c r="G182" s="62" t="s">
        <v>60</v>
      </c>
      <c r="H182" s="62">
        <v>14</v>
      </c>
      <c r="I182" s="62">
        <f t="shared" si="47"/>
        <v>56</v>
      </c>
      <c r="J182" s="51">
        <f t="shared" si="57"/>
        <v>162.5</v>
      </c>
      <c r="K182" s="51">
        <f t="shared" si="48"/>
        <v>162</v>
      </c>
      <c r="L182" s="51">
        <f t="shared" si="49"/>
        <v>3427</v>
      </c>
      <c r="M182" s="51">
        <f t="shared" si="50"/>
        <v>31</v>
      </c>
      <c r="N182" s="51" t="b">
        <f t="shared" si="58"/>
        <v>1</v>
      </c>
      <c r="O182" s="51" t="b">
        <f t="shared" si="59"/>
        <v>0</v>
      </c>
      <c r="P182" s="51" t="str">
        <f t="shared" si="51"/>
        <v>bottles-4</v>
      </c>
      <c r="Q182" s="52" t="str">
        <f t="shared" si="52"/>
        <v>14C006589</v>
      </c>
      <c r="R182" s="51" t="b">
        <f t="shared" si="53"/>
        <v>0</v>
      </c>
      <c r="S182" s="51"/>
      <c r="T182" s="51" t="str">
        <f t="shared" si="54"/>
        <v>BOTTLES</v>
      </c>
      <c r="U182" s="51" t="str">
        <f t="shared" si="55"/>
        <v>bottles</v>
      </c>
      <c r="V182" s="51">
        <f t="shared" si="56"/>
        <v>1</v>
      </c>
      <c r="W182" s="51" t="str">
        <f t="shared" si="60"/>
        <v>P002 4</v>
      </c>
      <c r="X182" s="51" t="str">
        <f t="shared" si="61"/>
        <v>BOTTLES</v>
      </c>
      <c r="Y182" s="51" t="str">
        <f t="shared" si="62"/>
        <v>14C</v>
      </c>
      <c r="Z182" s="51" t="str">
        <f t="shared" si="63"/>
        <v>SE</v>
      </c>
      <c r="AA182" s="51">
        <f t="shared" si="64"/>
        <v>4</v>
      </c>
      <c r="AB182" s="51">
        <f t="shared" si="65"/>
        <v>9</v>
      </c>
      <c r="AC182" s="53"/>
      <c r="AD182" s="57"/>
      <c r="AE182" s="57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</row>
    <row r="183" spans="1:41" ht="30" x14ac:dyDescent="0.25">
      <c r="A183" s="62" t="s">
        <v>61</v>
      </c>
      <c r="B183" s="62" t="s">
        <v>2614</v>
      </c>
      <c r="C183" s="62" t="s">
        <v>1854</v>
      </c>
      <c r="D183" s="62" t="s">
        <v>1242</v>
      </c>
      <c r="E183" s="62" t="s">
        <v>1829</v>
      </c>
      <c r="F183" s="62">
        <v>2</v>
      </c>
      <c r="G183" s="62" t="s">
        <v>35</v>
      </c>
      <c r="H183" s="62">
        <v>40</v>
      </c>
      <c r="I183" s="62">
        <f t="shared" si="47"/>
        <v>80</v>
      </c>
      <c r="J183" s="51">
        <f t="shared" si="57"/>
        <v>128</v>
      </c>
      <c r="K183" s="51">
        <f t="shared" si="48"/>
        <v>125</v>
      </c>
      <c r="L183" s="51">
        <f t="shared" si="49"/>
        <v>4518</v>
      </c>
      <c r="M183" s="51">
        <f t="shared" si="50"/>
        <v>52</v>
      </c>
      <c r="N183" s="51" t="b">
        <f t="shared" si="58"/>
        <v>1</v>
      </c>
      <c r="O183" s="51" t="b">
        <f t="shared" si="59"/>
        <v>0</v>
      </c>
      <c r="P183" s="51" t="str">
        <f t="shared" si="51"/>
        <v>cans-2</v>
      </c>
      <c r="Q183" s="52" t="str">
        <f t="shared" si="52"/>
        <v>40C004824</v>
      </c>
      <c r="R183" s="51" t="b">
        <f t="shared" si="53"/>
        <v>0</v>
      </c>
      <c r="S183" s="51"/>
      <c r="T183" s="51" t="str">
        <f t="shared" si="54"/>
        <v>CANS</v>
      </c>
      <c r="U183" s="51" t="str">
        <f t="shared" si="55"/>
        <v>cans</v>
      </c>
      <c r="V183" s="51">
        <f t="shared" si="56"/>
        <v>1</v>
      </c>
      <c r="W183" s="51" t="str">
        <f t="shared" si="60"/>
        <v>P023 2</v>
      </c>
      <c r="X183" s="51" t="str">
        <f t="shared" si="61"/>
        <v>CAOS</v>
      </c>
      <c r="Y183" s="51" t="str">
        <f t="shared" si="62"/>
        <v>40C</v>
      </c>
      <c r="Z183" s="51" t="str">
        <f t="shared" si="63"/>
        <v>SE</v>
      </c>
      <c r="AA183" s="51">
        <f t="shared" si="64"/>
        <v>2</v>
      </c>
      <c r="AB183" s="51">
        <f t="shared" si="65"/>
        <v>9</v>
      </c>
      <c r="AC183" s="53"/>
      <c r="AD183" s="57"/>
      <c r="AE183" s="57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</row>
    <row r="184" spans="1:41" ht="30" x14ac:dyDescent="0.25">
      <c r="A184" s="62" t="s">
        <v>146</v>
      </c>
      <c r="B184" s="62" t="s">
        <v>2615</v>
      </c>
      <c r="C184" s="62" t="s">
        <v>2616</v>
      </c>
      <c r="D184" s="62" t="s">
        <v>541</v>
      </c>
      <c r="E184" s="62" t="s">
        <v>2006</v>
      </c>
      <c r="F184" s="62">
        <v>6</v>
      </c>
      <c r="G184" s="62" t="s">
        <v>13</v>
      </c>
      <c r="H184" s="62">
        <v>13.5</v>
      </c>
      <c r="I184" s="62">
        <f t="shared" si="47"/>
        <v>81</v>
      </c>
      <c r="J184" s="51">
        <f t="shared" si="57"/>
        <v>122.5</v>
      </c>
      <c r="K184" s="51">
        <f t="shared" si="48"/>
        <v>122</v>
      </c>
      <c r="L184" s="51">
        <f t="shared" si="49"/>
        <v>12307</v>
      </c>
      <c r="M184" s="51">
        <f t="shared" si="50"/>
        <v>101</v>
      </c>
      <c r="N184" s="51" t="b">
        <f t="shared" si="58"/>
        <v>1</v>
      </c>
      <c r="O184" s="51" t="b">
        <f t="shared" si="59"/>
        <v>0</v>
      </c>
      <c r="P184" s="51" t="str">
        <f t="shared" si="51"/>
        <v>ct-6</v>
      </c>
      <c r="Q184" s="52" t="str">
        <f t="shared" si="52"/>
        <v>13.5C000962</v>
      </c>
      <c r="R184" s="51" t="b">
        <f t="shared" si="53"/>
        <v>0</v>
      </c>
      <c r="S184" s="51"/>
      <c r="T184" s="51" t="str">
        <f t="shared" si="54"/>
        <v>CT</v>
      </c>
      <c r="U184" s="51" t="str">
        <f t="shared" si="55"/>
        <v>ct</v>
      </c>
      <c r="V184" s="51">
        <f t="shared" si="56"/>
        <v>1</v>
      </c>
      <c r="W184" s="51" t="str">
        <f t="shared" si="60"/>
        <v>P010 6</v>
      </c>
      <c r="X184" s="51" t="str">
        <f t="shared" si="61"/>
        <v>CT</v>
      </c>
      <c r="Y184" s="51" t="str">
        <f t="shared" si="62"/>
        <v>13.</v>
      </c>
      <c r="Z184" s="51" t="str">
        <f t="shared" si="63"/>
        <v>SE</v>
      </c>
      <c r="AA184" s="51">
        <f t="shared" si="64"/>
        <v>6</v>
      </c>
      <c r="AB184" s="51">
        <f t="shared" si="65"/>
        <v>11</v>
      </c>
      <c r="AC184" s="53"/>
      <c r="AD184" s="57"/>
      <c r="AE184" s="57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</row>
    <row r="185" spans="1:41" ht="30" x14ac:dyDescent="0.25">
      <c r="A185" s="62" t="s">
        <v>459</v>
      </c>
      <c r="B185" s="62" t="s">
        <v>2617</v>
      </c>
      <c r="C185" s="62" t="s">
        <v>2618</v>
      </c>
      <c r="D185" s="62" t="s">
        <v>476</v>
      </c>
      <c r="E185" s="62" t="s">
        <v>1947</v>
      </c>
      <c r="F185" s="62">
        <v>5</v>
      </c>
      <c r="G185" s="62" t="s">
        <v>13</v>
      </c>
      <c r="H185" s="62">
        <v>32</v>
      </c>
      <c r="I185" s="62">
        <f t="shared" si="47"/>
        <v>160</v>
      </c>
      <c r="J185" s="51">
        <f t="shared" si="57"/>
        <v>50.5</v>
      </c>
      <c r="K185" s="51">
        <f t="shared" si="48"/>
        <v>48</v>
      </c>
      <c r="L185" s="51">
        <f t="shared" si="49"/>
        <v>12307</v>
      </c>
      <c r="M185" s="51">
        <f t="shared" si="50"/>
        <v>101</v>
      </c>
      <c r="N185" s="51" t="b">
        <f t="shared" si="58"/>
        <v>0</v>
      </c>
      <c r="O185" s="51" t="b">
        <f t="shared" si="59"/>
        <v>1</v>
      </c>
      <c r="P185" s="51" t="str">
        <f t="shared" si="51"/>
        <v>ct-5</v>
      </c>
      <c r="Q185" s="52" t="str">
        <f t="shared" si="52"/>
        <v>32C001763</v>
      </c>
      <c r="R185" s="51" t="b">
        <f t="shared" si="53"/>
        <v>0</v>
      </c>
      <c r="S185" s="51"/>
      <c r="T185" s="51" t="str">
        <f t="shared" si="54"/>
        <v>CT</v>
      </c>
      <c r="U185" s="51" t="str">
        <f t="shared" si="55"/>
        <v>ct</v>
      </c>
      <c r="V185" s="51">
        <f t="shared" si="56"/>
        <v>1</v>
      </c>
      <c r="W185" s="51" t="str">
        <f t="shared" si="60"/>
        <v>P038 5</v>
      </c>
      <c r="X185" s="51" t="str">
        <f t="shared" si="61"/>
        <v>CT</v>
      </c>
      <c r="Y185" s="51" t="str">
        <f t="shared" si="62"/>
        <v>32C</v>
      </c>
      <c r="Z185" s="51" t="str">
        <f t="shared" si="63"/>
        <v>UE</v>
      </c>
      <c r="AA185" s="51">
        <f t="shared" si="64"/>
        <v>4</v>
      </c>
      <c r="AB185" s="51">
        <f t="shared" si="65"/>
        <v>9</v>
      </c>
      <c r="AC185" s="53"/>
      <c r="AD185" s="57"/>
      <c r="AE185" s="57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</row>
    <row r="186" spans="1:41" ht="30" x14ac:dyDescent="0.25">
      <c r="A186" s="62" t="s">
        <v>121</v>
      </c>
      <c r="B186" s="62" t="s">
        <v>2619</v>
      </c>
      <c r="C186" s="62" t="s">
        <v>2620</v>
      </c>
      <c r="D186" s="62" t="s">
        <v>719</v>
      </c>
      <c r="E186" s="62" t="s">
        <v>761</v>
      </c>
      <c r="F186" s="62">
        <v>6</v>
      </c>
      <c r="G186" s="62" t="s">
        <v>178</v>
      </c>
      <c r="H186" s="62">
        <v>15</v>
      </c>
      <c r="I186" s="62">
        <f t="shared" si="47"/>
        <v>90</v>
      </c>
      <c r="J186" s="51">
        <f t="shared" si="57"/>
        <v>118</v>
      </c>
      <c r="K186" s="51">
        <f t="shared" si="48"/>
        <v>117</v>
      </c>
      <c r="L186" s="51">
        <f t="shared" si="49"/>
        <v>225</v>
      </c>
      <c r="M186" s="51">
        <f t="shared" si="50"/>
        <v>2</v>
      </c>
      <c r="N186" s="51" t="b">
        <f t="shared" si="58"/>
        <v>1</v>
      </c>
      <c r="O186" s="51" t="b">
        <f t="shared" si="59"/>
        <v>0</v>
      </c>
      <c r="P186" s="51" t="str">
        <f t="shared" si="51"/>
        <v>tubs-6</v>
      </c>
      <c r="Q186" s="52" t="str">
        <f t="shared" si="52"/>
        <v>15C004343</v>
      </c>
      <c r="R186" s="51" t="b">
        <f t="shared" si="53"/>
        <v>0</v>
      </c>
      <c r="S186" s="51"/>
      <c r="T186" s="51" t="str">
        <f t="shared" si="54"/>
        <v>TUBS</v>
      </c>
      <c r="U186" s="51" t="str">
        <f t="shared" si="55"/>
        <v>tubs</v>
      </c>
      <c r="V186" s="51">
        <f t="shared" si="56"/>
        <v>1</v>
      </c>
      <c r="W186" s="51" t="str">
        <f t="shared" si="60"/>
        <v>P001 6</v>
      </c>
      <c r="X186" s="51" t="str">
        <f t="shared" si="61"/>
        <v>TUBS</v>
      </c>
      <c r="Y186" s="51" t="str">
        <f t="shared" si="62"/>
        <v>15C</v>
      </c>
      <c r="Z186" s="51" t="str">
        <f t="shared" si="63"/>
        <v>SE</v>
      </c>
      <c r="AA186" s="51">
        <f t="shared" si="64"/>
        <v>4</v>
      </c>
      <c r="AB186" s="51">
        <f t="shared" si="65"/>
        <v>9</v>
      </c>
      <c r="AC186" s="53"/>
      <c r="AD186" s="57"/>
      <c r="AE186" s="57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</row>
    <row r="187" spans="1:41" ht="30" x14ac:dyDescent="0.25">
      <c r="A187" s="62" t="s">
        <v>137</v>
      </c>
      <c r="B187" s="62" t="s">
        <v>2621</v>
      </c>
      <c r="C187" s="62" t="s">
        <v>2622</v>
      </c>
      <c r="D187" s="62" t="s">
        <v>1351</v>
      </c>
      <c r="E187" s="62" t="s">
        <v>1824</v>
      </c>
      <c r="F187" s="62">
        <v>11</v>
      </c>
      <c r="G187" s="62" t="s">
        <v>35</v>
      </c>
      <c r="H187" s="62">
        <v>6.75</v>
      </c>
      <c r="I187" s="62">
        <f t="shared" si="47"/>
        <v>74.25</v>
      </c>
      <c r="J187" s="51">
        <f t="shared" si="57"/>
        <v>136</v>
      </c>
      <c r="K187" s="51">
        <f t="shared" si="48"/>
        <v>136</v>
      </c>
      <c r="L187" s="51">
        <f t="shared" si="49"/>
        <v>4518</v>
      </c>
      <c r="M187" s="51">
        <f t="shared" si="50"/>
        <v>52</v>
      </c>
      <c r="N187" s="51" t="b">
        <f t="shared" si="58"/>
        <v>1</v>
      </c>
      <c r="O187" s="51" t="b">
        <f t="shared" si="59"/>
        <v>0</v>
      </c>
      <c r="P187" s="51" t="str">
        <f t="shared" si="51"/>
        <v>cans-11</v>
      </c>
      <c r="Q187" s="52" t="str">
        <f t="shared" si="52"/>
        <v>6.75C006510</v>
      </c>
      <c r="R187" s="51" t="b">
        <f t="shared" si="53"/>
        <v>0</v>
      </c>
      <c r="S187" s="51"/>
      <c r="T187" s="51" t="str">
        <f t="shared" si="54"/>
        <v>CANS</v>
      </c>
      <c r="U187" s="51" t="str">
        <f t="shared" si="55"/>
        <v>cans</v>
      </c>
      <c r="V187" s="51">
        <f t="shared" si="56"/>
        <v>1</v>
      </c>
      <c r="W187" s="51" t="str">
        <f t="shared" si="60"/>
        <v>P020 11</v>
      </c>
      <c r="X187" s="51" t="str">
        <f t="shared" si="61"/>
        <v>CAOS</v>
      </c>
      <c r="Y187" s="51" t="str">
        <f t="shared" si="62"/>
        <v>6.7</v>
      </c>
      <c r="Z187" s="51" t="str">
        <f t="shared" si="63"/>
        <v>SE</v>
      </c>
      <c r="AA187" s="51">
        <f t="shared" si="64"/>
        <v>6</v>
      </c>
      <c r="AB187" s="51">
        <f t="shared" si="65"/>
        <v>11</v>
      </c>
      <c r="AC187" s="53"/>
      <c r="AD187" s="57"/>
      <c r="AE187" s="57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</row>
    <row r="188" spans="1:41" ht="30" x14ac:dyDescent="0.25">
      <c r="A188" s="62" t="s">
        <v>173</v>
      </c>
      <c r="B188" s="62" t="s">
        <v>2623</v>
      </c>
      <c r="C188" s="62" t="s">
        <v>2624</v>
      </c>
      <c r="D188" s="62" t="s">
        <v>510</v>
      </c>
      <c r="E188" s="62" t="s">
        <v>1825</v>
      </c>
      <c r="F188" s="62">
        <v>8</v>
      </c>
      <c r="G188" s="62" t="s">
        <v>167</v>
      </c>
      <c r="H188" s="62">
        <v>10</v>
      </c>
      <c r="I188" s="62">
        <f t="shared" si="47"/>
        <v>80</v>
      </c>
      <c r="J188" s="51">
        <f t="shared" si="57"/>
        <v>128</v>
      </c>
      <c r="K188" s="51">
        <f t="shared" si="48"/>
        <v>125</v>
      </c>
      <c r="L188" s="51">
        <f t="shared" si="49"/>
        <v>961.5</v>
      </c>
      <c r="M188" s="51">
        <f t="shared" si="50"/>
        <v>12</v>
      </c>
      <c r="N188" s="51" t="b">
        <f t="shared" si="58"/>
        <v>1</v>
      </c>
      <c r="O188" s="51" t="b">
        <f t="shared" si="59"/>
        <v>0</v>
      </c>
      <c r="P188" s="51" t="str">
        <f t="shared" si="51"/>
        <v>oz-8</v>
      </c>
      <c r="Q188" s="52" t="str">
        <f t="shared" si="52"/>
        <v>10C003770</v>
      </c>
      <c r="R188" s="51" t="b">
        <f t="shared" si="53"/>
        <v>0</v>
      </c>
      <c r="S188" s="51"/>
      <c r="T188" s="51" t="str">
        <f t="shared" si="54"/>
        <v>OZ</v>
      </c>
      <c r="U188" s="51" t="str">
        <f t="shared" si="55"/>
        <v>oz</v>
      </c>
      <c r="V188" s="51">
        <f t="shared" si="56"/>
        <v>1</v>
      </c>
      <c r="W188" s="51" t="str">
        <f t="shared" si="60"/>
        <v>P033 8</v>
      </c>
      <c r="X188" s="51" t="str">
        <f t="shared" si="61"/>
        <v>OZ</v>
      </c>
      <c r="Y188" s="51" t="str">
        <f t="shared" si="62"/>
        <v>10C</v>
      </c>
      <c r="Z188" s="51" t="str">
        <f t="shared" si="63"/>
        <v>SE</v>
      </c>
      <c r="AA188" s="51">
        <f t="shared" si="64"/>
        <v>2</v>
      </c>
      <c r="AB188" s="51">
        <f t="shared" si="65"/>
        <v>9</v>
      </c>
      <c r="AC188" s="53"/>
      <c r="AD188" s="57"/>
      <c r="AE188" s="57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</row>
    <row r="189" spans="1:41" ht="30" x14ac:dyDescent="0.25">
      <c r="A189" s="62" t="s">
        <v>288</v>
      </c>
      <c r="B189" s="62" t="s">
        <v>2625</v>
      </c>
      <c r="C189" s="62" t="s">
        <v>2626</v>
      </c>
      <c r="D189" s="62" t="s">
        <v>1882</v>
      </c>
      <c r="E189" s="62" t="s">
        <v>808</v>
      </c>
      <c r="F189" s="62">
        <v>7</v>
      </c>
      <c r="G189" s="62" t="s">
        <v>13</v>
      </c>
      <c r="H189" s="62">
        <v>18</v>
      </c>
      <c r="I189" s="62">
        <f t="shared" si="47"/>
        <v>126</v>
      </c>
      <c r="J189" s="51">
        <f t="shared" si="57"/>
        <v>80.5</v>
      </c>
      <c r="K189" s="51">
        <f t="shared" si="48"/>
        <v>79</v>
      </c>
      <c r="L189" s="51">
        <f t="shared" si="49"/>
        <v>12307</v>
      </c>
      <c r="M189" s="51">
        <f t="shared" si="50"/>
        <v>101</v>
      </c>
      <c r="N189" s="51" t="b">
        <f t="shared" si="58"/>
        <v>0</v>
      </c>
      <c r="O189" s="51" t="b">
        <f t="shared" si="59"/>
        <v>1</v>
      </c>
      <c r="P189" s="51" t="str">
        <f t="shared" si="51"/>
        <v>ct-7</v>
      </c>
      <c r="Q189" s="52" t="str">
        <f t="shared" si="52"/>
        <v>18C004891</v>
      </c>
      <c r="R189" s="51" t="b">
        <f t="shared" si="53"/>
        <v>0</v>
      </c>
      <c r="S189" s="51"/>
      <c r="T189" s="51" t="str">
        <f t="shared" si="54"/>
        <v>CT</v>
      </c>
      <c r="U189" s="51" t="str">
        <f t="shared" si="55"/>
        <v>ct</v>
      </c>
      <c r="V189" s="51">
        <f t="shared" si="56"/>
        <v>1</v>
      </c>
      <c r="W189" s="51" t="str">
        <f t="shared" si="60"/>
        <v>P009 7</v>
      </c>
      <c r="X189" s="51" t="str">
        <f t="shared" si="61"/>
        <v>CT</v>
      </c>
      <c r="Y189" s="51" t="str">
        <f t="shared" si="62"/>
        <v>18C</v>
      </c>
      <c r="Z189" s="51" t="str">
        <f t="shared" si="63"/>
        <v>UE</v>
      </c>
      <c r="AA189" s="51">
        <f t="shared" si="64"/>
        <v>4</v>
      </c>
      <c r="AB189" s="51">
        <f t="shared" si="65"/>
        <v>9</v>
      </c>
      <c r="AC189" s="53"/>
      <c r="AD189" s="57"/>
      <c r="AE189" s="57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</row>
    <row r="190" spans="1:41" ht="30" x14ac:dyDescent="0.25">
      <c r="A190" s="62" t="s">
        <v>82</v>
      </c>
      <c r="B190" s="62" t="s">
        <v>2627</v>
      </c>
      <c r="C190" s="62" t="s">
        <v>2628</v>
      </c>
      <c r="D190" s="62" t="s">
        <v>537</v>
      </c>
      <c r="E190" s="62" t="s">
        <v>1190</v>
      </c>
      <c r="F190" s="62">
        <v>2</v>
      </c>
      <c r="G190" s="62" t="s">
        <v>60</v>
      </c>
      <c r="H190" s="62">
        <v>10</v>
      </c>
      <c r="I190" s="62">
        <f t="shared" si="47"/>
        <v>20</v>
      </c>
      <c r="J190" s="51">
        <f t="shared" si="57"/>
        <v>216.5</v>
      </c>
      <c r="K190" s="51">
        <f t="shared" si="48"/>
        <v>215</v>
      </c>
      <c r="L190" s="51">
        <f t="shared" si="49"/>
        <v>3427</v>
      </c>
      <c r="M190" s="51">
        <f t="shared" si="50"/>
        <v>31</v>
      </c>
      <c r="N190" s="51" t="b">
        <f t="shared" si="58"/>
        <v>1</v>
      </c>
      <c r="O190" s="51" t="b">
        <f t="shared" si="59"/>
        <v>0</v>
      </c>
      <c r="P190" s="51" t="str">
        <f t="shared" si="51"/>
        <v>bottles-2</v>
      </c>
      <c r="Q190" s="52" t="str">
        <f t="shared" si="52"/>
        <v>10C003250</v>
      </c>
      <c r="R190" s="51" t="b">
        <f t="shared" si="53"/>
        <v>0</v>
      </c>
      <c r="S190" s="51"/>
      <c r="T190" s="51" t="str">
        <f t="shared" si="54"/>
        <v>BOTTLES</v>
      </c>
      <c r="U190" s="51" t="str">
        <f t="shared" si="55"/>
        <v>bottles</v>
      </c>
      <c r="V190" s="51">
        <f t="shared" si="56"/>
        <v>1</v>
      </c>
      <c r="W190" s="51" t="str">
        <f t="shared" si="60"/>
        <v>P018 2</v>
      </c>
      <c r="X190" s="51" t="str">
        <f t="shared" si="61"/>
        <v>BOTTLES</v>
      </c>
      <c r="Y190" s="51" t="str">
        <f t="shared" si="62"/>
        <v>10C</v>
      </c>
      <c r="Z190" s="51" t="str">
        <f t="shared" si="63"/>
        <v>SE</v>
      </c>
      <c r="AA190" s="51">
        <f t="shared" si="64"/>
        <v>2</v>
      </c>
      <c r="AB190" s="51">
        <f t="shared" si="65"/>
        <v>9</v>
      </c>
      <c r="AC190" s="53"/>
      <c r="AD190" s="57"/>
      <c r="AE190" s="57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</row>
    <row r="191" spans="1:41" ht="30" x14ac:dyDescent="0.25">
      <c r="A191" s="62" t="s">
        <v>173</v>
      </c>
      <c r="B191" s="62" t="s">
        <v>92</v>
      </c>
      <c r="C191" s="62" t="s">
        <v>2629</v>
      </c>
      <c r="D191" s="62" t="s">
        <v>1420</v>
      </c>
      <c r="E191" s="62" t="s">
        <v>133</v>
      </c>
      <c r="F191" s="62">
        <v>9</v>
      </c>
      <c r="G191" s="62"/>
      <c r="H191" s="62">
        <v>17</v>
      </c>
      <c r="I191" s="62">
        <f t="shared" si="47"/>
        <v>153</v>
      </c>
      <c r="J191" s="51">
        <f t="shared" si="57"/>
        <v>58</v>
      </c>
      <c r="K191" s="51">
        <f t="shared" si="48"/>
        <v>57</v>
      </c>
      <c r="L191" s="51">
        <f t="shared" si="49"/>
        <v>0</v>
      </c>
      <c r="M191" s="51">
        <f t="shared" si="50"/>
        <v>0</v>
      </c>
      <c r="N191" s="51" t="b">
        <f t="shared" si="58"/>
        <v>0</v>
      </c>
      <c r="O191" s="51" t="b">
        <f t="shared" si="59"/>
        <v>1</v>
      </c>
      <c r="P191" s="51" t="str">
        <f t="shared" si="51"/>
        <v>-9</v>
      </c>
      <c r="Q191" s="52" t="str">
        <f t="shared" si="52"/>
        <v>17C000849</v>
      </c>
      <c r="R191" s="51" t="b">
        <f t="shared" si="53"/>
        <v>0</v>
      </c>
      <c r="S191" s="51"/>
      <c r="T191" s="51" t="str">
        <f t="shared" si="54"/>
        <v/>
      </c>
      <c r="U191" s="51" t="str">
        <f t="shared" si="55"/>
        <v/>
      </c>
      <c r="V191" s="51">
        <f t="shared" si="56"/>
        <v>1</v>
      </c>
      <c r="W191" s="51" t="str">
        <f t="shared" si="60"/>
        <v>P033 9</v>
      </c>
      <c r="X191" s="51" t="str">
        <f t="shared" si="61"/>
        <v/>
      </c>
      <c r="Y191" s="51" t="str">
        <f t="shared" si="62"/>
        <v>17C</v>
      </c>
      <c r="Z191" s="51" t="str">
        <f t="shared" si="63"/>
        <v>UE</v>
      </c>
      <c r="AA191" s="51">
        <f t="shared" si="64"/>
        <v>4</v>
      </c>
      <c r="AB191" s="51">
        <f t="shared" si="65"/>
        <v>9</v>
      </c>
      <c r="AC191" s="53"/>
      <c r="AD191" s="57"/>
      <c r="AE191" s="57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</row>
    <row r="192" spans="1:41" ht="30" x14ac:dyDescent="0.25">
      <c r="A192" s="62" t="s">
        <v>101</v>
      </c>
      <c r="B192" s="62" t="s">
        <v>2630</v>
      </c>
      <c r="C192" s="62" t="s">
        <v>2631</v>
      </c>
      <c r="D192" s="62" t="s">
        <v>1005</v>
      </c>
      <c r="E192" s="62" t="s">
        <v>2632</v>
      </c>
      <c r="F192" s="62">
        <v>1</v>
      </c>
      <c r="G192" s="62" t="s">
        <v>13</v>
      </c>
      <c r="H192" s="62">
        <v>16</v>
      </c>
      <c r="I192" s="62">
        <f t="shared" si="47"/>
        <v>16</v>
      </c>
      <c r="J192" s="51">
        <f t="shared" si="57"/>
        <v>229</v>
      </c>
      <c r="K192" s="51">
        <f t="shared" si="48"/>
        <v>227</v>
      </c>
      <c r="L192" s="51">
        <f t="shared" si="49"/>
        <v>12307</v>
      </c>
      <c r="M192" s="51">
        <f t="shared" si="50"/>
        <v>101</v>
      </c>
      <c r="N192" s="51" t="b">
        <f t="shared" si="58"/>
        <v>1</v>
      </c>
      <c r="O192" s="51" t="b">
        <f t="shared" si="59"/>
        <v>0</v>
      </c>
      <c r="P192" s="51" t="str">
        <f t="shared" si="51"/>
        <v>ct-1</v>
      </c>
      <c r="Q192" s="52" t="str">
        <f t="shared" si="52"/>
        <v>16C002114</v>
      </c>
      <c r="R192" s="51" t="b">
        <f t="shared" si="53"/>
        <v>0</v>
      </c>
      <c r="S192" s="51"/>
      <c r="T192" s="51" t="str">
        <f t="shared" si="54"/>
        <v>CT</v>
      </c>
      <c r="U192" s="51" t="str">
        <f t="shared" si="55"/>
        <v>ct</v>
      </c>
      <c r="V192" s="51">
        <f t="shared" si="56"/>
        <v>1</v>
      </c>
      <c r="W192" s="51" t="str">
        <f t="shared" si="60"/>
        <v>P011 1</v>
      </c>
      <c r="X192" s="51" t="str">
        <f t="shared" si="61"/>
        <v>CT</v>
      </c>
      <c r="Y192" s="51" t="str">
        <f t="shared" si="62"/>
        <v>16C</v>
      </c>
      <c r="Z192" s="51" t="str">
        <f t="shared" si="63"/>
        <v>SE</v>
      </c>
      <c r="AA192" s="51">
        <f t="shared" si="64"/>
        <v>4</v>
      </c>
      <c r="AB192" s="51">
        <f t="shared" si="65"/>
        <v>9</v>
      </c>
      <c r="AC192" s="53"/>
      <c r="AD192" s="57"/>
      <c r="AE192" s="57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</row>
    <row r="193" spans="1:41" ht="30" x14ac:dyDescent="0.25">
      <c r="A193" s="62" t="s">
        <v>71</v>
      </c>
      <c r="B193" s="62" t="s">
        <v>2633</v>
      </c>
      <c r="C193" s="62" t="s">
        <v>2634</v>
      </c>
      <c r="D193" s="62" t="s">
        <v>337</v>
      </c>
      <c r="E193" s="62" t="s">
        <v>2526</v>
      </c>
      <c r="F193" s="62">
        <v>4</v>
      </c>
      <c r="G193" s="62" t="s">
        <v>35</v>
      </c>
      <c r="H193" s="62">
        <v>6.75</v>
      </c>
      <c r="I193" s="62">
        <f t="shared" si="47"/>
        <v>27</v>
      </c>
      <c r="J193" s="51">
        <f t="shared" si="57"/>
        <v>203.5</v>
      </c>
      <c r="K193" s="51">
        <f t="shared" si="48"/>
        <v>203</v>
      </c>
      <c r="L193" s="51">
        <f t="shared" si="49"/>
        <v>4518</v>
      </c>
      <c r="M193" s="51">
        <f t="shared" si="50"/>
        <v>52</v>
      </c>
      <c r="N193" s="51" t="b">
        <f t="shared" si="58"/>
        <v>1</v>
      </c>
      <c r="O193" s="51" t="b">
        <f t="shared" si="59"/>
        <v>0</v>
      </c>
      <c r="P193" s="51" t="str">
        <f t="shared" si="51"/>
        <v>cans-4</v>
      </c>
      <c r="Q193" s="52" t="str">
        <f t="shared" si="52"/>
        <v>6.75C000102</v>
      </c>
      <c r="R193" s="51" t="b">
        <f t="shared" si="53"/>
        <v>0</v>
      </c>
      <c r="S193" s="51"/>
      <c r="T193" s="51" t="str">
        <f t="shared" si="54"/>
        <v>CANS</v>
      </c>
      <c r="U193" s="51" t="str">
        <f t="shared" si="55"/>
        <v>cans</v>
      </c>
      <c r="V193" s="51">
        <f t="shared" si="56"/>
        <v>1</v>
      </c>
      <c r="W193" s="51" t="str">
        <f t="shared" si="60"/>
        <v>P025 4</v>
      </c>
      <c r="X193" s="51" t="str">
        <f t="shared" si="61"/>
        <v>CAOS</v>
      </c>
      <c r="Y193" s="51" t="str">
        <f t="shared" si="62"/>
        <v>6.7</v>
      </c>
      <c r="Z193" s="51" t="str">
        <f t="shared" si="63"/>
        <v>SE</v>
      </c>
      <c r="AA193" s="51">
        <f t="shared" si="64"/>
        <v>6</v>
      </c>
      <c r="AB193" s="51">
        <f t="shared" si="65"/>
        <v>11</v>
      </c>
      <c r="AC193" s="53"/>
      <c r="AD193" s="57"/>
      <c r="AE193" s="57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</row>
    <row r="194" spans="1:41" ht="30" x14ac:dyDescent="0.25">
      <c r="A194" s="62" t="s">
        <v>224</v>
      </c>
      <c r="B194" s="62" t="s">
        <v>380</v>
      </c>
      <c r="C194" s="62" t="s">
        <v>2635</v>
      </c>
      <c r="D194" s="62" t="s">
        <v>286</v>
      </c>
      <c r="E194" s="62" t="s">
        <v>2346</v>
      </c>
      <c r="F194" s="62">
        <v>6</v>
      </c>
      <c r="G194" s="62" t="s">
        <v>106</v>
      </c>
      <c r="H194" s="62">
        <v>16</v>
      </c>
      <c r="I194" s="62">
        <f t="shared" si="47"/>
        <v>96</v>
      </c>
      <c r="J194" s="51">
        <f t="shared" si="57"/>
        <v>112.5</v>
      </c>
      <c r="K194" s="51">
        <f t="shared" si="48"/>
        <v>110</v>
      </c>
      <c r="L194" s="51">
        <f t="shared" si="49"/>
        <v>1357</v>
      </c>
      <c r="M194" s="51">
        <f t="shared" si="50"/>
        <v>14</v>
      </c>
      <c r="N194" s="51" t="b">
        <f t="shared" si="58"/>
        <v>1</v>
      </c>
      <c r="O194" s="51" t="b">
        <f t="shared" si="59"/>
        <v>0</v>
      </c>
      <c r="P194" s="51" t="str">
        <f t="shared" si="51"/>
        <v>bags-6</v>
      </c>
      <c r="Q194" s="52" t="str">
        <f t="shared" si="52"/>
        <v>16C001213</v>
      </c>
      <c r="R194" s="51" t="b">
        <f t="shared" si="53"/>
        <v>0</v>
      </c>
      <c r="S194" s="51"/>
      <c r="T194" s="51" t="str">
        <f t="shared" si="54"/>
        <v>BAGS</v>
      </c>
      <c r="U194" s="51" t="str">
        <f t="shared" si="55"/>
        <v>bags</v>
      </c>
      <c r="V194" s="51">
        <f t="shared" si="56"/>
        <v>1</v>
      </c>
      <c r="W194" s="51" t="str">
        <f t="shared" si="60"/>
        <v>P035 6</v>
      </c>
      <c r="X194" s="51" t="str">
        <f t="shared" si="61"/>
        <v>BAGS</v>
      </c>
      <c r="Y194" s="51" t="str">
        <f t="shared" si="62"/>
        <v>16C</v>
      </c>
      <c r="Z194" s="51" t="str">
        <f t="shared" si="63"/>
        <v>SE</v>
      </c>
      <c r="AA194" s="51">
        <f t="shared" si="64"/>
        <v>4</v>
      </c>
      <c r="AB194" s="51">
        <f t="shared" si="65"/>
        <v>9</v>
      </c>
      <c r="AC194" s="53"/>
      <c r="AD194" s="57"/>
      <c r="AE194" s="57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</row>
    <row r="195" spans="1:41" ht="30" x14ac:dyDescent="0.25">
      <c r="A195" s="62" t="s">
        <v>30</v>
      </c>
      <c r="B195" s="62" t="s">
        <v>2636</v>
      </c>
      <c r="C195" s="62" t="s">
        <v>2637</v>
      </c>
      <c r="D195" s="62" t="s">
        <v>1428</v>
      </c>
      <c r="E195" s="62" t="s">
        <v>2638</v>
      </c>
      <c r="F195" s="62">
        <v>9</v>
      </c>
      <c r="G195" s="62" t="s">
        <v>1072</v>
      </c>
      <c r="H195" s="62">
        <v>15</v>
      </c>
      <c r="I195" s="62">
        <f t="shared" si="47"/>
        <v>135</v>
      </c>
      <c r="J195" s="51">
        <f t="shared" si="57"/>
        <v>73.5</v>
      </c>
      <c r="K195" s="51">
        <f t="shared" si="48"/>
        <v>73</v>
      </c>
      <c r="L195" s="51">
        <f t="shared" si="49"/>
        <v>1357</v>
      </c>
      <c r="M195" s="51">
        <f t="shared" si="50"/>
        <v>14</v>
      </c>
      <c r="N195" s="51" t="b">
        <f t="shared" si="58"/>
        <v>0</v>
      </c>
      <c r="O195" s="51" t="b">
        <f t="shared" si="59"/>
        <v>1</v>
      </c>
      <c r="P195" s="51" t="str">
        <f t="shared" si="51"/>
        <v>Bags-9</v>
      </c>
      <c r="Q195" s="52" t="str">
        <f t="shared" si="52"/>
        <v>15C001680</v>
      </c>
      <c r="R195" s="51" t="b">
        <f t="shared" si="53"/>
        <v>0</v>
      </c>
      <c r="S195" s="51"/>
      <c r="T195" s="51" t="str">
        <f t="shared" si="54"/>
        <v>BAGS</v>
      </c>
      <c r="U195" s="51" t="str">
        <f t="shared" si="55"/>
        <v>bags</v>
      </c>
      <c r="V195" s="51">
        <f t="shared" si="56"/>
        <v>1</v>
      </c>
      <c r="W195" s="51" t="str">
        <f t="shared" si="60"/>
        <v>P014 9</v>
      </c>
      <c r="X195" s="51" t="str">
        <f t="shared" si="61"/>
        <v>BAGS</v>
      </c>
      <c r="Y195" s="51" t="str">
        <f t="shared" si="62"/>
        <v>15C</v>
      </c>
      <c r="Z195" s="51" t="str">
        <f t="shared" si="63"/>
        <v>UE</v>
      </c>
      <c r="AA195" s="51">
        <f t="shared" si="64"/>
        <v>4</v>
      </c>
      <c r="AB195" s="51">
        <f t="shared" si="65"/>
        <v>9</v>
      </c>
      <c r="AC195" s="53"/>
      <c r="AD195" s="57"/>
      <c r="AE195" s="57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</row>
    <row r="196" spans="1:41" ht="30" x14ac:dyDescent="0.25">
      <c r="A196" s="62" t="s">
        <v>743</v>
      </c>
      <c r="B196" s="62" t="s">
        <v>2639</v>
      </c>
      <c r="C196" s="62" t="s">
        <v>2640</v>
      </c>
      <c r="D196" s="62" t="s">
        <v>190</v>
      </c>
      <c r="E196" s="62" t="s">
        <v>371</v>
      </c>
      <c r="F196" s="62">
        <v>11</v>
      </c>
      <c r="G196" s="62" t="s">
        <v>13</v>
      </c>
      <c r="H196" s="62">
        <v>20</v>
      </c>
      <c r="I196" s="62">
        <f t="shared" si="47"/>
        <v>220</v>
      </c>
      <c r="J196" s="51">
        <f t="shared" si="57"/>
        <v>21.5</v>
      </c>
      <c r="K196" s="51">
        <f t="shared" si="48"/>
        <v>21</v>
      </c>
      <c r="L196" s="51">
        <f t="shared" si="49"/>
        <v>12307</v>
      </c>
      <c r="M196" s="51">
        <f t="shared" si="50"/>
        <v>101</v>
      </c>
      <c r="N196" s="51" t="b">
        <f t="shared" si="58"/>
        <v>0</v>
      </c>
      <c r="O196" s="51" t="b">
        <f t="shared" si="59"/>
        <v>1</v>
      </c>
      <c r="P196" s="51" t="str">
        <f t="shared" si="51"/>
        <v>ct-11</v>
      </c>
      <c r="Q196" s="52" t="str">
        <f t="shared" si="52"/>
        <v>20C004338</v>
      </c>
      <c r="R196" s="51" t="b">
        <f t="shared" si="53"/>
        <v>0</v>
      </c>
      <c r="S196" s="51"/>
      <c r="T196" s="51" t="str">
        <f t="shared" si="54"/>
        <v>CT</v>
      </c>
      <c r="U196" s="51" t="str">
        <f t="shared" si="55"/>
        <v>ct</v>
      </c>
      <c r="V196" s="51">
        <f t="shared" si="56"/>
        <v>1</v>
      </c>
      <c r="W196" s="51" t="str">
        <f t="shared" si="60"/>
        <v>P007 11</v>
      </c>
      <c r="X196" s="51" t="str">
        <f t="shared" si="61"/>
        <v>CT</v>
      </c>
      <c r="Y196" s="51" t="str">
        <f t="shared" si="62"/>
        <v>20C</v>
      </c>
      <c r="Z196" s="51" t="str">
        <f t="shared" si="63"/>
        <v>UE</v>
      </c>
      <c r="AA196" s="51">
        <f t="shared" si="64"/>
        <v>2</v>
      </c>
      <c r="AB196" s="51">
        <f t="shared" si="65"/>
        <v>9</v>
      </c>
      <c r="AC196" s="53"/>
      <c r="AD196" s="57"/>
      <c r="AE196" s="57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</row>
    <row r="197" spans="1:41" ht="30" x14ac:dyDescent="0.25">
      <c r="A197" s="62" t="s">
        <v>187</v>
      </c>
      <c r="B197" s="62" t="s">
        <v>2641</v>
      </c>
      <c r="C197" s="62" t="s">
        <v>2642</v>
      </c>
      <c r="D197" s="62" t="s">
        <v>746</v>
      </c>
      <c r="E197" s="62" t="s">
        <v>2513</v>
      </c>
      <c r="F197" s="62">
        <v>7</v>
      </c>
      <c r="G197" s="62" t="s">
        <v>35</v>
      </c>
      <c r="H197" s="62">
        <v>16</v>
      </c>
      <c r="I197" s="62">
        <f t="shared" si="47"/>
        <v>112</v>
      </c>
      <c r="J197" s="51">
        <f t="shared" si="57"/>
        <v>99</v>
      </c>
      <c r="K197" s="51">
        <f t="shared" si="48"/>
        <v>96</v>
      </c>
      <c r="L197" s="51">
        <f t="shared" si="49"/>
        <v>4518</v>
      </c>
      <c r="M197" s="51">
        <f t="shared" si="50"/>
        <v>52</v>
      </c>
      <c r="N197" s="51" t="b">
        <f t="shared" si="58"/>
        <v>0</v>
      </c>
      <c r="O197" s="51" t="b">
        <f t="shared" si="59"/>
        <v>1</v>
      </c>
      <c r="P197" s="51" t="str">
        <f t="shared" si="51"/>
        <v>cans-7</v>
      </c>
      <c r="Q197" s="52" t="str">
        <f t="shared" si="52"/>
        <v>16C000843</v>
      </c>
      <c r="R197" s="51" t="b">
        <f t="shared" si="53"/>
        <v>0</v>
      </c>
      <c r="S197" s="51"/>
      <c r="T197" s="51" t="str">
        <f t="shared" si="54"/>
        <v>CANS</v>
      </c>
      <c r="U197" s="51" t="str">
        <f t="shared" si="55"/>
        <v>cans</v>
      </c>
      <c r="V197" s="51">
        <f t="shared" si="56"/>
        <v>1</v>
      </c>
      <c r="W197" s="51" t="str">
        <f t="shared" si="60"/>
        <v>P029 7</v>
      </c>
      <c r="X197" s="51" t="str">
        <f t="shared" si="61"/>
        <v>CAOS</v>
      </c>
      <c r="Y197" s="51" t="str">
        <f t="shared" si="62"/>
        <v>16C</v>
      </c>
      <c r="Z197" s="51" t="str">
        <f t="shared" si="63"/>
        <v>UE</v>
      </c>
      <c r="AA197" s="51">
        <f t="shared" si="64"/>
        <v>4</v>
      </c>
      <c r="AB197" s="51">
        <f t="shared" si="65"/>
        <v>9</v>
      </c>
      <c r="AC197" s="53"/>
      <c r="AD197" s="57"/>
      <c r="AE197" s="57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</row>
    <row r="198" spans="1:41" ht="30" x14ac:dyDescent="0.25">
      <c r="A198" s="62" t="s">
        <v>307</v>
      </c>
      <c r="B198" s="62" t="s">
        <v>2643</v>
      </c>
      <c r="C198" s="62" t="s">
        <v>2644</v>
      </c>
      <c r="D198" s="62" t="s">
        <v>719</v>
      </c>
      <c r="E198" s="62" t="s">
        <v>115</v>
      </c>
      <c r="F198" s="62">
        <v>9</v>
      </c>
      <c r="G198" s="62" t="s">
        <v>178</v>
      </c>
      <c r="H198" s="62">
        <v>15</v>
      </c>
      <c r="I198" s="62">
        <f t="shared" ref="I198:I247" si="66">H198*F198</f>
        <v>135</v>
      </c>
      <c r="J198" s="51">
        <f t="shared" si="57"/>
        <v>73.5</v>
      </c>
      <c r="K198" s="51">
        <f t="shared" ref="K198:K247" si="67">_xlfn.RANK.EQ(I198,$I$5:$I$247)</f>
        <v>73</v>
      </c>
      <c r="L198" s="51">
        <f t="shared" ref="L198:L247" si="68">SUMIF(G$5:G$247,G198,I$5:I$247)</f>
        <v>225</v>
      </c>
      <c r="M198" s="51">
        <f t="shared" ref="M198:M247" si="69">COUNTIF($G$5:$G$247,G198)</f>
        <v>2</v>
      </c>
      <c r="N198" s="51" t="b">
        <f t="shared" si="58"/>
        <v>0</v>
      </c>
      <c r="O198" s="51" t="b">
        <f t="shared" si="59"/>
        <v>1</v>
      </c>
      <c r="P198" s="51" t="str">
        <f t="shared" ref="P198:P247" si="70">_xlfn.CONCAT(G198,"-",F198)</f>
        <v>tubs-9</v>
      </c>
      <c r="Q198" s="52" t="str">
        <f t="shared" ref="Q198:Q247" si="71">_xlfn.CONCAT(H198,B198)</f>
        <v>15C002871</v>
      </c>
      <c r="R198" s="51" t="b">
        <f t="shared" ref="R198:R247" si="72">EXACT(C198,D198)</f>
        <v>0</v>
      </c>
      <c r="S198" s="51"/>
      <c r="T198" s="51" t="str">
        <f t="shared" ref="T198:T247" si="73">UPPER(G198)</f>
        <v>TUBS</v>
      </c>
      <c r="U198" s="51" t="str">
        <f t="shared" ref="U198:U247" si="74">LOWER(G198)</f>
        <v>tubs</v>
      </c>
      <c r="V198" s="51">
        <f t="shared" ref="V198:V247" si="75">SEARCH("p",A198)</f>
        <v>1</v>
      </c>
      <c r="W198" s="51" t="str">
        <f t="shared" si="60"/>
        <v>P031 9</v>
      </c>
      <c r="X198" s="51" t="str">
        <f t="shared" si="61"/>
        <v>TUBS</v>
      </c>
      <c r="Y198" s="51" t="str">
        <f t="shared" si="62"/>
        <v>15C</v>
      </c>
      <c r="Z198" s="51" t="str">
        <f t="shared" si="63"/>
        <v>UE</v>
      </c>
      <c r="AA198" s="51">
        <f t="shared" si="64"/>
        <v>4</v>
      </c>
      <c r="AB198" s="51">
        <f t="shared" si="65"/>
        <v>9</v>
      </c>
      <c r="AC198" s="53"/>
      <c r="AD198" s="57"/>
      <c r="AE198" s="57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</row>
    <row r="199" spans="1:41" ht="30" x14ac:dyDescent="0.25">
      <c r="A199" s="62" t="s">
        <v>96</v>
      </c>
      <c r="B199" s="62" t="s">
        <v>2645</v>
      </c>
      <c r="C199" s="62" t="s">
        <v>2646</v>
      </c>
      <c r="D199" s="62" t="s">
        <v>326</v>
      </c>
      <c r="E199" s="62" t="s">
        <v>1527</v>
      </c>
      <c r="F199" s="62">
        <v>2</v>
      </c>
      <c r="G199" s="62" t="s">
        <v>35</v>
      </c>
      <c r="H199" s="62">
        <v>40</v>
      </c>
      <c r="I199" s="62">
        <f t="shared" si="66"/>
        <v>80</v>
      </c>
      <c r="J199" s="51">
        <f t="shared" si="57"/>
        <v>128</v>
      </c>
      <c r="K199" s="51">
        <f t="shared" si="67"/>
        <v>125</v>
      </c>
      <c r="L199" s="51">
        <f t="shared" si="68"/>
        <v>4518</v>
      </c>
      <c r="M199" s="51">
        <f t="shared" si="69"/>
        <v>52</v>
      </c>
      <c r="N199" s="51" t="b">
        <f t="shared" si="58"/>
        <v>1</v>
      </c>
      <c r="O199" s="51" t="b">
        <f t="shared" si="59"/>
        <v>0</v>
      </c>
      <c r="P199" s="51" t="str">
        <f t="shared" si="70"/>
        <v>cans-2</v>
      </c>
      <c r="Q199" s="52" t="str">
        <f t="shared" si="71"/>
        <v>40C001183</v>
      </c>
      <c r="R199" s="51" t="b">
        <f t="shared" si="72"/>
        <v>0</v>
      </c>
      <c r="S199" s="51"/>
      <c r="T199" s="51" t="str">
        <f t="shared" si="73"/>
        <v>CANS</v>
      </c>
      <c r="U199" s="51" t="str">
        <f t="shared" si="74"/>
        <v>cans</v>
      </c>
      <c r="V199" s="51">
        <f t="shared" si="75"/>
        <v>1</v>
      </c>
      <c r="W199" s="51" t="str">
        <f t="shared" si="60"/>
        <v>P016 2</v>
      </c>
      <c r="X199" s="51" t="str">
        <f t="shared" si="61"/>
        <v>CAOS</v>
      </c>
      <c r="Y199" s="51" t="str">
        <f t="shared" si="62"/>
        <v>40C</v>
      </c>
      <c r="Z199" s="51" t="str">
        <f t="shared" si="63"/>
        <v>SE</v>
      </c>
      <c r="AA199" s="51">
        <f t="shared" si="64"/>
        <v>2</v>
      </c>
      <c r="AB199" s="51">
        <f t="shared" si="65"/>
        <v>9</v>
      </c>
      <c r="AC199" s="53"/>
      <c r="AD199" s="57"/>
      <c r="AE199" s="57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</row>
    <row r="200" spans="1:41" x14ac:dyDescent="0.25">
      <c r="A200" s="62" t="s">
        <v>218</v>
      </c>
      <c r="B200" s="62" t="s">
        <v>2647</v>
      </c>
      <c r="C200" s="62" t="s">
        <v>2648</v>
      </c>
      <c r="D200" s="62" t="s">
        <v>132</v>
      </c>
      <c r="E200" s="62" t="s">
        <v>1325</v>
      </c>
      <c r="F200" s="62">
        <v>2</v>
      </c>
      <c r="G200" s="62" t="s">
        <v>35</v>
      </c>
      <c r="H200" s="62">
        <v>8</v>
      </c>
      <c r="I200" s="62">
        <f t="shared" si="66"/>
        <v>16</v>
      </c>
      <c r="J200" s="51">
        <f t="shared" si="57"/>
        <v>229</v>
      </c>
      <c r="K200" s="51">
        <f t="shared" si="67"/>
        <v>227</v>
      </c>
      <c r="L200" s="51">
        <f t="shared" si="68"/>
        <v>4518</v>
      </c>
      <c r="M200" s="51">
        <f t="shared" si="69"/>
        <v>52</v>
      </c>
      <c r="N200" s="51" t="b">
        <f t="shared" si="58"/>
        <v>1</v>
      </c>
      <c r="O200" s="51" t="b">
        <f t="shared" si="59"/>
        <v>0</v>
      </c>
      <c r="P200" s="51" t="str">
        <f t="shared" si="70"/>
        <v>cans-2</v>
      </c>
      <c r="Q200" s="52" t="str">
        <f t="shared" si="71"/>
        <v>8C006591</v>
      </c>
      <c r="R200" s="51" t="b">
        <f t="shared" si="72"/>
        <v>0</v>
      </c>
      <c r="S200" s="51"/>
      <c r="T200" s="51" t="str">
        <f t="shared" si="73"/>
        <v>CANS</v>
      </c>
      <c r="U200" s="51" t="str">
        <f t="shared" si="74"/>
        <v>cans</v>
      </c>
      <c r="V200" s="51">
        <f t="shared" si="75"/>
        <v>1</v>
      </c>
      <c r="W200" s="51" t="str">
        <f t="shared" si="60"/>
        <v>P002 2</v>
      </c>
      <c r="X200" s="51" t="str">
        <f t="shared" si="61"/>
        <v>CAOS</v>
      </c>
      <c r="Y200" s="51" t="str">
        <f t="shared" si="62"/>
        <v>8C0</v>
      </c>
      <c r="Z200" s="51" t="str">
        <f t="shared" si="63"/>
        <v>SE</v>
      </c>
      <c r="AA200" s="51">
        <f t="shared" si="64"/>
        <v>3</v>
      </c>
      <c r="AB200" s="51">
        <f t="shared" si="65"/>
        <v>8</v>
      </c>
      <c r="AC200" s="53"/>
      <c r="AD200" s="57"/>
      <c r="AE200" s="57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</row>
    <row r="201" spans="1:41" ht="30" x14ac:dyDescent="0.25">
      <c r="A201" s="62" t="s">
        <v>339</v>
      </c>
      <c r="B201" s="62" t="s">
        <v>2649</v>
      </c>
      <c r="C201" s="62" t="s">
        <v>2650</v>
      </c>
      <c r="D201" s="62" t="s">
        <v>556</v>
      </c>
      <c r="E201" s="62" t="s">
        <v>2526</v>
      </c>
      <c r="F201" s="62">
        <v>1</v>
      </c>
      <c r="G201" s="62" t="s">
        <v>402</v>
      </c>
      <c r="H201" s="62">
        <v>19.5</v>
      </c>
      <c r="I201" s="62">
        <f t="shared" si="66"/>
        <v>19.5</v>
      </c>
      <c r="J201" s="51">
        <f t="shared" ref="J201:J247" si="76">_xlfn.RANK.AVG(I201,$I$5:$I$247)</f>
        <v>219.5</v>
      </c>
      <c r="K201" s="51">
        <f t="shared" si="67"/>
        <v>219</v>
      </c>
      <c r="L201" s="51">
        <f t="shared" si="68"/>
        <v>576</v>
      </c>
      <c r="M201" s="51">
        <f t="shared" si="69"/>
        <v>5</v>
      </c>
      <c r="N201" s="51" t="b">
        <f t="shared" si="58"/>
        <v>1</v>
      </c>
      <c r="O201" s="51" t="b">
        <f t="shared" si="59"/>
        <v>0</v>
      </c>
      <c r="P201" s="51" t="str">
        <f t="shared" si="70"/>
        <v>pack-1</v>
      </c>
      <c r="Q201" s="52" t="str">
        <f t="shared" si="71"/>
        <v>19.5C007039</v>
      </c>
      <c r="R201" s="51" t="b">
        <f t="shared" si="72"/>
        <v>0</v>
      </c>
      <c r="S201" s="51"/>
      <c r="T201" s="51" t="str">
        <f t="shared" si="73"/>
        <v>PACK</v>
      </c>
      <c r="U201" s="51" t="str">
        <f t="shared" si="74"/>
        <v>pack</v>
      </c>
      <c r="V201" s="51">
        <f t="shared" si="75"/>
        <v>1</v>
      </c>
      <c r="W201" s="51" t="str">
        <f t="shared" si="60"/>
        <v>P037 1</v>
      </c>
      <c r="X201" s="51" t="str">
        <f t="shared" si="61"/>
        <v>PACK</v>
      </c>
      <c r="Y201" s="51" t="str">
        <f t="shared" si="62"/>
        <v>19.</v>
      </c>
      <c r="Z201" s="51" t="str">
        <f t="shared" si="63"/>
        <v>SE</v>
      </c>
      <c r="AA201" s="51">
        <f t="shared" si="64"/>
        <v>6</v>
      </c>
      <c r="AB201" s="51">
        <f t="shared" si="65"/>
        <v>11</v>
      </c>
      <c r="AC201" s="53"/>
      <c r="AD201" s="57"/>
      <c r="AE201" s="57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</row>
    <row r="202" spans="1:41" ht="30" x14ac:dyDescent="0.25">
      <c r="A202" s="62" t="s">
        <v>359</v>
      </c>
      <c r="B202" s="62" t="s">
        <v>2651</v>
      </c>
      <c r="C202" s="62" t="s">
        <v>2652</v>
      </c>
      <c r="D202" s="62" t="s">
        <v>1054</v>
      </c>
      <c r="E202" s="62" t="s">
        <v>896</v>
      </c>
      <c r="F202" s="62">
        <v>8</v>
      </c>
      <c r="G202" s="62" t="s">
        <v>60</v>
      </c>
      <c r="H202" s="62">
        <v>23</v>
      </c>
      <c r="I202" s="62">
        <f t="shared" si="66"/>
        <v>184</v>
      </c>
      <c r="J202" s="51">
        <f t="shared" si="76"/>
        <v>33.5</v>
      </c>
      <c r="K202" s="51">
        <f t="shared" si="67"/>
        <v>33</v>
      </c>
      <c r="L202" s="51">
        <f t="shared" si="68"/>
        <v>3427</v>
      </c>
      <c r="M202" s="51">
        <f t="shared" si="69"/>
        <v>31</v>
      </c>
      <c r="N202" s="51" t="b">
        <f t="shared" si="58"/>
        <v>0</v>
      </c>
      <c r="O202" s="51" t="b">
        <f t="shared" si="59"/>
        <v>1</v>
      </c>
      <c r="P202" s="51" t="str">
        <f t="shared" si="70"/>
        <v>bottles-8</v>
      </c>
      <c r="Q202" s="52" t="str">
        <f t="shared" si="71"/>
        <v>23C002229</v>
      </c>
      <c r="R202" s="51" t="b">
        <f t="shared" si="72"/>
        <v>0</v>
      </c>
      <c r="S202" s="51"/>
      <c r="T202" s="51" t="str">
        <f t="shared" si="73"/>
        <v>BOTTLES</v>
      </c>
      <c r="U202" s="51" t="str">
        <f t="shared" si="74"/>
        <v>bottles</v>
      </c>
      <c r="V202" s="51">
        <f t="shared" si="75"/>
        <v>1</v>
      </c>
      <c r="W202" s="51" t="str">
        <f t="shared" si="60"/>
        <v>P004 8</v>
      </c>
      <c r="X202" s="51" t="str">
        <f t="shared" si="61"/>
        <v>BOTTLES</v>
      </c>
      <c r="Y202" s="51" t="str">
        <f t="shared" si="62"/>
        <v>23C</v>
      </c>
      <c r="Z202" s="51" t="str">
        <f t="shared" si="63"/>
        <v>UE</v>
      </c>
      <c r="AA202" s="51">
        <f t="shared" si="64"/>
        <v>4</v>
      </c>
      <c r="AB202" s="51">
        <f t="shared" si="65"/>
        <v>9</v>
      </c>
      <c r="AC202" s="53"/>
      <c r="AD202" s="57"/>
      <c r="AE202" s="57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</row>
    <row r="203" spans="1:41" x14ac:dyDescent="0.25">
      <c r="A203" s="62" t="s">
        <v>101</v>
      </c>
      <c r="B203" s="62" t="s">
        <v>2653</v>
      </c>
      <c r="C203" s="62" t="s">
        <v>2654</v>
      </c>
      <c r="D203" s="62" t="s">
        <v>305</v>
      </c>
      <c r="E203" s="62" t="s">
        <v>798</v>
      </c>
      <c r="F203" s="62">
        <v>4</v>
      </c>
      <c r="G203" s="62" t="s">
        <v>35</v>
      </c>
      <c r="H203" s="62">
        <v>8</v>
      </c>
      <c r="I203" s="62">
        <f t="shared" si="66"/>
        <v>32</v>
      </c>
      <c r="J203" s="51">
        <f t="shared" si="76"/>
        <v>194</v>
      </c>
      <c r="K203" s="51">
        <f t="shared" si="67"/>
        <v>193</v>
      </c>
      <c r="L203" s="51">
        <f t="shared" si="68"/>
        <v>4518</v>
      </c>
      <c r="M203" s="51">
        <f t="shared" si="69"/>
        <v>52</v>
      </c>
      <c r="N203" s="51" t="b">
        <f t="shared" si="58"/>
        <v>1</v>
      </c>
      <c r="O203" s="51" t="b">
        <f t="shared" si="59"/>
        <v>0</v>
      </c>
      <c r="P203" s="51" t="str">
        <f t="shared" si="70"/>
        <v>cans-4</v>
      </c>
      <c r="Q203" s="52" t="str">
        <f t="shared" si="71"/>
        <v>8C004136</v>
      </c>
      <c r="R203" s="51" t="b">
        <f t="shared" si="72"/>
        <v>0</v>
      </c>
      <c r="S203" s="51"/>
      <c r="T203" s="51" t="str">
        <f t="shared" si="73"/>
        <v>CANS</v>
      </c>
      <c r="U203" s="51" t="str">
        <f t="shared" si="74"/>
        <v>cans</v>
      </c>
      <c r="V203" s="51">
        <f t="shared" si="75"/>
        <v>1</v>
      </c>
      <c r="W203" s="51" t="str">
        <f t="shared" si="60"/>
        <v>P011 4</v>
      </c>
      <c r="X203" s="51" t="str">
        <f t="shared" si="61"/>
        <v>CAOS</v>
      </c>
      <c r="Y203" s="51" t="str">
        <f t="shared" si="62"/>
        <v>8C0</v>
      </c>
      <c r="Z203" s="51" t="str">
        <f t="shared" si="63"/>
        <v>SE</v>
      </c>
      <c r="AA203" s="51">
        <f t="shared" si="64"/>
        <v>3</v>
      </c>
      <c r="AB203" s="51">
        <f t="shared" si="65"/>
        <v>8</v>
      </c>
      <c r="AC203" s="53"/>
      <c r="AD203" s="57"/>
      <c r="AE203" s="57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</row>
    <row r="204" spans="1:41" ht="30" x14ac:dyDescent="0.25">
      <c r="A204" s="62" t="s">
        <v>459</v>
      </c>
      <c r="B204" s="62" t="s">
        <v>2655</v>
      </c>
      <c r="C204" s="62" t="s">
        <v>2656</v>
      </c>
      <c r="D204" s="62" t="s">
        <v>967</v>
      </c>
      <c r="E204" s="62" t="s">
        <v>1841</v>
      </c>
      <c r="F204" s="62">
        <v>10</v>
      </c>
      <c r="G204" s="62" t="s">
        <v>13</v>
      </c>
      <c r="H204" s="62">
        <v>53</v>
      </c>
      <c r="I204" s="62">
        <f t="shared" si="66"/>
        <v>530</v>
      </c>
      <c r="J204" s="51">
        <f t="shared" si="76"/>
        <v>2</v>
      </c>
      <c r="K204" s="51">
        <f t="shared" si="67"/>
        <v>2</v>
      </c>
      <c r="L204" s="51">
        <f t="shared" si="68"/>
        <v>12307</v>
      </c>
      <c r="M204" s="51">
        <f t="shared" si="69"/>
        <v>101</v>
      </c>
      <c r="N204" s="51" t="b">
        <f t="shared" si="58"/>
        <v>0</v>
      </c>
      <c r="O204" s="51" t="b">
        <f t="shared" si="59"/>
        <v>1</v>
      </c>
      <c r="P204" s="51" t="str">
        <f t="shared" si="70"/>
        <v>ct-10</v>
      </c>
      <c r="Q204" s="52" t="str">
        <f t="shared" si="71"/>
        <v>53C005441</v>
      </c>
      <c r="R204" s="51" t="b">
        <f t="shared" si="72"/>
        <v>0</v>
      </c>
      <c r="S204" s="51"/>
      <c r="T204" s="51" t="str">
        <f t="shared" si="73"/>
        <v>CT</v>
      </c>
      <c r="U204" s="51" t="str">
        <f t="shared" si="74"/>
        <v>ct</v>
      </c>
      <c r="V204" s="51">
        <f t="shared" si="75"/>
        <v>1</v>
      </c>
      <c r="W204" s="51" t="str">
        <f t="shared" si="60"/>
        <v>P038 10</v>
      </c>
      <c r="X204" s="51" t="str">
        <f t="shared" si="61"/>
        <v>CT</v>
      </c>
      <c r="Y204" s="51" t="str">
        <f t="shared" si="62"/>
        <v>53C</v>
      </c>
      <c r="Z204" s="51" t="str">
        <f t="shared" si="63"/>
        <v>UE</v>
      </c>
      <c r="AA204" s="51">
        <f t="shared" si="64"/>
        <v>4</v>
      </c>
      <c r="AB204" s="51">
        <f t="shared" si="65"/>
        <v>9</v>
      </c>
      <c r="AC204" s="53"/>
      <c r="AD204" s="57"/>
      <c r="AE204" s="57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</row>
    <row r="205" spans="1:41" ht="30" x14ac:dyDescent="0.25">
      <c r="A205" s="62" t="s">
        <v>91</v>
      </c>
      <c r="B205" s="62" t="s">
        <v>350</v>
      </c>
      <c r="C205" s="62" t="s">
        <v>2657</v>
      </c>
      <c r="D205" s="62" t="s">
        <v>582</v>
      </c>
      <c r="E205" s="62" t="s">
        <v>2658</v>
      </c>
      <c r="F205" s="62">
        <v>6</v>
      </c>
      <c r="G205" s="62" t="s">
        <v>13</v>
      </c>
      <c r="H205" s="62">
        <v>12</v>
      </c>
      <c r="I205" s="62">
        <f t="shared" si="66"/>
        <v>72</v>
      </c>
      <c r="J205" s="51">
        <f t="shared" si="76"/>
        <v>141.5</v>
      </c>
      <c r="K205" s="51">
        <f t="shared" si="67"/>
        <v>137</v>
      </c>
      <c r="L205" s="51">
        <f t="shared" si="68"/>
        <v>12307</v>
      </c>
      <c r="M205" s="51">
        <f t="shared" si="69"/>
        <v>101</v>
      </c>
      <c r="N205" s="51" t="b">
        <f t="shared" si="58"/>
        <v>1</v>
      </c>
      <c r="O205" s="51" t="b">
        <f t="shared" si="59"/>
        <v>0</v>
      </c>
      <c r="P205" s="51" t="str">
        <f t="shared" si="70"/>
        <v>ct-6</v>
      </c>
      <c r="Q205" s="52" t="str">
        <f t="shared" si="71"/>
        <v>12C000769</v>
      </c>
      <c r="R205" s="51" t="b">
        <f t="shared" si="72"/>
        <v>0</v>
      </c>
      <c r="S205" s="51"/>
      <c r="T205" s="51" t="str">
        <f t="shared" si="73"/>
        <v>CT</v>
      </c>
      <c r="U205" s="51" t="str">
        <f t="shared" si="74"/>
        <v>ct</v>
      </c>
      <c r="V205" s="51">
        <f t="shared" si="75"/>
        <v>1</v>
      </c>
      <c r="W205" s="51" t="str">
        <f t="shared" si="60"/>
        <v>P003 6</v>
      </c>
      <c r="X205" s="51" t="str">
        <f t="shared" si="61"/>
        <v>CT</v>
      </c>
      <c r="Y205" s="51" t="str">
        <f t="shared" si="62"/>
        <v>12C</v>
      </c>
      <c r="Z205" s="51" t="str">
        <f t="shared" si="63"/>
        <v>SE</v>
      </c>
      <c r="AA205" s="51">
        <f t="shared" si="64"/>
        <v>4</v>
      </c>
      <c r="AB205" s="51">
        <f t="shared" si="65"/>
        <v>9</v>
      </c>
      <c r="AC205" s="53"/>
      <c r="AD205" s="57"/>
      <c r="AE205" s="57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</row>
    <row r="206" spans="1:41" ht="30" x14ac:dyDescent="0.25">
      <c r="A206" s="62" t="s">
        <v>61</v>
      </c>
      <c r="B206" s="62" t="s">
        <v>2659</v>
      </c>
      <c r="C206" s="62" t="s">
        <v>2660</v>
      </c>
      <c r="D206" s="62" t="s">
        <v>1413</v>
      </c>
      <c r="E206" s="62" t="s">
        <v>1827</v>
      </c>
      <c r="F206" s="62">
        <v>3</v>
      </c>
      <c r="G206" s="62" t="s">
        <v>13</v>
      </c>
      <c r="H206" s="62">
        <v>14</v>
      </c>
      <c r="I206" s="62">
        <f t="shared" si="66"/>
        <v>42</v>
      </c>
      <c r="J206" s="51">
        <f t="shared" si="76"/>
        <v>174.5</v>
      </c>
      <c r="K206" s="51">
        <f t="shared" si="67"/>
        <v>174</v>
      </c>
      <c r="L206" s="51">
        <f t="shared" si="68"/>
        <v>12307</v>
      </c>
      <c r="M206" s="51">
        <f t="shared" si="69"/>
        <v>101</v>
      </c>
      <c r="N206" s="51" t="b">
        <f t="shared" si="58"/>
        <v>1</v>
      </c>
      <c r="O206" s="51" t="b">
        <f t="shared" si="59"/>
        <v>0</v>
      </c>
      <c r="P206" s="51" t="str">
        <f t="shared" si="70"/>
        <v>ct-3</v>
      </c>
      <c r="Q206" s="52" t="str">
        <f t="shared" si="71"/>
        <v>14C006620</v>
      </c>
      <c r="R206" s="51" t="b">
        <f t="shared" si="72"/>
        <v>0</v>
      </c>
      <c r="S206" s="51"/>
      <c r="T206" s="51" t="str">
        <f t="shared" si="73"/>
        <v>CT</v>
      </c>
      <c r="U206" s="51" t="str">
        <f t="shared" si="74"/>
        <v>ct</v>
      </c>
      <c r="V206" s="51">
        <f t="shared" si="75"/>
        <v>1</v>
      </c>
      <c r="W206" s="51" t="str">
        <f t="shared" si="60"/>
        <v>P023 3</v>
      </c>
      <c r="X206" s="51" t="str">
        <f t="shared" si="61"/>
        <v>CT</v>
      </c>
      <c r="Y206" s="51" t="str">
        <f t="shared" si="62"/>
        <v>14C</v>
      </c>
      <c r="Z206" s="51" t="str">
        <f t="shared" si="63"/>
        <v>SE</v>
      </c>
      <c r="AA206" s="51">
        <f t="shared" si="64"/>
        <v>4</v>
      </c>
      <c r="AB206" s="51">
        <f t="shared" si="65"/>
        <v>9</v>
      </c>
      <c r="AC206" s="53"/>
      <c r="AD206" s="57"/>
      <c r="AE206" s="57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</row>
    <row r="207" spans="1:41" ht="30" x14ac:dyDescent="0.25">
      <c r="A207" s="62" t="s">
        <v>55</v>
      </c>
      <c r="B207" s="62" t="s">
        <v>2661</v>
      </c>
      <c r="C207" s="62" t="s">
        <v>2662</v>
      </c>
      <c r="D207" s="62" t="s">
        <v>259</v>
      </c>
      <c r="E207" s="62" t="s">
        <v>665</v>
      </c>
      <c r="F207" s="62">
        <v>2</v>
      </c>
      <c r="G207" s="62" t="s">
        <v>106</v>
      </c>
      <c r="H207" s="62">
        <v>17</v>
      </c>
      <c r="I207" s="62">
        <f t="shared" si="66"/>
        <v>34</v>
      </c>
      <c r="J207" s="51">
        <f t="shared" si="76"/>
        <v>186.5</v>
      </c>
      <c r="K207" s="51">
        <f t="shared" si="67"/>
        <v>186</v>
      </c>
      <c r="L207" s="51">
        <f t="shared" si="68"/>
        <v>1357</v>
      </c>
      <c r="M207" s="51">
        <f t="shared" si="69"/>
        <v>14</v>
      </c>
      <c r="N207" s="51" t="b">
        <f t="shared" si="58"/>
        <v>1</v>
      </c>
      <c r="O207" s="51" t="b">
        <f t="shared" si="59"/>
        <v>0</v>
      </c>
      <c r="P207" s="51" t="str">
        <f t="shared" si="70"/>
        <v>bags-2</v>
      </c>
      <c r="Q207" s="52" t="str">
        <f t="shared" si="71"/>
        <v>17C001307</v>
      </c>
      <c r="R207" s="51" t="b">
        <f t="shared" si="72"/>
        <v>0</v>
      </c>
      <c r="S207" s="51"/>
      <c r="T207" s="51" t="str">
        <f t="shared" si="73"/>
        <v>BAGS</v>
      </c>
      <c r="U207" s="51" t="str">
        <f t="shared" si="74"/>
        <v>bags</v>
      </c>
      <c r="V207" s="51">
        <f t="shared" si="75"/>
        <v>1</v>
      </c>
      <c r="W207" s="51" t="str">
        <f t="shared" si="60"/>
        <v>P006 2</v>
      </c>
      <c r="X207" s="51" t="str">
        <f t="shared" si="61"/>
        <v>BAGS</v>
      </c>
      <c r="Y207" s="51" t="str">
        <f t="shared" si="62"/>
        <v>17C</v>
      </c>
      <c r="Z207" s="51" t="str">
        <f t="shared" si="63"/>
        <v>SE</v>
      </c>
      <c r="AA207" s="51">
        <f t="shared" si="64"/>
        <v>4</v>
      </c>
      <c r="AB207" s="51">
        <f t="shared" si="65"/>
        <v>9</v>
      </c>
      <c r="AC207" s="53"/>
      <c r="AD207" s="57"/>
      <c r="AE207" s="57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</row>
    <row r="208" spans="1:41" ht="30" x14ac:dyDescent="0.25">
      <c r="A208" s="62" t="s">
        <v>240</v>
      </c>
      <c r="B208" s="62" t="s">
        <v>2663</v>
      </c>
      <c r="C208" s="62" t="s">
        <v>2664</v>
      </c>
      <c r="D208" s="62" t="s">
        <v>956</v>
      </c>
      <c r="E208" s="62" t="s">
        <v>2665</v>
      </c>
      <c r="F208" s="62">
        <v>11</v>
      </c>
      <c r="G208" s="62" t="s">
        <v>13</v>
      </c>
      <c r="H208" s="62">
        <v>12</v>
      </c>
      <c r="I208" s="62">
        <f t="shared" si="66"/>
        <v>132</v>
      </c>
      <c r="J208" s="51">
        <f t="shared" si="76"/>
        <v>75</v>
      </c>
      <c r="K208" s="51">
        <f t="shared" si="67"/>
        <v>75</v>
      </c>
      <c r="L208" s="51">
        <f t="shared" si="68"/>
        <v>12307</v>
      </c>
      <c r="M208" s="51">
        <f t="shared" si="69"/>
        <v>101</v>
      </c>
      <c r="N208" s="51" t="b">
        <f t="shared" si="58"/>
        <v>0</v>
      </c>
      <c r="O208" s="51" t="b">
        <f t="shared" si="59"/>
        <v>1</v>
      </c>
      <c r="P208" s="51" t="str">
        <f t="shared" si="70"/>
        <v>ct-11</v>
      </c>
      <c r="Q208" s="52" t="str">
        <f t="shared" si="71"/>
        <v>12C005509</v>
      </c>
      <c r="R208" s="51" t="b">
        <f t="shared" si="72"/>
        <v>0</v>
      </c>
      <c r="S208" s="51"/>
      <c r="T208" s="51" t="str">
        <f t="shared" si="73"/>
        <v>CT</v>
      </c>
      <c r="U208" s="51" t="str">
        <f t="shared" si="74"/>
        <v>ct</v>
      </c>
      <c r="V208" s="51">
        <f t="shared" si="75"/>
        <v>1</v>
      </c>
      <c r="W208" s="51" t="str">
        <f t="shared" si="60"/>
        <v>P024 11</v>
      </c>
      <c r="X208" s="51" t="str">
        <f t="shared" si="61"/>
        <v>CT</v>
      </c>
      <c r="Y208" s="51" t="str">
        <f t="shared" si="62"/>
        <v>12C</v>
      </c>
      <c r="Z208" s="51" t="str">
        <f t="shared" si="63"/>
        <v>UE</v>
      </c>
      <c r="AA208" s="51">
        <f t="shared" si="64"/>
        <v>4</v>
      </c>
      <c r="AB208" s="51">
        <f t="shared" si="65"/>
        <v>9</v>
      </c>
      <c r="AC208" s="53"/>
      <c r="AD208" s="57"/>
      <c r="AE208" s="57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</row>
    <row r="209" spans="1:41" ht="30" x14ac:dyDescent="0.25">
      <c r="A209" s="62" t="s">
        <v>459</v>
      </c>
      <c r="B209" s="62" t="s">
        <v>2666</v>
      </c>
      <c r="C209" s="62" t="s">
        <v>2667</v>
      </c>
      <c r="D209" s="62" t="s">
        <v>797</v>
      </c>
      <c r="E209" s="62" t="s">
        <v>1851</v>
      </c>
      <c r="F209" s="62">
        <v>6</v>
      </c>
      <c r="G209" s="62" t="s">
        <v>13</v>
      </c>
      <c r="H209" s="62">
        <v>14</v>
      </c>
      <c r="I209" s="62">
        <f t="shared" si="66"/>
        <v>84</v>
      </c>
      <c r="J209" s="51">
        <f t="shared" si="76"/>
        <v>120.5</v>
      </c>
      <c r="K209" s="51">
        <f t="shared" si="67"/>
        <v>120</v>
      </c>
      <c r="L209" s="51">
        <f t="shared" si="68"/>
        <v>12307</v>
      </c>
      <c r="M209" s="51">
        <f t="shared" si="69"/>
        <v>101</v>
      </c>
      <c r="N209" s="51" t="b">
        <f t="shared" si="58"/>
        <v>1</v>
      </c>
      <c r="O209" s="51" t="b">
        <f t="shared" si="59"/>
        <v>0</v>
      </c>
      <c r="P209" s="51" t="str">
        <f t="shared" si="70"/>
        <v>ct-6</v>
      </c>
      <c r="Q209" s="52" t="str">
        <f t="shared" si="71"/>
        <v>14C005760</v>
      </c>
      <c r="R209" s="51" t="b">
        <f t="shared" si="72"/>
        <v>0</v>
      </c>
      <c r="S209" s="51"/>
      <c r="T209" s="51" t="str">
        <f t="shared" si="73"/>
        <v>CT</v>
      </c>
      <c r="U209" s="51" t="str">
        <f t="shared" si="74"/>
        <v>ct</v>
      </c>
      <c r="V209" s="51">
        <f t="shared" si="75"/>
        <v>1</v>
      </c>
      <c r="W209" s="51" t="str">
        <f t="shared" si="60"/>
        <v>P038 6</v>
      </c>
      <c r="X209" s="51" t="str">
        <f t="shared" si="61"/>
        <v>CT</v>
      </c>
      <c r="Y209" s="51" t="str">
        <f t="shared" si="62"/>
        <v>14C</v>
      </c>
      <c r="Z209" s="51" t="str">
        <f t="shared" si="63"/>
        <v>SE</v>
      </c>
      <c r="AA209" s="51">
        <f t="shared" si="64"/>
        <v>4</v>
      </c>
      <c r="AB209" s="51">
        <f t="shared" si="65"/>
        <v>9</v>
      </c>
      <c r="AC209" s="53"/>
      <c r="AD209" s="57"/>
      <c r="AE209" s="57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</row>
    <row r="210" spans="1:41" x14ac:dyDescent="0.25">
      <c r="A210" s="62" t="s">
        <v>459</v>
      </c>
      <c r="B210" s="62" t="s">
        <v>2668</v>
      </c>
      <c r="C210" s="62" t="s">
        <v>2669</v>
      </c>
      <c r="D210" s="62" t="s">
        <v>483</v>
      </c>
      <c r="E210" s="62" t="s">
        <v>228</v>
      </c>
      <c r="F210" s="62">
        <v>5</v>
      </c>
      <c r="G210" s="62" t="s">
        <v>35</v>
      </c>
      <c r="H210" s="62">
        <v>8</v>
      </c>
      <c r="I210" s="62">
        <f t="shared" si="66"/>
        <v>40</v>
      </c>
      <c r="J210" s="51">
        <f t="shared" si="76"/>
        <v>177.5</v>
      </c>
      <c r="K210" s="51">
        <f t="shared" si="67"/>
        <v>177</v>
      </c>
      <c r="L210" s="51">
        <f t="shared" si="68"/>
        <v>4518</v>
      </c>
      <c r="M210" s="51">
        <f t="shared" si="69"/>
        <v>52</v>
      </c>
      <c r="N210" s="51" t="b">
        <f t="shared" si="58"/>
        <v>1</v>
      </c>
      <c r="O210" s="51" t="b">
        <f t="shared" si="59"/>
        <v>0</v>
      </c>
      <c r="P210" s="51" t="str">
        <f t="shared" si="70"/>
        <v>cans-5</v>
      </c>
      <c r="Q210" s="52" t="str">
        <f t="shared" si="71"/>
        <v>8C000040</v>
      </c>
      <c r="R210" s="51" t="b">
        <f t="shared" si="72"/>
        <v>0</v>
      </c>
      <c r="S210" s="51"/>
      <c r="T210" s="51" t="str">
        <f t="shared" si="73"/>
        <v>CANS</v>
      </c>
      <c r="U210" s="51" t="str">
        <f t="shared" si="74"/>
        <v>cans</v>
      </c>
      <c r="V210" s="51">
        <f t="shared" si="75"/>
        <v>1</v>
      </c>
      <c r="W210" s="51" t="str">
        <f t="shared" si="60"/>
        <v>P038 5</v>
      </c>
      <c r="X210" s="51" t="str">
        <f t="shared" si="61"/>
        <v>CAOS</v>
      </c>
      <c r="Y210" s="51" t="str">
        <f t="shared" si="62"/>
        <v>8C0</v>
      </c>
      <c r="Z210" s="51" t="str">
        <f t="shared" si="63"/>
        <v>SE</v>
      </c>
      <c r="AA210" s="51">
        <f t="shared" si="64"/>
        <v>3</v>
      </c>
      <c r="AB210" s="51">
        <f t="shared" si="65"/>
        <v>8</v>
      </c>
      <c r="AC210" s="53"/>
      <c r="AD210" s="57"/>
      <c r="AE210" s="57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</row>
    <row r="211" spans="1:41" ht="30" x14ac:dyDescent="0.25">
      <c r="A211" s="62" t="s">
        <v>288</v>
      </c>
      <c r="B211" s="62" t="s">
        <v>460</v>
      </c>
      <c r="C211" s="62" t="s">
        <v>2670</v>
      </c>
      <c r="D211" s="62" t="s">
        <v>1687</v>
      </c>
      <c r="E211" s="62" t="s">
        <v>331</v>
      </c>
      <c r="F211" s="62">
        <v>1</v>
      </c>
      <c r="G211" s="62" t="s">
        <v>35</v>
      </c>
      <c r="H211" s="62">
        <v>16.25</v>
      </c>
      <c r="I211" s="62">
        <f t="shared" si="66"/>
        <v>16.25</v>
      </c>
      <c r="J211" s="51">
        <f t="shared" si="76"/>
        <v>225.5</v>
      </c>
      <c r="K211" s="51">
        <f t="shared" si="67"/>
        <v>225</v>
      </c>
      <c r="L211" s="51">
        <f t="shared" si="68"/>
        <v>4518</v>
      </c>
      <c r="M211" s="51">
        <f t="shared" si="69"/>
        <v>52</v>
      </c>
      <c r="N211" s="51" t="b">
        <f t="shared" si="58"/>
        <v>1</v>
      </c>
      <c r="O211" s="51" t="b">
        <f t="shared" si="59"/>
        <v>0</v>
      </c>
      <c r="P211" s="51" t="str">
        <f t="shared" si="70"/>
        <v>cans-1</v>
      </c>
      <c r="Q211" s="52" t="str">
        <f t="shared" si="71"/>
        <v>16.25C009083</v>
      </c>
      <c r="R211" s="51" t="b">
        <f t="shared" si="72"/>
        <v>0</v>
      </c>
      <c r="S211" s="51"/>
      <c r="T211" s="51" t="str">
        <f t="shared" si="73"/>
        <v>CANS</v>
      </c>
      <c r="U211" s="51" t="str">
        <f t="shared" si="74"/>
        <v>cans</v>
      </c>
      <c r="V211" s="51">
        <f t="shared" si="75"/>
        <v>1</v>
      </c>
      <c r="W211" s="51" t="str">
        <f t="shared" si="60"/>
        <v>P009 1</v>
      </c>
      <c r="X211" s="51" t="str">
        <f t="shared" si="61"/>
        <v>CAOS</v>
      </c>
      <c r="Y211" s="51" t="str">
        <f t="shared" si="62"/>
        <v>16.</v>
      </c>
      <c r="Z211" s="51" t="str">
        <f t="shared" si="63"/>
        <v>SE</v>
      </c>
      <c r="AA211" s="51">
        <f t="shared" si="64"/>
        <v>7</v>
      </c>
      <c r="AB211" s="51">
        <f t="shared" si="65"/>
        <v>12</v>
      </c>
      <c r="AC211" s="53"/>
      <c r="AD211" s="57"/>
      <c r="AE211" s="57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</row>
    <row r="212" spans="1:41" ht="30" x14ac:dyDescent="0.25">
      <c r="A212" s="62" t="s">
        <v>200</v>
      </c>
      <c r="B212" s="62" t="s">
        <v>2671</v>
      </c>
      <c r="C212" s="62" t="s">
        <v>2672</v>
      </c>
      <c r="D212" s="62" t="s">
        <v>277</v>
      </c>
      <c r="E212" s="62" t="s">
        <v>634</v>
      </c>
      <c r="F212" s="62">
        <v>8</v>
      </c>
      <c r="G212" s="62" t="s">
        <v>13</v>
      </c>
      <c r="H212" s="62">
        <v>15</v>
      </c>
      <c r="I212" s="62">
        <f t="shared" si="66"/>
        <v>120</v>
      </c>
      <c r="J212" s="51">
        <f t="shared" si="76"/>
        <v>85</v>
      </c>
      <c r="K212" s="51">
        <f t="shared" si="67"/>
        <v>83</v>
      </c>
      <c r="L212" s="51">
        <f t="shared" si="68"/>
        <v>12307</v>
      </c>
      <c r="M212" s="51">
        <f t="shared" si="69"/>
        <v>101</v>
      </c>
      <c r="N212" s="51" t="b">
        <f t="shared" ref="N212:N247" si="77">AND(J212&gt;100,"Pass", "fail")</f>
        <v>0</v>
      </c>
      <c r="O212" s="51" t="b">
        <f t="shared" ref="O212:O247" si="78">OR(J212&gt;250,"pass",J212&lt;100,"fail")</f>
        <v>1</v>
      </c>
      <c r="P212" s="51" t="str">
        <f t="shared" si="70"/>
        <v>ct-8</v>
      </c>
      <c r="Q212" s="52" t="str">
        <f t="shared" si="71"/>
        <v>15C004610</v>
      </c>
      <c r="R212" s="51" t="b">
        <f t="shared" si="72"/>
        <v>0</v>
      </c>
      <c r="S212" s="51"/>
      <c r="T212" s="51" t="str">
        <f t="shared" si="73"/>
        <v>CT</v>
      </c>
      <c r="U212" s="51" t="str">
        <f t="shared" si="74"/>
        <v>ct</v>
      </c>
      <c r="V212" s="51">
        <f t="shared" si="75"/>
        <v>1</v>
      </c>
      <c r="W212" s="51" t="str">
        <f t="shared" ref="W212:W249" si="79">_xlfn.TEXTJOIN(" ",TRUE,A212,F212)</f>
        <v>P036 8</v>
      </c>
      <c r="X212" s="51" t="str">
        <f t="shared" ref="X212:X249" si="80">SUBSTITUTE(T212, "N","O")</f>
        <v>CT</v>
      </c>
      <c r="Y212" s="51" t="str">
        <f t="shared" ref="Y212:Y247" si="81">LEFT(Q212, 3)</f>
        <v>15C</v>
      </c>
      <c r="Z212" s="51" t="str">
        <f t="shared" ref="Z212:Z249" si="82">RIGHT(O212,"2")</f>
        <v>UE</v>
      </c>
      <c r="AA212" s="51">
        <f t="shared" ref="AA212:AA249" si="83">FIND("0",Q212)</f>
        <v>4</v>
      </c>
      <c r="AB212" s="51">
        <f t="shared" ref="AB212:AB249" si="84">LEN(Q212)</f>
        <v>9</v>
      </c>
      <c r="AC212" s="53"/>
      <c r="AD212" s="57"/>
      <c r="AE212" s="57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</row>
    <row r="213" spans="1:41" ht="30" x14ac:dyDescent="0.25">
      <c r="A213" s="62" t="s">
        <v>459</v>
      </c>
      <c r="B213" s="62" t="s">
        <v>2673</v>
      </c>
      <c r="C213" s="62" t="s">
        <v>2674</v>
      </c>
      <c r="D213" s="62" t="s">
        <v>301</v>
      </c>
      <c r="E213" s="62" t="s">
        <v>2096</v>
      </c>
      <c r="F213" s="62">
        <v>11</v>
      </c>
      <c r="G213" s="62" t="s">
        <v>35</v>
      </c>
      <c r="H213" s="62">
        <v>55</v>
      </c>
      <c r="I213" s="62">
        <f t="shared" si="66"/>
        <v>605</v>
      </c>
      <c r="J213" s="51">
        <f t="shared" si="76"/>
        <v>1</v>
      </c>
      <c r="K213" s="51">
        <f t="shared" si="67"/>
        <v>1</v>
      </c>
      <c r="L213" s="51">
        <f t="shared" si="68"/>
        <v>4518</v>
      </c>
      <c r="M213" s="51">
        <f t="shared" si="69"/>
        <v>52</v>
      </c>
      <c r="N213" s="51" t="b">
        <f t="shared" si="77"/>
        <v>0</v>
      </c>
      <c r="O213" s="51" t="b">
        <f t="shared" si="78"/>
        <v>1</v>
      </c>
      <c r="P213" s="51" t="str">
        <f t="shared" si="70"/>
        <v>cans-11</v>
      </c>
      <c r="Q213" s="52" t="str">
        <f t="shared" si="71"/>
        <v>55C001678</v>
      </c>
      <c r="R213" s="51" t="b">
        <f t="shared" si="72"/>
        <v>0</v>
      </c>
      <c r="S213" s="51"/>
      <c r="T213" s="51" t="str">
        <f t="shared" si="73"/>
        <v>CANS</v>
      </c>
      <c r="U213" s="51" t="str">
        <f t="shared" si="74"/>
        <v>cans</v>
      </c>
      <c r="V213" s="51">
        <f t="shared" si="75"/>
        <v>1</v>
      </c>
      <c r="W213" s="51" t="str">
        <f t="shared" si="79"/>
        <v>P038 11</v>
      </c>
      <c r="X213" s="51" t="str">
        <f t="shared" si="80"/>
        <v>CAOS</v>
      </c>
      <c r="Y213" s="51" t="str">
        <f t="shared" si="81"/>
        <v>55C</v>
      </c>
      <c r="Z213" s="51" t="str">
        <f t="shared" si="82"/>
        <v>UE</v>
      </c>
      <c r="AA213" s="51">
        <f t="shared" si="83"/>
        <v>4</v>
      </c>
      <c r="AB213" s="51">
        <f t="shared" si="84"/>
        <v>9</v>
      </c>
      <c r="AC213" s="53"/>
      <c r="AD213" s="57"/>
      <c r="AE213" s="57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</row>
    <row r="214" spans="1:41" ht="30" x14ac:dyDescent="0.25">
      <c r="A214" s="62" t="s">
        <v>116</v>
      </c>
      <c r="B214" s="62" t="s">
        <v>2675</v>
      </c>
      <c r="C214" s="62" t="s">
        <v>2676</v>
      </c>
      <c r="D214" s="62" t="s">
        <v>1044</v>
      </c>
      <c r="E214" s="62" t="s">
        <v>1097</v>
      </c>
      <c r="F214" s="62">
        <v>11</v>
      </c>
      <c r="G214" s="62" t="s">
        <v>60</v>
      </c>
      <c r="H214" s="62">
        <v>22</v>
      </c>
      <c r="I214" s="62">
        <f t="shared" si="66"/>
        <v>242</v>
      </c>
      <c r="J214" s="51">
        <f t="shared" si="76"/>
        <v>15</v>
      </c>
      <c r="K214" s="51">
        <f t="shared" si="67"/>
        <v>15</v>
      </c>
      <c r="L214" s="51">
        <f t="shared" si="68"/>
        <v>3427</v>
      </c>
      <c r="M214" s="51">
        <f t="shared" si="69"/>
        <v>31</v>
      </c>
      <c r="N214" s="51" t="b">
        <f t="shared" si="77"/>
        <v>0</v>
      </c>
      <c r="O214" s="51" t="b">
        <f t="shared" si="78"/>
        <v>1</v>
      </c>
      <c r="P214" s="51" t="str">
        <f t="shared" si="70"/>
        <v>bottles-11</v>
      </c>
      <c r="Q214" s="52" t="str">
        <f t="shared" si="71"/>
        <v>22C007603</v>
      </c>
      <c r="R214" s="51" t="b">
        <f t="shared" si="72"/>
        <v>0</v>
      </c>
      <c r="S214" s="51"/>
      <c r="T214" s="51" t="str">
        <f t="shared" si="73"/>
        <v>BOTTLES</v>
      </c>
      <c r="U214" s="51" t="str">
        <f t="shared" si="74"/>
        <v>bottles</v>
      </c>
      <c r="V214" s="51">
        <f t="shared" si="75"/>
        <v>1</v>
      </c>
      <c r="W214" s="51" t="str">
        <f t="shared" si="79"/>
        <v>P013 11</v>
      </c>
      <c r="X214" s="51" t="str">
        <f t="shared" si="80"/>
        <v>BOTTLES</v>
      </c>
      <c r="Y214" s="51" t="str">
        <f t="shared" si="81"/>
        <v>22C</v>
      </c>
      <c r="Z214" s="51" t="str">
        <f t="shared" si="82"/>
        <v>UE</v>
      </c>
      <c r="AA214" s="51">
        <f t="shared" si="83"/>
        <v>4</v>
      </c>
      <c r="AB214" s="51">
        <f t="shared" si="84"/>
        <v>9</v>
      </c>
      <c r="AC214" s="53"/>
      <c r="AD214" s="57"/>
      <c r="AE214" s="57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</row>
    <row r="215" spans="1:41" ht="30" x14ac:dyDescent="0.25">
      <c r="A215" s="62" t="s">
        <v>743</v>
      </c>
      <c r="B215" s="62" t="s">
        <v>2677</v>
      </c>
      <c r="C215" s="62" t="s">
        <v>2678</v>
      </c>
      <c r="D215" s="62" t="s">
        <v>1340</v>
      </c>
      <c r="E215" s="62" t="s">
        <v>2679</v>
      </c>
      <c r="F215" s="62">
        <v>10</v>
      </c>
      <c r="G215" s="62" t="s">
        <v>13</v>
      </c>
      <c r="H215" s="62">
        <v>18</v>
      </c>
      <c r="I215" s="62">
        <f t="shared" si="66"/>
        <v>180</v>
      </c>
      <c r="J215" s="51">
        <f t="shared" si="76"/>
        <v>36.5</v>
      </c>
      <c r="K215" s="51">
        <f t="shared" si="67"/>
        <v>36</v>
      </c>
      <c r="L215" s="51">
        <f t="shared" si="68"/>
        <v>12307</v>
      </c>
      <c r="M215" s="51">
        <f t="shared" si="69"/>
        <v>101</v>
      </c>
      <c r="N215" s="51" t="b">
        <f t="shared" si="77"/>
        <v>0</v>
      </c>
      <c r="O215" s="51" t="b">
        <f t="shared" si="78"/>
        <v>1</v>
      </c>
      <c r="P215" s="51" t="str">
        <f t="shared" si="70"/>
        <v>ct-10</v>
      </c>
      <c r="Q215" s="52" t="str">
        <f t="shared" si="71"/>
        <v>18C007771</v>
      </c>
      <c r="R215" s="51" t="b">
        <f t="shared" si="72"/>
        <v>0</v>
      </c>
      <c r="S215" s="51"/>
      <c r="T215" s="51" t="str">
        <f t="shared" si="73"/>
        <v>CT</v>
      </c>
      <c r="U215" s="51" t="str">
        <f t="shared" si="74"/>
        <v>ct</v>
      </c>
      <c r="V215" s="51">
        <f t="shared" si="75"/>
        <v>1</v>
      </c>
      <c r="W215" s="51" t="str">
        <f t="shared" si="79"/>
        <v>P007 10</v>
      </c>
      <c r="X215" s="51" t="str">
        <f t="shared" si="80"/>
        <v>CT</v>
      </c>
      <c r="Y215" s="51" t="str">
        <f t="shared" si="81"/>
        <v>18C</v>
      </c>
      <c r="Z215" s="51" t="str">
        <f t="shared" si="82"/>
        <v>UE</v>
      </c>
      <c r="AA215" s="51">
        <f t="shared" si="83"/>
        <v>4</v>
      </c>
      <c r="AB215" s="51">
        <f t="shared" si="84"/>
        <v>9</v>
      </c>
      <c r="AC215" s="53"/>
      <c r="AD215" s="57"/>
      <c r="AE215" s="57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</row>
    <row r="216" spans="1:41" ht="30" x14ac:dyDescent="0.25">
      <c r="A216" s="62" t="s">
        <v>240</v>
      </c>
      <c r="B216" s="62" t="s">
        <v>15</v>
      </c>
      <c r="C216" s="62" t="s">
        <v>2680</v>
      </c>
      <c r="D216" s="62" t="s">
        <v>1766</v>
      </c>
      <c r="E216" s="62" t="s">
        <v>2681</v>
      </c>
      <c r="F216" s="62">
        <v>9</v>
      </c>
      <c r="G216" s="62" t="s">
        <v>60</v>
      </c>
      <c r="H216" s="62">
        <v>29</v>
      </c>
      <c r="I216" s="62">
        <f t="shared" si="66"/>
        <v>261</v>
      </c>
      <c r="J216" s="51">
        <f t="shared" si="76"/>
        <v>13</v>
      </c>
      <c r="K216" s="51">
        <f t="shared" si="67"/>
        <v>13</v>
      </c>
      <c r="L216" s="51">
        <f t="shared" si="68"/>
        <v>3427</v>
      </c>
      <c r="M216" s="51">
        <f t="shared" si="69"/>
        <v>31</v>
      </c>
      <c r="N216" s="51" t="b">
        <f t="shared" si="77"/>
        <v>0</v>
      </c>
      <c r="O216" s="51" t="b">
        <f t="shared" si="78"/>
        <v>1</v>
      </c>
      <c r="P216" s="51" t="str">
        <f t="shared" si="70"/>
        <v>bottles-9</v>
      </c>
      <c r="Q216" s="52" t="str">
        <f t="shared" si="71"/>
        <v>29C008967</v>
      </c>
      <c r="R216" s="51" t="b">
        <f t="shared" si="72"/>
        <v>0</v>
      </c>
      <c r="S216" s="51"/>
      <c r="T216" s="51" t="str">
        <f t="shared" si="73"/>
        <v>BOTTLES</v>
      </c>
      <c r="U216" s="51" t="str">
        <f t="shared" si="74"/>
        <v>bottles</v>
      </c>
      <c r="V216" s="51">
        <f t="shared" si="75"/>
        <v>1</v>
      </c>
      <c r="W216" s="51" t="str">
        <f t="shared" si="79"/>
        <v>P024 9</v>
      </c>
      <c r="X216" s="51" t="str">
        <f t="shared" si="80"/>
        <v>BOTTLES</v>
      </c>
      <c r="Y216" s="51" t="str">
        <f t="shared" si="81"/>
        <v>29C</v>
      </c>
      <c r="Z216" s="51" t="str">
        <f t="shared" si="82"/>
        <v>UE</v>
      </c>
      <c r="AA216" s="51">
        <f t="shared" si="83"/>
        <v>4</v>
      </c>
      <c r="AB216" s="51">
        <f t="shared" si="84"/>
        <v>9</v>
      </c>
      <c r="AC216" s="53"/>
      <c r="AD216" s="57"/>
      <c r="AE216" s="57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</row>
    <row r="217" spans="1:41" x14ac:dyDescent="0.25">
      <c r="A217" s="62" t="s">
        <v>274</v>
      </c>
      <c r="B217" s="62" t="s">
        <v>2682</v>
      </c>
      <c r="C217" s="62" t="s">
        <v>2683</v>
      </c>
      <c r="D217" s="62" t="s">
        <v>548</v>
      </c>
      <c r="E217" s="62" t="s">
        <v>406</v>
      </c>
      <c r="F217" s="62">
        <v>9</v>
      </c>
      <c r="G217" s="62" t="s">
        <v>35</v>
      </c>
      <c r="H217" s="62">
        <v>8</v>
      </c>
      <c r="I217" s="62">
        <f t="shared" si="66"/>
        <v>72</v>
      </c>
      <c r="J217" s="51">
        <f t="shared" si="76"/>
        <v>141.5</v>
      </c>
      <c r="K217" s="51">
        <f t="shared" si="67"/>
        <v>137</v>
      </c>
      <c r="L217" s="51">
        <f t="shared" si="68"/>
        <v>4518</v>
      </c>
      <c r="M217" s="51">
        <f t="shared" si="69"/>
        <v>52</v>
      </c>
      <c r="N217" s="51" t="b">
        <f t="shared" si="77"/>
        <v>1</v>
      </c>
      <c r="O217" s="51" t="b">
        <f t="shared" si="78"/>
        <v>0</v>
      </c>
      <c r="P217" s="51" t="str">
        <f t="shared" si="70"/>
        <v>cans-9</v>
      </c>
      <c r="Q217" s="52" t="str">
        <f t="shared" si="71"/>
        <v>8C008432</v>
      </c>
      <c r="R217" s="51" t="b">
        <f t="shared" si="72"/>
        <v>0</v>
      </c>
      <c r="S217" s="51"/>
      <c r="T217" s="51" t="str">
        <f t="shared" si="73"/>
        <v>CANS</v>
      </c>
      <c r="U217" s="51" t="str">
        <f t="shared" si="74"/>
        <v>cans</v>
      </c>
      <c r="V217" s="51">
        <f t="shared" si="75"/>
        <v>1</v>
      </c>
      <c r="W217" s="51" t="str">
        <f t="shared" si="79"/>
        <v>P034 9</v>
      </c>
      <c r="X217" s="51" t="str">
        <f t="shared" si="80"/>
        <v>CAOS</v>
      </c>
      <c r="Y217" s="51" t="str">
        <f t="shared" si="81"/>
        <v>8C0</v>
      </c>
      <c r="Z217" s="51" t="str">
        <f t="shared" si="82"/>
        <v>SE</v>
      </c>
      <c r="AA217" s="51">
        <f t="shared" si="83"/>
        <v>3</v>
      </c>
      <c r="AB217" s="51">
        <f t="shared" si="84"/>
        <v>8</v>
      </c>
      <c r="AC217" s="53"/>
      <c r="AD217" s="57"/>
      <c r="AE217" s="57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</row>
    <row r="218" spans="1:41" ht="30" x14ac:dyDescent="0.25">
      <c r="A218" s="62" t="s">
        <v>55</v>
      </c>
      <c r="B218" s="62" t="s">
        <v>2684</v>
      </c>
      <c r="C218" s="62" t="s">
        <v>2685</v>
      </c>
      <c r="D218" s="62" t="s">
        <v>607</v>
      </c>
      <c r="E218" s="62" t="s">
        <v>953</v>
      </c>
      <c r="F218" s="62">
        <v>8</v>
      </c>
      <c r="G218" s="62" t="s">
        <v>13</v>
      </c>
      <c r="H218" s="62">
        <v>25</v>
      </c>
      <c r="I218" s="62">
        <f t="shared" si="66"/>
        <v>200</v>
      </c>
      <c r="J218" s="51">
        <f t="shared" si="76"/>
        <v>26.5</v>
      </c>
      <c r="K218" s="51">
        <f t="shared" si="67"/>
        <v>26</v>
      </c>
      <c r="L218" s="51">
        <f t="shared" si="68"/>
        <v>12307</v>
      </c>
      <c r="M218" s="51">
        <f t="shared" si="69"/>
        <v>101</v>
      </c>
      <c r="N218" s="51" t="b">
        <f t="shared" si="77"/>
        <v>0</v>
      </c>
      <c r="O218" s="51" t="b">
        <f t="shared" si="78"/>
        <v>1</v>
      </c>
      <c r="P218" s="51" t="str">
        <f t="shared" si="70"/>
        <v>ct-8</v>
      </c>
      <c r="Q218" s="52" t="str">
        <f t="shared" si="71"/>
        <v>25C000992</v>
      </c>
      <c r="R218" s="51" t="b">
        <f t="shared" si="72"/>
        <v>0</v>
      </c>
      <c r="S218" s="51"/>
      <c r="T218" s="51" t="str">
        <f t="shared" si="73"/>
        <v>CT</v>
      </c>
      <c r="U218" s="51" t="str">
        <f t="shared" si="74"/>
        <v>ct</v>
      </c>
      <c r="V218" s="51">
        <f t="shared" si="75"/>
        <v>1</v>
      </c>
      <c r="W218" s="51" t="str">
        <f t="shared" si="79"/>
        <v>P006 8</v>
      </c>
      <c r="X218" s="51" t="str">
        <f t="shared" si="80"/>
        <v>CT</v>
      </c>
      <c r="Y218" s="51" t="str">
        <f t="shared" si="81"/>
        <v>25C</v>
      </c>
      <c r="Z218" s="51" t="str">
        <f t="shared" si="82"/>
        <v>UE</v>
      </c>
      <c r="AA218" s="51">
        <f t="shared" si="83"/>
        <v>4</v>
      </c>
      <c r="AB218" s="51">
        <f t="shared" si="84"/>
        <v>9</v>
      </c>
      <c r="AC218" s="53"/>
      <c r="AD218" s="57"/>
      <c r="AE218" s="57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</row>
    <row r="219" spans="1:41" ht="30" x14ac:dyDescent="0.25">
      <c r="A219" s="62" t="s">
        <v>8</v>
      </c>
      <c r="B219" s="62" t="s">
        <v>1194</v>
      </c>
      <c r="C219" s="62" t="s">
        <v>2686</v>
      </c>
      <c r="D219" s="62" t="s">
        <v>1433</v>
      </c>
      <c r="E219" s="62" t="s">
        <v>2687</v>
      </c>
      <c r="F219" s="62">
        <v>5</v>
      </c>
      <c r="G219" s="62" t="s">
        <v>13</v>
      </c>
      <c r="H219" s="62">
        <v>13</v>
      </c>
      <c r="I219" s="62">
        <f t="shared" si="66"/>
        <v>65</v>
      </c>
      <c r="J219" s="51">
        <f t="shared" si="76"/>
        <v>152</v>
      </c>
      <c r="K219" s="51">
        <f t="shared" si="67"/>
        <v>151</v>
      </c>
      <c r="L219" s="51">
        <f t="shared" si="68"/>
        <v>12307</v>
      </c>
      <c r="M219" s="51">
        <f t="shared" si="69"/>
        <v>101</v>
      </c>
      <c r="N219" s="51" t="b">
        <f t="shared" si="77"/>
        <v>1</v>
      </c>
      <c r="O219" s="51" t="b">
        <f t="shared" si="78"/>
        <v>0</v>
      </c>
      <c r="P219" s="51" t="str">
        <f t="shared" si="70"/>
        <v>ct-5</v>
      </c>
      <c r="Q219" s="52" t="str">
        <f t="shared" si="71"/>
        <v>13C000308</v>
      </c>
      <c r="R219" s="51" t="b">
        <f t="shared" si="72"/>
        <v>0</v>
      </c>
      <c r="S219" s="51"/>
      <c r="T219" s="51" t="str">
        <f t="shared" si="73"/>
        <v>CT</v>
      </c>
      <c r="U219" s="51" t="str">
        <f t="shared" si="74"/>
        <v>ct</v>
      </c>
      <c r="V219" s="51">
        <f t="shared" si="75"/>
        <v>1</v>
      </c>
      <c r="W219" s="51" t="str">
        <f t="shared" si="79"/>
        <v>P026 5</v>
      </c>
      <c r="X219" s="51" t="str">
        <f t="shared" si="80"/>
        <v>CT</v>
      </c>
      <c r="Y219" s="51" t="str">
        <f t="shared" si="81"/>
        <v>13C</v>
      </c>
      <c r="Z219" s="51" t="str">
        <f t="shared" si="82"/>
        <v>SE</v>
      </c>
      <c r="AA219" s="51">
        <f t="shared" si="83"/>
        <v>4</v>
      </c>
      <c r="AB219" s="51">
        <f t="shared" si="84"/>
        <v>9</v>
      </c>
      <c r="AC219" s="53"/>
      <c r="AD219" s="57"/>
      <c r="AE219" s="57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</row>
    <row r="220" spans="1:41" ht="30" x14ac:dyDescent="0.25">
      <c r="A220" s="62" t="s">
        <v>283</v>
      </c>
      <c r="B220" s="62" t="s">
        <v>2647</v>
      </c>
      <c r="C220" s="62" t="s">
        <v>2688</v>
      </c>
      <c r="D220" s="62" t="s">
        <v>1112</v>
      </c>
      <c r="E220" s="62" t="s">
        <v>2689</v>
      </c>
      <c r="F220" s="62">
        <v>10</v>
      </c>
      <c r="G220" s="62" t="s">
        <v>407</v>
      </c>
      <c r="H220" s="62">
        <v>14</v>
      </c>
      <c r="I220" s="62">
        <f t="shared" si="66"/>
        <v>140</v>
      </c>
      <c r="J220" s="51">
        <f t="shared" si="76"/>
        <v>68.5</v>
      </c>
      <c r="K220" s="51">
        <f t="shared" si="67"/>
        <v>67</v>
      </c>
      <c r="L220" s="51">
        <f t="shared" si="68"/>
        <v>801.5</v>
      </c>
      <c r="M220" s="51">
        <f t="shared" si="69"/>
        <v>10</v>
      </c>
      <c r="N220" s="51" t="b">
        <f t="shared" si="77"/>
        <v>0</v>
      </c>
      <c r="O220" s="51" t="b">
        <f t="shared" si="78"/>
        <v>1</v>
      </c>
      <c r="P220" s="51" t="str">
        <f t="shared" si="70"/>
        <v>pk-10</v>
      </c>
      <c r="Q220" s="52" t="str">
        <f t="shared" si="71"/>
        <v>14C006591</v>
      </c>
      <c r="R220" s="51" t="b">
        <f t="shared" si="72"/>
        <v>0</v>
      </c>
      <c r="S220" s="51"/>
      <c r="T220" s="51" t="str">
        <f t="shared" si="73"/>
        <v>PK</v>
      </c>
      <c r="U220" s="51" t="str">
        <f t="shared" si="74"/>
        <v>pk</v>
      </c>
      <c r="V220" s="51">
        <f t="shared" si="75"/>
        <v>1</v>
      </c>
      <c r="W220" s="51" t="str">
        <f t="shared" si="79"/>
        <v>P039 10</v>
      </c>
      <c r="X220" s="51" t="str">
        <f t="shared" si="80"/>
        <v>PK</v>
      </c>
      <c r="Y220" s="51" t="str">
        <f t="shared" si="81"/>
        <v>14C</v>
      </c>
      <c r="Z220" s="51" t="str">
        <f t="shared" si="82"/>
        <v>UE</v>
      </c>
      <c r="AA220" s="51">
        <f t="shared" si="83"/>
        <v>4</v>
      </c>
      <c r="AB220" s="51">
        <f t="shared" si="84"/>
        <v>9</v>
      </c>
      <c r="AC220" s="53"/>
      <c r="AD220" s="57"/>
      <c r="AE220" s="57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</row>
    <row r="221" spans="1:41" ht="30" x14ac:dyDescent="0.25">
      <c r="A221" s="62" t="s">
        <v>240</v>
      </c>
      <c r="B221" s="62" t="s">
        <v>2690</v>
      </c>
      <c r="C221" s="62" t="s">
        <v>2691</v>
      </c>
      <c r="D221" s="62" t="s">
        <v>510</v>
      </c>
      <c r="E221" s="62" t="s">
        <v>1795</v>
      </c>
      <c r="F221" s="62">
        <v>1</v>
      </c>
      <c r="G221" s="62" t="s">
        <v>167</v>
      </c>
      <c r="H221" s="62">
        <v>10</v>
      </c>
      <c r="I221" s="62">
        <f t="shared" si="66"/>
        <v>10</v>
      </c>
      <c r="J221" s="51">
        <f t="shared" si="76"/>
        <v>239</v>
      </c>
      <c r="K221" s="51">
        <f t="shared" si="67"/>
        <v>239</v>
      </c>
      <c r="L221" s="51">
        <f t="shared" si="68"/>
        <v>961.5</v>
      </c>
      <c r="M221" s="51">
        <f t="shared" si="69"/>
        <v>12</v>
      </c>
      <c r="N221" s="51" t="b">
        <f t="shared" si="77"/>
        <v>1</v>
      </c>
      <c r="O221" s="51" t="b">
        <f t="shared" si="78"/>
        <v>0</v>
      </c>
      <c r="P221" s="51" t="str">
        <f t="shared" si="70"/>
        <v>oz-1</v>
      </c>
      <c r="Q221" s="52" t="str">
        <f t="shared" si="71"/>
        <v>10C005088</v>
      </c>
      <c r="R221" s="51" t="b">
        <f t="shared" si="72"/>
        <v>0</v>
      </c>
      <c r="S221" s="51"/>
      <c r="T221" s="51" t="str">
        <f t="shared" si="73"/>
        <v>OZ</v>
      </c>
      <c r="U221" s="51" t="str">
        <f t="shared" si="74"/>
        <v>oz</v>
      </c>
      <c r="V221" s="51">
        <f t="shared" si="75"/>
        <v>1</v>
      </c>
      <c r="W221" s="51" t="str">
        <f t="shared" si="79"/>
        <v>P024 1</v>
      </c>
      <c r="X221" s="51" t="str">
        <f t="shared" si="80"/>
        <v>OZ</v>
      </c>
      <c r="Y221" s="51" t="str">
        <f t="shared" si="81"/>
        <v>10C</v>
      </c>
      <c r="Z221" s="51" t="str">
        <f t="shared" si="82"/>
        <v>SE</v>
      </c>
      <c r="AA221" s="51">
        <f t="shared" si="83"/>
        <v>2</v>
      </c>
      <c r="AB221" s="51">
        <f t="shared" si="84"/>
        <v>9</v>
      </c>
      <c r="AC221" s="53"/>
      <c r="AD221" s="57"/>
      <c r="AE221" s="57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</row>
    <row r="222" spans="1:41" ht="30" x14ac:dyDescent="0.25">
      <c r="A222" s="62" t="s">
        <v>61</v>
      </c>
      <c r="B222" s="62" t="s">
        <v>1596</v>
      </c>
      <c r="C222" s="62" t="s">
        <v>2692</v>
      </c>
      <c r="D222" s="62" t="s">
        <v>807</v>
      </c>
      <c r="E222" s="62" t="s">
        <v>2693</v>
      </c>
      <c r="F222" s="62">
        <v>11</v>
      </c>
      <c r="G222" s="62" t="s">
        <v>13</v>
      </c>
      <c r="H222" s="62">
        <v>21</v>
      </c>
      <c r="I222" s="62">
        <f t="shared" si="66"/>
        <v>231</v>
      </c>
      <c r="J222" s="51">
        <f t="shared" si="76"/>
        <v>19</v>
      </c>
      <c r="K222" s="51">
        <f t="shared" si="67"/>
        <v>19</v>
      </c>
      <c r="L222" s="51">
        <f t="shared" si="68"/>
        <v>12307</v>
      </c>
      <c r="M222" s="51">
        <f t="shared" si="69"/>
        <v>101</v>
      </c>
      <c r="N222" s="51" t="b">
        <f t="shared" si="77"/>
        <v>0</v>
      </c>
      <c r="O222" s="51" t="b">
        <f t="shared" si="78"/>
        <v>1</v>
      </c>
      <c r="P222" s="51" t="str">
        <f t="shared" si="70"/>
        <v>ct-11</v>
      </c>
      <c r="Q222" s="52" t="str">
        <f t="shared" si="71"/>
        <v>21C000872</v>
      </c>
      <c r="R222" s="51" t="b">
        <f t="shared" si="72"/>
        <v>0</v>
      </c>
      <c r="S222" s="51"/>
      <c r="T222" s="51" t="str">
        <f t="shared" si="73"/>
        <v>CT</v>
      </c>
      <c r="U222" s="51" t="str">
        <f t="shared" si="74"/>
        <v>ct</v>
      </c>
      <c r="V222" s="51">
        <f t="shared" si="75"/>
        <v>1</v>
      </c>
      <c r="W222" s="51" t="str">
        <f t="shared" si="79"/>
        <v>P023 11</v>
      </c>
      <c r="X222" s="51" t="str">
        <f t="shared" si="80"/>
        <v>CT</v>
      </c>
      <c r="Y222" s="51" t="str">
        <f t="shared" si="81"/>
        <v>21C</v>
      </c>
      <c r="Z222" s="51" t="str">
        <f t="shared" si="82"/>
        <v>UE</v>
      </c>
      <c r="AA222" s="51">
        <f t="shared" si="83"/>
        <v>4</v>
      </c>
      <c r="AB222" s="51">
        <f t="shared" si="84"/>
        <v>9</v>
      </c>
      <c r="AC222" s="53"/>
      <c r="AD222" s="57"/>
      <c r="AE222" s="57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</row>
    <row r="223" spans="1:41" ht="30" x14ac:dyDescent="0.25">
      <c r="A223" s="62" t="s">
        <v>25</v>
      </c>
      <c r="B223" s="62" t="s">
        <v>2694</v>
      </c>
      <c r="C223" s="62" t="s">
        <v>2695</v>
      </c>
      <c r="D223" s="62" t="s">
        <v>902</v>
      </c>
      <c r="E223" s="62" t="s">
        <v>2696</v>
      </c>
      <c r="F223" s="62">
        <v>5</v>
      </c>
      <c r="G223" s="62" t="s">
        <v>904</v>
      </c>
      <c r="H223" s="62">
        <v>23</v>
      </c>
      <c r="I223" s="62">
        <f t="shared" si="66"/>
        <v>115</v>
      </c>
      <c r="J223" s="51">
        <f t="shared" si="76"/>
        <v>92.5</v>
      </c>
      <c r="K223" s="51">
        <f t="shared" si="67"/>
        <v>91</v>
      </c>
      <c r="L223" s="51">
        <f t="shared" si="68"/>
        <v>345</v>
      </c>
      <c r="M223" s="51">
        <f t="shared" si="69"/>
        <v>3</v>
      </c>
      <c r="N223" s="51" t="b">
        <f t="shared" si="77"/>
        <v>0</v>
      </c>
      <c r="O223" s="51" t="b">
        <f t="shared" si="78"/>
        <v>1</v>
      </c>
      <c r="P223" s="51" t="str">
        <f t="shared" si="70"/>
        <v>bars-5</v>
      </c>
      <c r="Q223" s="52" t="str">
        <f t="shared" si="71"/>
        <v>23C008655</v>
      </c>
      <c r="R223" s="51" t="b">
        <f t="shared" si="72"/>
        <v>0</v>
      </c>
      <c r="S223" s="51"/>
      <c r="T223" s="51" t="str">
        <f t="shared" si="73"/>
        <v>BARS</v>
      </c>
      <c r="U223" s="51" t="str">
        <f t="shared" si="74"/>
        <v>bars</v>
      </c>
      <c r="V223" s="51">
        <f t="shared" si="75"/>
        <v>1</v>
      </c>
      <c r="W223" s="51" t="str">
        <f t="shared" si="79"/>
        <v>P032 5</v>
      </c>
      <c r="X223" s="51" t="str">
        <f t="shared" si="80"/>
        <v>BARS</v>
      </c>
      <c r="Y223" s="51" t="str">
        <f t="shared" si="81"/>
        <v>23C</v>
      </c>
      <c r="Z223" s="51" t="str">
        <f t="shared" si="82"/>
        <v>UE</v>
      </c>
      <c r="AA223" s="51">
        <f t="shared" si="83"/>
        <v>4</v>
      </c>
      <c r="AB223" s="51">
        <f t="shared" si="84"/>
        <v>9</v>
      </c>
      <c r="AC223" s="53"/>
      <c r="AD223" s="57"/>
      <c r="AE223" s="57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</row>
    <row r="224" spans="1:41" ht="30" x14ac:dyDescent="0.25">
      <c r="A224" s="62" t="s">
        <v>224</v>
      </c>
      <c r="B224" s="62" t="s">
        <v>1551</v>
      </c>
      <c r="C224" s="62" t="s">
        <v>2697</v>
      </c>
      <c r="D224" s="62" t="s">
        <v>1340</v>
      </c>
      <c r="E224" s="62" t="s">
        <v>1867</v>
      </c>
      <c r="F224" s="62">
        <v>11</v>
      </c>
      <c r="G224" s="62" t="s">
        <v>13</v>
      </c>
      <c r="H224" s="62">
        <v>18</v>
      </c>
      <c r="I224" s="62">
        <f t="shared" si="66"/>
        <v>198</v>
      </c>
      <c r="J224" s="51">
        <f t="shared" si="76"/>
        <v>28</v>
      </c>
      <c r="K224" s="51">
        <f t="shared" si="67"/>
        <v>28</v>
      </c>
      <c r="L224" s="51">
        <f t="shared" si="68"/>
        <v>12307</v>
      </c>
      <c r="M224" s="51">
        <f t="shared" si="69"/>
        <v>101</v>
      </c>
      <c r="N224" s="51" t="b">
        <f t="shared" si="77"/>
        <v>0</v>
      </c>
      <c r="O224" s="51" t="b">
        <f t="shared" si="78"/>
        <v>1</v>
      </c>
      <c r="P224" s="51" t="str">
        <f t="shared" si="70"/>
        <v>ct-11</v>
      </c>
      <c r="Q224" s="52" t="str">
        <f t="shared" si="71"/>
        <v>18C007664</v>
      </c>
      <c r="R224" s="51" t="b">
        <f t="shared" si="72"/>
        <v>0</v>
      </c>
      <c r="S224" s="51"/>
      <c r="T224" s="51" t="str">
        <f t="shared" si="73"/>
        <v>CT</v>
      </c>
      <c r="U224" s="51" t="str">
        <f t="shared" si="74"/>
        <v>ct</v>
      </c>
      <c r="V224" s="51">
        <f t="shared" si="75"/>
        <v>1</v>
      </c>
      <c r="W224" s="51" t="str">
        <f t="shared" si="79"/>
        <v>P035 11</v>
      </c>
      <c r="X224" s="51" t="str">
        <f t="shared" si="80"/>
        <v>CT</v>
      </c>
      <c r="Y224" s="51" t="str">
        <f t="shared" si="81"/>
        <v>18C</v>
      </c>
      <c r="Z224" s="51" t="str">
        <f t="shared" si="82"/>
        <v>UE</v>
      </c>
      <c r="AA224" s="51">
        <f t="shared" si="83"/>
        <v>4</v>
      </c>
      <c r="AB224" s="51">
        <f t="shared" si="84"/>
        <v>9</v>
      </c>
      <c r="AC224" s="53"/>
      <c r="AD224" s="57"/>
      <c r="AE224" s="57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</row>
    <row r="225" spans="1:41" ht="30" x14ac:dyDescent="0.25">
      <c r="A225" s="62" t="s">
        <v>173</v>
      </c>
      <c r="B225" s="62" t="s">
        <v>2698</v>
      </c>
      <c r="C225" s="62" t="s">
        <v>2699</v>
      </c>
      <c r="D225" s="62" t="s">
        <v>1752</v>
      </c>
      <c r="E225" s="62" t="s">
        <v>589</v>
      </c>
      <c r="F225" s="62">
        <v>9</v>
      </c>
      <c r="G225" s="62" t="s">
        <v>60</v>
      </c>
      <c r="H225" s="62">
        <v>17.5</v>
      </c>
      <c r="I225" s="62">
        <f t="shared" si="66"/>
        <v>157.5</v>
      </c>
      <c r="J225" s="51">
        <f t="shared" si="76"/>
        <v>54</v>
      </c>
      <c r="K225" s="51">
        <f t="shared" si="67"/>
        <v>54</v>
      </c>
      <c r="L225" s="51">
        <f t="shared" si="68"/>
        <v>3427</v>
      </c>
      <c r="M225" s="51">
        <f t="shared" si="69"/>
        <v>31</v>
      </c>
      <c r="N225" s="51" t="b">
        <f t="shared" si="77"/>
        <v>0</v>
      </c>
      <c r="O225" s="51" t="b">
        <f t="shared" si="78"/>
        <v>1</v>
      </c>
      <c r="P225" s="51" t="str">
        <f t="shared" si="70"/>
        <v>bottles-9</v>
      </c>
      <c r="Q225" s="52" t="str">
        <f t="shared" si="71"/>
        <v>17.5C003983</v>
      </c>
      <c r="R225" s="51" t="b">
        <f t="shared" si="72"/>
        <v>0</v>
      </c>
      <c r="S225" s="51"/>
      <c r="T225" s="51" t="str">
        <f t="shared" si="73"/>
        <v>BOTTLES</v>
      </c>
      <c r="U225" s="51" t="str">
        <f t="shared" si="74"/>
        <v>bottles</v>
      </c>
      <c r="V225" s="51">
        <f t="shared" si="75"/>
        <v>1</v>
      </c>
      <c r="W225" s="51" t="str">
        <f t="shared" si="79"/>
        <v>P033 9</v>
      </c>
      <c r="X225" s="51" t="str">
        <f t="shared" si="80"/>
        <v>BOTTLES</v>
      </c>
      <c r="Y225" s="51" t="str">
        <f t="shared" si="81"/>
        <v>17.</v>
      </c>
      <c r="Z225" s="51" t="str">
        <f t="shared" si="82"/>
        <v>UE</v>
      </c>
      <c r="AA225" s="51">
        <f t="shared" si="83"/>
        <v>6</v>
      </c>
      <c r="AB225" s="51">
        <f t="shared" si="84"/>
        <v>11</v>
      </c>
      <c r="AC225" s="53"/>
      <c r="AD225" s="57"/>
      <c r="AE225" s="57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</row>
    <row r="226" spans="1:41" x14ac:dyDescent="0.25">
      <c r="A226" s="62" t="s">
        <v>14</v>
      </c>
      <c r="B226" s="62" t="s">
        <v>2700</v>
      </c>
      <c r="C226" s="62" t="s">
        <v>2701</v>
      </c>
      <c r="D226" s="62" t="s">
        <v>132</v>
      </c>
      <c r="E226" s="62" t="s">
        <v>129</v>
      </c>
      <c r="F226" s="62">
        <v>1</v>
      </c>
      <c r="G226" s="62" t="s">
        <v>35</v>
      </c>
      <c r="H226" s="62">
        <v>8</v>
      </c>
      <c r="I226" s="62">
        <f t="shared" si="66"/>
        <v>8</v>
      </c>
      <c r="J226" s="51">
        <f t="shared" si="76"/>
        <v>240</v>
      </c>
      <c r="K226" s="51">
        <f t="shared" si="67"/>
        <v>240</v>
      </c>
      <c r="L226" s="51">
        <f t="shared" si="68"/>
        <v>4518</v>
      </c>
      <c r="M226" s="51">
        <f t="shared" si="69"/>
        <v>52</v>
      </c>
      <c r="N226" s="51" t="b">
        <f t="shared" si="77"/>
        <v>1</v>
      </c>
      <c r="O226" s="51" t="b">
        <f t="shared" si="78"/>
        <v>0</v>
      </c>
      <c r="P226" s="51" t="str">
        <f t="shared" si="70"/>
        <v>cans-1</v>
      </c>
      <c r="Q226" s="52" t="str">
        <f t="shared" si="71"/>
        <v>8C000625</v>
      </c>
      <c r="R226" s="51" t="b">
        <f t="shared" si="72"/>
        <v>0</v>
      </c>
      <c r="S226" s="51"/>
      <c r="T226" s="51" t="str">
        <f t="shared" si="73"/>
        <v>CANS</v>
      </c>
      <c r="U226" s="51" t="str">
        <f t="shared" si="74"/>
        <v>cans</v>
      </c>
      <c r="V226" s="51">
        <f t="shared" si="75"/>
        <v>1</v>
      </c>
      <c r="W226" s="51" t="str">
        <f t="shared" si="79"/>
        <v>P022 1</v>
      </c>
      <c r="X226" s="51" t="str">
        <f t="shared" si="80"/>
        <v>CAOS</v>
      </c>
      <c r="Y226" s="51" t="str">
        <f t="shared" si="81"/>
        <v>8C0</v>
      </c>
      <c r="Z226" s="51" t="str">
        <f t="shared" si="82"/>
        <v>SE</v>
      </c>
      <c r="AA226" s="51">
        <f t="shared" si="83"/>
        <v>3</v>
      </c>
      <c r="AB226" s="51">
        <f t="shared" si="84"/>
        <v>8</v>
      </c>
      <c r="AC226" s="53"/>
      <c r="AD226" s="57"/>
      <c r="AE226" s="57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</row>
    <row r="227" spans="1:41" ht="30" x14ac:dyDescent="0.25">
      <c r="A227" s="62" t="s">
        <v>146</v>
      </c>
      <c r="B227" s="62" t="s">
        <v>2702</v>
      </c>
      <c r="C227" s="62" t="s">
        <v>2703</v>
      </c>
      <c r="D227" s="62" t="s">
        <v>623</v>
      </c>
      <c r="E227" s="62" t="s">
        <v>2379</v>
      </c>
      <c r="F227" s="62">
        <v>3</v>
      </c>
      <c r="G227" s="62" t="s">
        <v>35</v>
      </c>
      <c r="H227" s="62">
        <v>16.25</v>
      </c>
      <c r="I227" s="62">
        <f t="shared" si="66"/>
        <v>48.75</v>
      </c>
      <c r="J227" s="51">
        <f t="shared" si="76"/>
        <v>169</v>
      </c>
      <c r="K227" s="51">
        <f t="shared" si="67"/>
        <v>169</v>
      </c>
      <c r="L227" s="51">
        <f t="shared" si="68"/>
        <v>4518</v>
      </c>
      <c r="M227" s="51">
        <f t="shared" si="69"/>
        <v>52</v>
      </c>
      <c r="N227" s="51" t="b">
        <f t="shared" si="77"/>
        <v>1</v>
      </c>
      <c r="O227" s="51" t="b">
        <f t="shared" si="78"/>
        <v>0</v>
      </c>
      <c r="P227" s="51" t="str">
        <f t="shared" si="70"/>
        <v>cans-3</v>
      </c>
      <c r="Q227" s="52" t="str">
        <f t="shared" si="71"/>
        <v>16.25C000562</v>
      </c>
      <c r="R227" s="51" t="b">
        <f t="shared" si="72"/>
        <v>0</v>
      </c>
      <c r="S227" s="51"/>
      <c r="T227" s="51" t="str">
        <f t="shared" si="73"/>
        <v>CANS</v>
      </c>
      <c r="U227" s="51" t="str">
        <f t="shared" si="74"/>
        <v>cans</v>
      </c>
      <c r="V227" s="51">
        <f t="shared" si="75"/>
        <v>1</v>
      </c>
      <c r="W227" s="51" t="str">
        <f t="shared" si="79"/>
        <v>P010 3</v>
      </c>
      <c r="X227" s="51" t="str">
        <f t="shared" si="80"/>
        <v>CAOS</v>
      </c>
      <c r="Y227" s="51" t="str">
        <f t="shared" si="81"/>
        <v>16.</v>
      </c>
      <c r="Z227" s="51" t="str">
        <f t="shared" si="82"/>
        <v>SE</v>
      </c>
      <c r="AA227" s="51">
        <f t="shared" si="83"/>
        <v>7</v>
      </c>
      <c r="AB227" s="51">
        <f t="shared" si="84"/>
        <v>12</v>
      </c>
      <c r="AC227" s="53"/>
      <c r="AD227" s="57"/>
      <c r="AE227" s="57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</row>
    <row r="228" spans="1:41" ht="30" x14ac:dyDescent="0.25">
      <c r="A228" s="62" t="s">
        <v>209</v>
      </c>
      <c r="B228" s="62" t="s">
        <v>2377</v>
      </c>
      <c r="C228" s="62" t="s">
        <v>2704</v>
      </c>
      <c r="D228" s="62" t="s">
        <v>753</v>
      </c>
      <c r="E228" s="62" t="s">
        <v>1861</v>
      </c>
      <c r="F228" s="62">
        <v>10</v>
      </c>
      <c r="G228" s="62" t="s">
        <v>35</v>
      </c>
      <c r="H228" s="62">
        <v>11.5</v>
      </c>
      <c r="I228" s="62">
        <f t="shared" si="66"/>
        <v>115</v>
      </c>
      <c r="J228" s="51">
        <f t="shared" si="76"/>
        <v>92.5</v>
      </c>
      <c r="K228" s="51">
        <f t="shared" si="67"/>
        <v>91</v>
      </c>
      <c r="L228" s="51">
        <f t="shared" si="68"/>
        <v>4518</v>
      </c>
      <c r="M228" s="51">
        <f t="shared" si="69"/>
        <v>52</v>
      </c>
      <c r="N228" s="51" t="b">
        <f t="shared" si="77"/>
        <v>0</v>
      </c>
      <c r="O228" s="51" t="b">
        <f t="shared" si="78"/>
        <v>1</v>
      </c>
      <c r="P228" s="51" t="str">
        <f t="shared" si="70"/>
        <v>cans-10</v>
      </c>
      <c r="Q228" s="52" t="str">
        <f t="shared" si="71"/>
        <v>11.5C005274</v>
      </c>
      <c r="R228" s="51" t="b">
        <f t="shared" si="72"/>
        <v>0</v>
      </c>
      <c r="S228" s="51"/>
      <c r="T228" s="51" t="str">
        <f t="shared" si="73"/>
        <v>CANS</v>
      </c>
      <c r="U228" s="51" t="str">
        <f t="shared" si="74"/>
        <v>cans</v>
      </c>
      <c r="V228" s="51">
        <f t="shared" si="75"/>
        <v>1</v>
      </c>
      <c r="W228" s="51" t="str">
        <f t="shared" si="79"/>
        <v>P021 10</v>
      </c>
      <c r="X228" s="51" t="str">
        <f t="shared" si="80"/>
        <v>CAOS</v>
      </c>
      <c r="Y228" s="51" t="str">
        <f t="shared" si="81"/>
        <v>11.</v>
      </c>
      <c r="Z228" s="51" t="str">
        <f t="shared" si="82"/>
        <v>UE</v>
      </c>
      <c r="AA228" s="51">
        <f t="shared" si="83"/>
        <v>6</v>
      </c>
      <c r="AB228" s="51">
        <f t="shared" si="84"/>
        <v>11</v>
      </c>
      <c r="AC228" s="53"/>
      <c r="AD228" s="57"/>
      <c r="AE228" s="57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</row>
    <row r="229" spans="1:41" ht="30" x14ac:dyDescent="0.25">
      <c r="A229" s="62" t="s">
        <v>283</v>
      </c>
      <c r="B229" s="62" t="s">
        <v>2705</v>
      </c>
      <c r="C229" s="62" t="s">
        <v>2706</v>
      </c>
      <c r="D229" s="62" t="s">
        <v>1313</v>
      </c>
      <c r="E229" s="62" t="s">
        <v>1051</v>
      </c>
      <c r="F229" s="62">
        <v>8</v>
      </c>
      <c r="G229" s="62" t="s">
        <v>269</v>
      </c>
      <c r="H229" s="62">
        <v>15</v>
      </c>
      <c r="I229" s="62">
        <f t="shared" si="66"/>
        <v>120</v>
      </c>
      <c r="J229" s="51">
        <f t="shared" si="76"/>
        <v>85</v>
      </c>
      <c r="K229" s="51">
        <f t="shared" si="67"/>
        <v>83</v>
      </c>
      <c r="L229" s="51">
        <f t="shared" si="68"/>
        <v>559</v>
      </c>
      <c r="M229" s="51">
        <f t="shared" si="69"/>
        <v>7</v>
      </c>
      <c r="N229" s="51" t="b">
        <f t="shared" si="77"/>
        <v>0</v>
      </c>
      <c r="O229" s="51" t="b">
        <f t="shared" si="78"/>
        <v>1</v>
      </c>
      <c r="P229" s="51" t="str">
        <f t="shared" si="70"/>
        <v>ct.-8</v>
      </c>
      <c r="Q229" s="52" t="str">
        <f t="shared" si="71"/>
        <v>15C006370</v>
      </c>
      <c r="R229" s="51" t="b">
        <f t="shared" si="72"/>
        <v>0</v>
      </c>
      <c r="S229" s="51"/>
      <c r="T229" s="51" t="str">
        <f t="shared" si="73"/>
        <v>CT.</v>
      </c>
      <c r="U229" s="51" t="str">
        <f t="shared" si="74"/>
        <v>ct.</v>
      </c>
      <c r="V229" s="51">
        <f t="shared" si="75"/>
        <v>1</v>
      </c>
      <c r="W229" s="51" t="str">
        <f t="shared" si="79"/>
        <v>P039 8</v>
      </c>
      <c r="X229" s="51" t="str">
        <f t="shared" si="80"/>
        <v>CT.</v>
      </c>
      <c r="Y229" s="51" t="str">
        <f t="shared" si="81"/>
        <v>15C</v>
      </c>
      <c r="Z229" s="51" t="str">
        <f t="shared" si="82"/>
        <v>UE</v>
      </c>
      <c r="AA229" s="51">
        <f t="shared" si="83"/>
        <v>4</v>
      </c>
      <c r="AB229" s="51">
        <f t="shared" si="84"/>
        <v>9</v>
      </c>
      <c r="AC229" s="53"/>
      <c r="AD229" s="57"/>
      <c r="AE229" s="57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</row>
    <row r="230" spans="1:41" ht="30" x14ac:dyDescent="0.25">
      <c r="A230" s="62" t="s">
        <v>162</v>
      </c>
      <c r="B230" s="62" t="s">
        <v>2707</v>
      </c>
      <c r="C230" s="62" t="s">
        <v>2708</v>
      </c>
      <c r="D230" s="62" t="s">
        <v>1547</v>
      </c>
      <c r="E230" s="62" t="s">
        <v>2709</v>
      </c>
      <c r="F230" s="62">
        <v>4</v>
      </c>
      <c r="G230" s="62" t="s">
        <v>35</v>
      </c>
      <c r="H230" s="62">
        <v>16.25</v>
      </c>
      <c r="I230" s="62">
        <f t="shared" si="66"/>
        <v>65</v>
      </c>
      <c r="J230" s="51">
        <f t="shared" si="76"/>
        <v>152</v>
      </c>
      <c r="K230" s="51">
        <f t="shared" si="67"/>
        <v>151</v>
      </c>
      <c r="L230" s="51">
        <f t="shared" si="68"/>
        <v>4518</v>
      </c>
      <c r="M230" s="51">
        <f t="shared" si="69"/>
        <v>52</v>
      </c>
      <c r="N230" s="51" t="b">
        <f t="shared" si="77"/>
        <v>1</v>
      </c>
      <c r="O230" s="51" t="b">
        <f t="shared" si="78"/>
        <v>0</v>
      </c>
      <c r="P230" s="51" t="str">
        <f t="shared" si="70"/>
        <v>cans-4</v>
      </c>
      <c r="Q230" s="52" t="str">
        <f t="shared" si="71"/>
        <v>16.25C002865</v>
      </c>
      <c r="R230" s="51" t="b">
        <f t="shared" si="72"/>
        <v>0</v>
      </c>
      <c r="S230" s="51"/>
      <c r="T230" s="51" t="str">
        <f t="shared" si="73"/>
        <v>CANS</v>
      </c>
      <c r="U230" s="51" t="str">
        <f t="shared" si="74"/>
        <v>cans</v>
      </c>
      <c r="V230" s="51">
        <f t="shared" si="75"/>
        <v>1</v>
      </c>
      <c r="W230" s="51" t="str">
        <f t="shared" si="79"/>
        <v>P012 4</v>
      </c>
      <c r="X230" s="51" t="str">
        <f t="shared" si="80"/>
        <v>CAOS</v>
      </c>
      <c r="Y230" s="51" t="str">
        <f t="shared" si="81"/>
        <v>16.</v>
      </c>
      <c r="Z230" s="51" t="str">
        <f t="shared" si="82"/>
        <v>SE</v>
      </c>
      <c r="AA230" s="51">
        <f t="shared" si="83"/>
        <v>7</v>
      </c>
      <c r="AB230" s="51">
        <f t="shared" si="84"/>
        <v>12</v>
      </c>
      <c r="AC230" s="53"/>
      <c r="AD230" s="57"/>
      <c r="AE230" s="57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</row>
    <row r="231" spans="1:41" ht="30" x14ac:dyDescent="0.25">
      <c r="A231" s="62" t="s">
        <v>96</v>
      </c>
      <c r="B231" s="62" t="s">
        <v>1209</v>
      </c>
      <c r="C231" s="62" t="s">
        <v>2710</v>
      </c>
      <c r="D231" s="62" t="s">
        <v>499</v>
      </c>
      <c r="E231" s="62" t="s">
        <v>1258</v>
      </c>
      <c r="F231" s="62">
        <v>2</v>
      </c>
      <c r="G231" s="62" t="s">
        <v>60</v>
      </c>
      <c r="H231" s="62">
        <v>17.5</v>
      </c>
      <c r="I231" s="62">
        <f t="shared" si="66"/>
        <v>35</v>
      </c>
      <c r="J231" s="51">
        <f t="shared" si="76"/>
        <v>185</v>
      </c>
      <c r="K231" s="51">
        <f t="shared" si="67"/>
        <v>185</v>
      </c>
      <c r="L231" s="51">
        <f t="shared" si="68"/>
        <v>3427</v>
      </c>
      <c r="M231" s="51">
        <f t="shared" si="69"/>
        <v>31</v>
      </c>
      <c r="N231" s="51" t="b">
        <f t="shared" si="77"/>
        <v>1</v>
      </c>
      <c r="O231" s="51" t="b">
        <f t="shared" si="78"/>
        <v>0</v>
      </c>
      <c r="P231" s="51" t="str">
        <f t="shared" si="70"/>
        <v>bottles-2</v>
      </c>
      <c r="Q231" s="52" t="str">
        <f t="shared" si="71"/>
        <v>17.5C007612</v>
      </c>
      <c r="R231" s="51" t="b">
        <f t="shared" si="72"/>
        <v>0</v>
      </c>
      <c r="S231" s="51"/>
      <c r="T231" s="51" t="str">
        <f t="shared" si="73"/>
        <v>BOTTLES</v>
      </c>
      <c r="U231" s="51" t="str">
        <f t="shared" si="74"/>
        <v>bottles</v>
      </c>
      <c r="V231" s="51">
        <f t="shared" si="75"/>
        <v>1</v>
      </c>
      <c r="W231" s="51" t="str">
        <f t="shared" si="79"/>
        <v>P016 2</v>
      </c>
      <c r="X231" s="51" t="str">
        <f t="shared" si="80"/>
        <v>BOTTLES</v>
      </c>
      <c r="Y231" s="51" t="str">
        <f t="shared" si="81"/>
        <v>17.</v>
      </c>
      <c r="Z231" s="51" t="str">
        <f t="shared" si="82"/>
        <v>SE</v>
      </c>
      <c r="AA231" s="51">
        <f t="shared" si="83"/>
        <v>6</v>
      </c>
      <c r="AB231" s="51">
        <f t="shared" si="84"/>
        <v>11</v>
      </c>
      <c r="AC231" s="53"/>
      <c r="AD231" s="57"/>
      <c r="AE231" s="57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</row>
    <row r="232" spans="1:41" ht="30" x14ac:dyDescent="0.25">
      <c r="A232" s="62" t="s">
        <v>96</v>
      </c>
      <c r="B232" s="62" t="s">
        <v>1564</v>
      </c>
      <c r="C232" s="62" t="s">
        <v>2711</v>
      </c>
      <c r="D232" s="62" t="s">
        <v>1547</v>
      </c>
      <c r="E232" s="62" t="s">
        <v>1014</v>
      </c>
      <c r="F232" s="62">
        <v>7</v>
      </c>
      <c r="G232" s="62" t="s">
        <v>35</v>
      </c>
      <c r="H232" s="62">
        <v>16.25</v>
      </c>
      <c r="I232" s="62">
        <f t="shared" si="66"/>
        <v>113.75</v>
      </c>
      <c r="J232" s="51">
        <f t="shared" si="76"/>
        <v>95</v>
      </c>
      <c r="K232" s="51">
        <f t="shared" si="67"/>
        <v>95</v>
      </c>
      <c r="L232" s="51">
        <f t="shared" si="68"/>
        <v>4518</v>
      </c>
      <c r="M232" s="51">
        <f t="shared" si="69"/>
        <v>52</v>
      </c>
      <c r="N232" s="51" t="b">
        <f t="shared" si="77"/>
        <v>0</v>
      </c>
      <c r="O232" s="51" t="b">
        <f t="shared" si="78"/>
        <v>1</v>
      </c>
      <c r="P232" s="51" t="str">
        <f t="shared" si="70"/>
        <v>cans-7</v>
      </c>
      <c r="Q232" s="52" t="str">
        <f t="shared" si="71"/>
        <v>16.25C007256</v>
      </c>
      <c r="R232" s="51" t="b">
        <f t="shared" si="72"/>
        <v>0</v>
      </c>
      <c r="S232" s="51"/>
      <c r="T232" s="51" t="str">
        <f t="shared" si="73"/>
        <v>CANS</v>
      </c>
      <c r="U232" s="51" t="str">
        <f t="shared" si="74"/>
        <v>cans</v>
      </c>
      <c r="V232" s="51">
        <f t="shared" si="75"/>
        <v>1</v>
      </c>
      <c r="W232" s="51" t="str">
        <f t="shared" si="79"/>
        <v>P016 7</v>
      </c>
      <c r="X232" s="51" t="str">
        <f t="shared" si="80"/>
        <v>CAOS</v>
      </c>
      <c r="Y232" s="51" t="str">
        <f t="shared" si="81"/>
        <v>16.</v>
      </c>
      <c r="Z232" s="51" t="str">
        <f t="shared" si="82"/>
        <v>UE</v>
      </c>
      <c r="AA232" s="51">
        <f t="shared" si="83"/>
        <v>7</v>
      </c>
      <c r="AB232" s="51">
        <f t="shared" si="84"/>
        <v>12</v>
      </c>
      <c r="AC232" s="53"/>
      <c r="AD232" s="57"/>
      <c r="AE232" s="57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</row>
    <row r="233" spans="1:41" ht="30" x14ac:dyDescent="0.25">
      <c r="A233" s="62" t="s">
        <v>25</v>
      </c>
      <c r="B233" s="62" t="s">
        <v>2712</v>
      </c>
      <c r="C233" s="62" t="s">
        <v>2713</v>
      </c>
      <c r="D233" s="62" t="s">
        <v>397</v>
      </c>
      <c r="E233" s="62" t="s">
        <v>987</v>
      </c>
      <c r="F233" s="62">
        <v>10</v>
      </c>
      <c r="G233" s="62" t="s">
        <v>35</v>
      </c>
      <c r="H233" s="62">
        <v>16.25</v>
      </c>
      <c r="I233" s="62">
        <f t="shared" si="66"/>
        <v>162.5</v>
      </c>
      <c r="J233" s="51">
        <f t="shared" si="76"/>
        <v>45</v>
      </c>
      <c r="K233" s="51">
        <f t="shared" si="67"/>
        <v>45</v>
      </c>
      <c r="L233" s="51">
        <f t="shared" si="68"/>
        <v>4518</v>
      </c>
      <c r="M233" s="51">
        <f t="shared" si="69"/>
        <v>52</v>
      </c>
      <c r="N233" s="51" t="b">
        <f t="shared" si="77"/>
        <v>0</v>
      </c>
      <c r="O233" s="51" t="b">
        <f t="shared" si="78"/>
        <v>1</v>
      </c>
      <c r="P233" s="51" t="str">
        <f t="shared" si="70"/>
        <v>cans-10</v>
      </c>
      <c r="Q233" s="52" t="str">
        <f t="shared" si="71"/>
        <v>16.25C000932</v>
      </c>
      <c r="R233" s="51" t="b">
        <f t="shared" si="72"/>
        <v>0</v>
      </c>
      <c r="S233" s="51"/>
      <c r="T233" s="51" t="str">
        <f t="shared" si="73"/>
        <v>CANS</v>
      </c>
      <c r="U233" s="51" t="str">
        <f t="shared" si="74"/>
        <v>cans</v>
      </c>
      <c r="V233" s="51">
        <f t="shared" si="75"/>
        <v>1</v>
      </c>
      <c r="W233" s="51" t="str">
        <f t="shared" si="79"/>
        <v>P032 10</v>
      </c>
      <c r="X233" s="51" t="str">
        <f t="shared" si="80"/>
        <v>CAOS</v>
      </c>
      <c r="Y233" s="51" t="str">
        <f t="shared" si="81"/>
        <v>16.</v>
      </c>
      <c r="Z233" s="51" t="str">
        <f t="shared" si="82"/>
        <v>UE</v>
      </c>
      <c r="AA233" s="51">
        <f t="shared" si="83"/>
        <v>7</v>
      </c>
      <c r="AB233" s="51">
        <f t="shared" si="84"/>
        <v>12</v>
      </c>
      <c r="AC233" s="53"/>
      <c r="AD233" s="57"/>
      <c r="AE233" s="57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</row>
    <row r="234" spans="1:41" ht="30" x14ac:dyDescent="0.25">
      <c r="A234" s="62" t="s">
        <v>125</v>
      </c>
      <c r="B234" s="62" t="s">
        <v>2714</v>
      </c>
      <c r="C234" s="62" t="s">
        <v>2715</v>
      </c>
      <c r="D234" s="62" t="s">
        <v>503</v>
      </c>
      <c r="E234" s="62" t="s">
        <v>2006</v>
      </c>
      <c r="F234" s="62">
        <v>2</v>
      </c>
      <c r="G234" s="62" t="s">
        <v>13</v>
      </c>
      <c r="H234" s="62">
        <v>16.5</v>
      </c>
      <c r="I234" s="62">
        <f t="shared" si="66"/>
        <v>33</v>
      </c>
      <c r="J234" s="51">
        <f t="shared" si="76"/>
        <v>189.5</v>
      </c>
      <c r="K234" s="51">
        <f t="shared" si="67"/>
        <v>188</v>
      </c>
      <c r="L234" s="51">
        <f t="shared" si="68"/>
        <v>12307</v>
      </c>
      <c r="M234" s="51">
        <f t="shared" si="69"/>
        <v>101</v>
      </c>
      <c r="N234" s="51" t="b">
        <f t="shared" si="77"/>
        <v>1</v>
      </c>
      <c r="O234" s="51" t="b">
        <f t="shared" si="78"/>
        <v>0</v>
      </c>
      <c r="P234" s="51" t="str">
        <f t="shared" si="70"/>
        <v>ct-2</v>
      </c>
      <c r="Q234" s="52" t="str">
        <f t="shared" si="71"/>
        <v>16.5C003890</v>
      </c>
      <c r="R234" s="51" t="b">
        <f t="shared" si="72"/>
        <v>0</v>
      </c>
      <c r="S234" s="51"/>
      <c r="T234" s="51" t="str">
        <f t="shared" si="73"/>
        <v>CT</v>
      </c>
      <c r="U234" s="51" t="str">
        <f t="shared" si="74"/>
        <v>ct</v>
      </c>
      <c r="V234" s="51">
        <f t="shared" si="75"/>
        <v>1</v>
      </c>
      <c r="W234" s="51" t="str">
        <f t="shared" si="79"/>
        <v>P028 2</v>
      </c>
      <c r="X234" s="51" t="str">
        <f t="shared" si="80"/>
        <v>CT</v>
      </c>
      <c r="Y234" s="51" t="str">
        <f t="shared" si="81"/>
        <v>16.</v>
      </c>
      <c r="Z234" s="51" t="str">
        <f t="shared" si="82"/>
        <v>SE</v>
      </c>
      <c r="AA234" s="51">
        <f t="shared" si="83"/>
        <v>6</v>
      </c>
      <c r="AB234" s="51">
        <f t="shared" si="84"/>
        <v>11</v>
      </c>
      <c r="AC234" s="53"/>
      <c r="AD234" s="57"/>
      <c r="AE234" s="57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</row>
    <row r="235" spans="1:41" ht="30" x14ac:dyDescent="0.25">
      <c r="A235" s="62" t="s">
        <v>125</v>
      </c>
      <c r="B235" s="62" t="s">
        <v>2716</v>
      </c>
      <c r="C235" s="62" t="s">
        <v>2717</v>
      </c>
      <c r="D235" s="62" t="s">
        <v>563</v>
      </c>
      <c r="E235" s="62" t="s">
        <v>2425</v>
      </c>
      <c r="F235" s="62">
        <v>1</v>
      </c>
      <c r="G235" s="62" t="s">
        <v>60</v>
      </c>
      <c r="H235" s="62">
        <v>18</v>
      </c>
      <c r="I235" s="62">
        <f t="shared" si="66"/>
        <v>18</v>
      </c>
      <c r="J235" s="51">
        <f t="shared" si="76"/>
        <v>221.5</v>
      </c>
      <c r="K235" s="51">
        <f t="shared" si="67"/>
        <v>221</v>
      </c>
      <c r="L235" s="51">
        <f t="shared" si="68"/>
        <v>3427</v>
      </c>
      <c r="M235" s="51">
        <f t="shared" si="69"/>
        <v>31</v>
      </c>
      <c r="N235" s="51" t="b">
        <f t="shared" si="77"/>
        <v>1</v>
      </c>
      <c r="O235" s="51" t="b">
        <f t="shared" si="78"/>
        <v>0</v>
      </c>
      <c r="P235" s="51" t="str">
        <f t="shared" si="70"/>
        <v>bottles-1</v>
      </c>
      <c r="Q235" s="52" t="str">
        <f t="shared" si="71"/>
        <v>18C007012</v>
      </c>
      <c r="R235" s="51" t="b">
        <f t="shared" si="72"/>
        <v>0</v>
      </c>
      <c r="S235" s="51"/>
      <c r="T235" s="51" t="str">
        <f t="shared" si="73"/>
        <v>BOTTLES</v>
      </c>
      <c r="U235" s="51" t="str">
        <f t="shared" si="74"/>
        <v>bottles</v>
      </c>
      <c r="V235" s="51">
        <f t="shared" si="75"/>
        <v>1</v>
      </c>
      <c r="W235" s="51" t="str">
        <f t="shared" si="79"/>
        <v>P028 1</v>
      </c>
      <c r="X235" s="51" t="str">
        <f t="shared" si="80"/>
        <v>BOTTLES</v>
      </c>
      <c r="Y235" s="51" t="str">
        <f t="shared" si="81"/>
        <v>18C</v>
      </c>
      <c r="Z235" s="51" t="str">
        <f t="shared" si="82"/>
        <v>SE</v>
      </c>
      <c r="AA235" s="51">
        <f t="shared" si="83"/>
        <v>4</v>
      </c>
      <c r="AB235" s="51">
        <f t="shared" si="84"/>
        <v>9</v>
      </c>
      <c r="AC235" s="53"/>
      <c r="AD235" s="57"/>
      <c r="AE235" s="57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</row>
    <row r="236" spans="1:41" ht="30" x14ac:dyDescent="0.25">
      <c r="A236" s="62" t="s">
        <v>209</v>
      </c>
      <c r="B236" s="62" t="s">
        <v>2718</v>
      </c>
      <c r="C236" s="62" t="s">
        <v>2719</v>
      </c>
      <c r="D236" s="62" t="s">
        <v>997</v>
      </c>
      <c r="E236" s="62" t="s">
        <v>1852</v>
      </c>
      <c r="F236" s="62">
        <v>4</v>
      </c>
      <c r="G236" s="62" t="s">
        <v>106</v>
      </c>
      <c r="H236" s="62">
        <v>17</v>
      </c>
      <c r="I236" s="62">
        <f t="shared" si="66"/>
        <v>68</v>
      </c>
      <c r="J236" s="51">
        <f t="shared" si="76"/>
        <v>148.5</v>
      </c>
      <c r="K236" s="51">
        <f t="shared" si="67"/>
        <v>148</v>
      </c>
      <c r="L236" s="51">
        <f t="shared" si="68"/>
        <v>1357</v>
      </c>
      <c r="M236" s="51">
        <f t="shared" si="69"/>
        <v>14</v>
      </c>
      <c r="N236" s="51" t="b">
        <f t="shared" si="77"/>
        <v>1</v>
      </c>
      <c r="O236" s="51" t="b">
        <f t="shared" si="78"/>
        <v>0</v>
      </c>
      <c r="P236" s="51" t="str">
        <f t="shared" si="70"/>
        <v>bags-4</v>
      </c>
      <c r="Q236" s="52" t="str">
        <f t="shared" si="71"/>
        <v>17C008350</v>
      </c>
      <c r="R236" s="51" t="b">
        <f t="shared" si="72"/>
        <v>0</v>
      </c>
      <c r="S236" s="51"/>
      <c r="T236" s="51" t="str">
        <f t="shared" si="73"/>
        <v>BAGS</v>
      </c>
      <c r="U236" s="51" t="str">
        <f t="shared" si="74"/>
        <v>bags</v>
      </c>
      <c r="V236" s="51">
        <f t="shared" si="75"/>
        <v>1</v>
      </c>
      <c r="W236" s="51" t="str">
        <f t="shared" si="79"/>
        <v>P021 4</v>
      </c>
      <c r="X236" s="51" t="str">
        <f t="shared" si="80"/>
        <v>BAGS</v>
      </c>
      <c r="Y236" s="51" t="str">
        <f t="shared" si="81"/>
        <v>17C</v>
      </c>
      <c r="Z236" s="51" t="str">
        <f t="shared" si="82"/>
        <v>SE</v>
      </c>
      <c r="AA236" s="51">
        <f t="shared" si="83"/>
        <v>4</v>
      </c>
      <c r="AB236" s="51">
        <f t="shared" si="84"/>
        <v>9</v>
      </c>
      <c r="AC236" s="53"/>
      <c r="AD236" s="57"/>
      <c r="AE236" s="57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</row>
    <row r="237" spans="1:41" ht="30" x14ac:dyDescent="0.25">
      <c r="A237" s="62" t="s">
        <v>173</v>
      </c>
      <c r="B237" s="62" t="s">
        <v>2720</v>
      </c>
      <c r="C237" s="62" t="s">
        <v>2721</v>
      </c>
      <c r="D237" s="62" t="s">
        <v>785</v>
      </c>
      <c r="E237" s="62" t="s">
        <v>222</v>
      </c>
      <c r="F237" s="62">
        <v>1</v>
      </c>
      <c r="G237" s="62" t="s">
        <v>13</v>
      </c>
      <c r="H237" s="62">
        <v>29</v>
      </c>
      <c r="I237" s="62">
        <f t="shared" si="66"/>
        <v>29</v>
      </c>
      <c r="J237" s="51">
        <f t="shared" si="76"/>
        <v>201</v>
      </c>
      <c r="K237" s="51">
        <f t="shared" si="67"/>
        <v>201</v>
      </c>
      <c r="L237" s="51">
        <f t="shared" si="68"/>
        <v>12307</v>
      </c>
      <c r="M237" s="51">
        <f t="shared" si="69"/>
        <v>101</v>
      </c>
      <c r="N237" s="51" t="b">
        <f t="shared" si="77"/>
        <v>1</v>
      </c>
      <c r="O237" s="51" t="b">
        <f t="shared" si="78"/>
        <v>0</v>
      </c>
      <c r="P237" s="51" t="str">
        <f t="shared" si="70"/>
        <v>ct-1</v>
      </c>
      <c r="Q237" s="52" t="str">
        <f t="shared" si="71"/>
        <v>29C006710</v>
      </c>
      <c r="R237" s="51" t="b">
        <f t="shared" si="72"/>
        <v>0</v>
      </c>
      <c r="S237" s="51"/>
      <c r="T237" s="51" t="str">
        <f t="shared" si="73"/>
        <v>CT</v>
      </c>
      <c r="U237" s="51" t="str">
        <f t="shared" si="74"/>
        <v>ct</v>
      </c>
      <c r="V237" s="51">
        <f t="shared" si="75"/>
        <v>1</v>
      </c>
      <c r="W237" s="51" t="str">
        <f t="shared" si="79"/>
        <v>P033 1</v>
      </c>
      <c r="X237" s="51" t="str">
        <f t="shared" si="80"/>
        <v>CT</v>
      </c>
      <c r="Y237" s="51" t="str">
        <f t="shared" si="81"/>
        <v>29C</v>
      </c>
      <c r="Z237" s="51" t="str">
        <f t="shared" si="82"/>
        <v>SE</v>
      </c>
      <c r="AA237" s="51">
        <f t="shared" si="83"/>
        <v>4</v>
      </c>
      <c r="AB237" s="51">
        <f t="shared" si="84"/>
        <v>9</v>
      </c>
      <c r="AC237" s="53"/>
      <c r="AD237" s="57"/>
      <c r="AE237" s="57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</row>
    <row r="238" spans="1:41" ht="30" x14ac:dyDescent="0.25">
      <c r="A238" s="62" t="s">
        <v>137</v>
      </c>
      <c r="B238" s="62" t="s">
        <v>1794</v>
      </c>
      <c r="C238" s="62" t="s">
        <v>2722</v>
      </c>
      <c r="D238" s="62" t="s">
        <v>979</v>
      </c>
      <c r="E238" s="62" t="s">
        <v>2723</v>
      </c>
      <c r="F238" s="62">
        <v>10</v>
      </c>
      <c r="G238" s="62" t="s">
        <v>13</v>
      </c>
      <c r="H238" s="62">
        <v>17</v>
      </c>
      <c r="I238" s="62">
        <f t="shared" si="66"/>
        <v>170</v>
      </c>
      <c r="J238" s="51">
        <f t="shared" si="76"/>
        <v>41</v>
      </c>
      <c r="K238" s="51">
        <f t="shared" si="67"/>
        <v>41</v>
      </c>
      <c r="L238" s="51">
        <f t="shared" si="68"/>
        <v>12307</v>
      </c>
      <c r="M238" s="51">
        <f t="shared" si="69"/>
        <v>101</v>
      </c>
      <c r="N238" s="51" t="b">
        <f t="shared" si="77"/>
        <v>0</v>
      </c>
      <c r="O238" s="51" t="b">
        <f t="shared" si="78"/>
        <v>1</v>
      </c>
      <c r="P238" s="51" t="str">
        <f t="shared" si="70"/>
        <v>ct-10</v>
      </c>
      <c r="Q238" s="52" t="str">
        <f t="shared" si="71"/>
        <v>17C005809</v>
      </c>
      <c r="R238" s="51" t="b">
        <f t="shared" si="72"/>
        <v>0</v>
      </c>
      <c r="S238" s="51"/>
      <c r="T238" s="51" t="str">
        <f t="shared" si="73"/>
        <v>CT</v>
      </c>
      <c r="U238" s="51" t="str">
        <f t="shared" si="74"/>
        <v>ct</v>
      </c>
      <c r="V238" s="51">
        <f t="shared" si="75"/>
        <v>1</v>
      </c>
      <c r="W238" s="51" t="str">
        <f t="shared" si="79"/>
        <v>P020 10</v>
      </c>
      <c r="X238" s="51" t="str">
        <f t="shared" si="80"/>
        <v>CT</v>
      </c>
      <c r="Y238" s="51" t="str">
        <f t="shared" si="81"/>
        <v>17C</v>
      </c>
      <c r="Z238" s="51" t="str">
        <f t="shared" si="82"/>
        <v>UE</v>
      </c>
      <c r="AA238" s="51">
        <f t="shared" si="83"/>
        <v>4</v>
      </c>
      <c r="AB238" s="51">
        <f t="shared" si="84"/>
        <v>9</v>
      </c>
      <c r="AC238" s="53"/>
      <c r="AD238" s="57"/>
      <c r="AE238" s="57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</row>
    <row r="239" spans="1:41" ht="30" x14ac:dyDescent="0.25">
      <c r="A239" s="62" t="s">
        <v>96</v>
      </c>
      <c r="B239" s="62" t="s">
        <v>2724</v>
      </c>
      <c r="C239" s="62" t="s">
        <v>2725</v>
      </c>
      <c r="D239" s="62" t="s">
        <v>1884</v>
      </c>
      <c r="E239" s="62" t="s">
        <v>2526</v>
      </c>
      <c r="F239" s="62">
        <v>2</v>
      </c>
      <c r="G239" s="62" t="s">
        <v>167</v>
      </c>
      <c r="H239" s="62">
        <v>15</v>
      </c>
      <c r="I239" s="62">
        <f t="shared" si="66"/>
        <v>30</v>
      </c>
      <c r="J239" s="51">
        <f t="shared" si="76"/>
        <v>198</v>
      </c>
      <c r="K239" s="51">
        <f t="shared" si="67"/>
        <v>196</v>
      </c>
      <c r="L239" s="51">
        <f t="shared" si="68"/>
        <v>961.5</v>
      </c>
      <c r="M239" s="51">
        <f t="shared" si="69"/>
        <v>12</v>
      </c>
      <c r="N239" s="51" t="b">
        <f t="shared" si="77"/>
        <v>1</v>
      </c>
      <c r="O239" s="51" t="b">
        <f t="shared" si="78"/>
        <v>0</v>
      </c>
      <c r="P239" s="51" t="str">
        <f t="shared" si="70"/>
        <v>oz-2</v>
      </c>
      <c r="Q239" s="52" t="str">
        <f t="shared" si="71"/>
        <v>15C005592</v>
      </c>
      <c r="R239" s="51" t="b">
        <f t="shared" si="72"/>
        <v>0</v>
      </c>
      <c r="S239" s="51"/>
      <c r="T239" s="51" t="str">
        <f t="shared" si="73"/>
        <v>OZ</v>
      </c>
      <c r="U239" s="51" t="str">
        <f t="shared" si="74"/>
        <v>oz</v>
      </c>
      <c r="V239" s="51">
        <f t="shared" si="75"/>
        <v>1</v>
      </c>
      <c r="W239" s="51" t="str">
        <f t="shared" si="79"/>
        <v>P016 2</v>
      </c>
      <c r="X239" s="51" t="str">
        <f t="shared" si="80"/>
        <v>OZ</v>
      </c>
      <c r="Y239" s="51" t="str">
        <f t="shared" si="81"/>
        <v>15C</v>
      </c>
      <c r="Z239" s="51" t="str">
        <f t="shared" si="82"/>
        <v>SE</v>
      </c>
      <c r="AA239" s="51">
        <f t="shared" si="83"/>
        <v>4</v>
      </c>
      <c r="AB239" s="51">
        <f t="shared" si="84"/>
        <v>9</v>
      </c>
      <c r="AC239" s="53"/>
      <c r="AD239" s="57"/>
      <c r="AE239" s="57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</row>
    <row r="240" spans="1:41" ht="30" x14ac:dyDescent="0.25">
      <c r="A240" s="62" t="s">
        <v>200</v>
      </c>
      <c r="B240" s="62" t="s">
        <v>2570</v>
      </c>
      <c r="C240" s="62" t="s">
        <v>2726</v>
      </c>
      <c r="D240" s="62" t="s">
        <v>952</v>
      </c>
      <c r="E240" s="62" t="s">
        <v>1467</v>
      </c>
      <c r="F240" s="62">
        <v>6</v>
      </c>
      <c r="G240" s="62" t="s">
        <v>13</v>
      </c>
      <c r="H240" s="62">
        <v>48</v>
      </c>
      <c r="I240" s="62">
        <f t="shared" si="66"/>
        <v>288</v>
      </c>
      <c r="J240" s="51">
        <f t="shared" si="76"/>
        <v>10</v>
      </c>
      <c r="K240" s="51">
        <f t="shared" si="67"/>
        <v>10</v>
      </c>
      <c r="L240" s="51">
        <f t="shared" si="68"/>
        <v>12307</v>
      </c>
      <c r="M240" s="51">
        <f t="shared" si="69"/>
        <v>101</v>
      </c>
      <c r="N240" s="51" t="b">
        <f t="shared" si="77"/>
        <v>0</v>
      </c>
      <c r="O240" s="51" t="b">
        <f t="shared" si="78"/>
        <v>1</v>
      </c>
      <c r="P240" s="51" t="str">
        <f t="shared" si="70"/>
        <v>ct-6</v>
      </c>
      <c r="Q240" s="52" t="str">
        <f t="shared" si="71"/>
        <v>48C008951</v>
      </c>
      <c r="R240" s="51" t="b">
        <f t="shared" si="72"/>
        <v>0</v>
      </c>
      <c r="S240" s="51"/>
      <c r="T240" s="51" t="str">
        <f t="shared" si="73"/>
        <v>CT</v>
      </c>
      <c r="U240" s="51" t="str">
        <f t="shared" si="74"/>
        <v>ct</v>
      </c>
      <c r="V240" s="51">
        <f t="shared" si="75"/>
        <v>1</v>
      </c>
      <c r="W240" s="51" t="str">
        <f t="shared" si="79"/>
        <v>P036 6</v>
      </c>
      <c r="X240" s="51" t="str">
        <f t="shared" si="80"/>
        <v>CT</v>
      </c>
      <c r="Y240" s="51" t="str">
        <f t="shared" si="81"/>
        <v>48C</v>
      </c>
      <c r="Z240" s="51" t="str">
        <f t="shared" si="82"/>
        <v>UE</v>
      </c>
      <c r="AA240" s="51">
        <f t="shared" si="83"/>
        <v>4</v>
      </c>
      <c r="AB240" s="51">
        <f t="shared" si="84"/>
        <v>9</v>
      </c>
      <c r="AC240" s="53"/>
      <c r="AD240" s="57"/>
      <c r="AE240" s="57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</row>
    <row r="241" spans="1:41" ht="30" x14ac:dyDescent="0.25">
      <c r="A241" s="62" t="s">
        <v>137</v>
      </c>
      <c r="B241" s="62" t="s">
        <v>2727</v>
      </c>
      <c r="C241" s="62" t="s">
        <v>2728</v>
      </c>
      <c r="D241" s="62" t="s">
        <v>746</v>
      </c>
      <c r="E241" s="62" t="s">
        <v>1872</v>
      </c>
      <c r="F241" s="62">
        <v>10</v>
      </c>
      <c r="G241" s="62" t="s">
        <v>35</v>
      </c>
      <c r="H241" s="62">
        <v>16</v>
      </c>
      <c r="I241" s="62">
        <f t="shared" si="66"/>
        <v>160</v>
      </c>
      <c r="J241" s="51">
        <f t="shared" si="76"/>
        <v>50.5</v>
      </c>
      <c r="K241" s="51">
        <f t="shared" si="67"/>
        <v>48</v>
      </c>
      <c r="L241" s="51">
        <f t="shared" si="68"/>
        <v>4518</v>
      </c>
      <c r="M241" s="51">
        <f t="shared" si="69"/>
        <v>52</v>
      </c>
      <c r="N241" s="51" t="b">
        <f t="shared" si="77"/>
        <v>0</v>
      </c>
      <c r="O241" s="51" t="b">
        <f t="shared" si="78"/>
        <v>1</v>
      </c>
      <c r="P241" s="51" t="str">
        <f t="shared" si="70"/>
        <v>cans-10</v>
      </c>
      <c r="Q241" s="52" t="str">
        <f t="shared" si="71"/>
        <v>16C004374</v>
      </c>
      <c r="R241" s="51" t="b">
        <f t="shared" si="72"/>
        <v>0</v>
      </c>
      <c r="S241" s="51"/>
      <c r="T241" s="51" t="str">
        <f t="shared" si="73"/>
        <v>CANS</v>
      </c>
      <c r="U241" s="51" t="str">
        <f t="shared" si="74"/>
        <v>cans</v>
      </c>
      <c r="V241" s="51">
        <f t="shared" si="75"/>
        <v>1</v>
      </c>
      <c r="W241" s="51" t="str">
        <f t="shared" si="79"/>
        <v>P020 10</v>
      </c>
      <c r="X241" s="51" t="str">
        <f t="shared" si="80"/>
        <v>CAOS</v>
      </c>
      <c r="Y241" s="51" t="str">
        <f t="shared" si="81"/>
        <v>16C</v>
      </c>
      <c r="Z241" s="51" t="str">
        <f t="shared" si="82"/>
        <v>UE</v>
      </c>
      <c r="AA241" s="51">
        <f t="shared" si="83"/>
        <v>4</v>
      </c>
      <c r="AB241" s="51">
        <f t="shared" si="84"/>
        <v>9</v>
      </c>
      <c r="AC241" s="53"/>
      <c r="AD241" s="57"/>
      <c r="AE241" s="57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</row>
    <row r="242" spans="1:41" ht="30" x14ac:dyDescent="0.25">
      <c r="A242" s="62" t="s">
        <v>107</v>
      </c>
      <c r="B242" s="62" t="s">
        <v>2729</v>
      </c>
      <c r="C242" s="62" t="s">
        <v>2730</v>
      </c>
      <c r="D242" s="62" t="s">
        <v>233</v>
      </c>
      <c r="E242" s="62" t="s">
        <v>1493</v>
      </c>
      <c r="F242" s="62">
        <v>3</v>
      </c>
      <c r="G242" s="62" t="s">
        <v>35</v>
      </c>
      <c r="H242" s="62">
        <v>6.75</v>
      </c>
      <c r="I242" s="62">
        <f t="shared" si="66"/>
        <v>20.25</v>
      </c>
      <c r="J242" s="51">
        <f t="shared" si="76"/>
        <v>214</v>
      </c>
      <c r="K242" s="51">
        <f t="shared" si="67"/>
        <v>214</v>
      </c>
      <c r="L242" s="51">
        <f t="shared" si="68"/>
        <v>4518</v>
      </c>
      <c r="M242" s="51">
        <f t="shared" si="69"/>
        <v>52</v>
      </c>
      <c r="N242" s="51" t="b">
        <f t="shared" si="77"/>
        <v>1</v>
      </c>
      <c r="O242" s="51" t="b">
        <f t="shared" si="78"/>
        <v>0</v>
      </c>
      <c r="P242" s="51" t="str">
        <f t="shared" si="70"/>
        <v>cans-3</v>
      </c>
      <c r="Q242" s="52" t="str">
        <f t="shared" si="71"/>
        <v>6.75C003584</v>
      </c>
      <c r="R242" s="51" t="b">
        <f t="shared" si="72"/>
        <v>0</v>
      </c>
      <c r="S242" s="51"/>
      <c r="T242" s="51" t="str">
        <f t="shared" si="73"/>
        <v>CANS</v>
      </c>
      <c r="U242" s="51" t="str">
        <f t="shared" si="74"/>
        <v>cans</v>
      </c>
      <c r="V242" s="51">
        <f t="shared" si="75"/>
        <v>1</v>
      </c>
      <c r="W242" s="51" t="str">
        <f t="shared" si="79"/>
        <v>P015 3</v>
      </c>
      <c r="X242" s="51" t="str">
        <f t="shared" si="80"/>
        <v>CAOS</v>
      </c>
      <c r="Y242" s="51" t="str">
        <f t="shared" si="81"/>
        <v>6.7</v>
      </c>
      <c r="Z242" s="51" t="str">
        <f t="shared" si="82"/>
        <v>SE</v>
      </c>
      <c r="AA242" s="51">
        <f t="shared" si="83"/>
        <v>6</v>
      </c>
      <c r="AB242" s="51">
        <f t="shared" si="84"/>
        <v>11</v>
      </c>
      <c r="AC242" s="53"/>
      <c r="AD242" s="57"/>
      <c r="AE242" s="57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</row>
    <row r="243" spans="1:41" x14ac:dyDescent="0.25">
      <c r="A243" s="62" t="s">
        <v>137</v>
      </c>
      <c r="B243" s="62" t="s">
        <v>2731</v>
      </c>
      <c r="C243" s="62" t="s">
        <v>2732</v>
      </c>
      <c r="D243" s="62" t="s">
        <v>1611</v>
      </c>
      <c r="E243" s="62" t="s">
        <v>747</v>
      </c>
      <c r="F243" s="62">
        <v>8</v>
      </c>
      <c r="G243" s="62" t="s">
        <v>60</v>
      </c>
      <c r="H243" s="62">
        <v>9</v>
      </c>
      <c r="I243" s="62">
        <f t="shared" si="66"/>
        <v>72</v>
      </c>
      <c r="J243" s="51">
        <f t="shared" si="76"/>
        <v>141.5</v>
      </c>
      <c r="K243" s="51">
        <f t="shared" si="67"/>
        <v>137</v>
      </c>
      <c r="L243" s="51">
        <f t="shared" si="68"/>
        <v>3427</v>
      </c>
      <c r="M243" s="51">
        <f t="shared" si="69"/>
        <v>31</v>
      </c>
      <c r="N243" s="51" t="b">
        <f t="shared" si="77"/>
        <v>1</v>
      </c>
      <c r="O243" s="51" t="b">
        <f t="shared" si="78"/>
        <v>0</v>
      </c>
      <c r="P243" s="51" t="str">
        <f t="shared" si="70"/>
        <v>bottles-8</v>
      </c>
      <c r="Q243" s="52" t="str">
        <f t="shared" si="71"/>
        <v>9C000522</v>
      </c>
      <c r="R243" s="51" t="b">
        <f t="shared" si="72"/>
        <v>0</v>
      </c>
      <c r="S243" s="51"/>
      <c r="T243" s="51" t="str">
        <f t="shared" si="73"/>
        <v>BOTTLES</v>
      </c>
      <c r="U243" s="51" t="str">
        <f t="shared" si="74"/>
        <v>bottles</v>
      </c>
      <c r="V243" s="51">
        <f t="shared" si="75"/>
        <v>1</v>
      </c>
      <c r="W243" s="51" t="str">
        <f t="shared" si="79"/>
        <v>P020 8</v>
      </c>
      <c r="X243" s="51" t="str">
        <f t="shared" si="80"/>
        <v>BOTTLES</v>
      </c>
      <c r="Y243" s="51" t="str">
        <f t="shared" si="81"/>
        <v>9C0</v>
      </c>
      <c r="Z243" s="51" t="str">
        <f t="shared" si="82"/>
        <v>SE</v>
      </c>
      <c r="AA243" s="51">
        <f t="shared" si="83"/>
        <v>3</v>
      </c>
      <c r="AB243" s="51">
        <f t="shared" si="84"/>
        <v>8</v>
      </c>
      <c r="AC243" s="53"/>
      <c r="AD243" s="57"/>
      <c r="AE243" s="57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</row>
    <row r="244" spans="1:41" ht="30" x14ac:dyDescent="0.25">
      <c r="A244" s="62" t="s">
        <v>61</v>
      </c>
      <c r="B244" s="62" t="s">
        <v>2733</v>
      </c>
      <c r="C244" s="62" t="s">
        <v>2734</v>
      </c>
      <c r="D244" s="62" t="s">
        <v>979</v>
      </c>
      <c r="E244" s="62" t="s">
        <v>1915</v>
      </c>
      <c r="F244" s="62">
        <v>3</v>
      </c>
      <c r="G244" s="62" t="s">
        <v>13</v>
      </c>
      <c r="H244" s="62">
        <v>17</v>
      </c>
      <c r="I244" s="62">
        <f t="shared" si="66"/>
        <v>51</v>
      </c>
      <c r="J244" s="51">
        <f t="shared" si="76"/>
        <v>168</v>
      </c>
      <c r="K244" s="51">
        <f t="shared" si="67"/>
        <v>168</v>
      </c>
      <c r="L244" s="51">
        <f t="shared" si="68"/>
        <v>12307</v>
      </c>
      <c r="M244" s="51">
        <f t="shared" si="69"/>
        <v>101</v>
      </c>
      <c r="N244" s="51" t="b">
        <f t="shared" si="77"/>
        <v>1</v>
      </c>
      <c r="O244" s="51" t="b">
        <f t="shared" si="78"/>
        <v>0</v>
      </c>
      <c r="P244" s="51" t="str">
        <f t="shared" si="70"/>
        <v>ct-3</v>
      </c>
      <c r="Q244" s="52" t="str">
        <f t="shared" si="71"/>
        <v>17C003345</v>
      </c>
      <c r="R244" s="51" t="b">
        <f t="shared" si="72"/>
        <v>0</v>
      </c>
      <c r="S244" s="51"/>
      <c r="T244" s="51" t="str">
        <f t="shared" si="73"/>
        <v>CT</v>
      </c>
      <c r="U244" s="51" t="str">
        <f t="shared" si="74"/>
        <v>ct</v>
      </c>
      <c r="V244" s="51">
        <f t="shared" si="75"/>
        <v>1</v>
      </c>
      <c r="W244" s="51" t="str">
        <f t="shared" si="79"/>
        <v>P023 3</v>
      </c>
      <c r="X244" s="51" t="str">
        <f t="shared" si="80"/>
        <v>CT</v>
      </c>
      <c r="Y244" s="51" t="str">
        <f t="shared" si="81"/>
        <v>17C</v>
      </c>
      <c r="Z244" s="51" t="str">
        <f t="shared" si="82"/>
        <v>SE</v>
      </c>
      <c r="AA244" s="51">
        <f t="shared" si="83"/>
        <v>4</v>
      </c>
      <c r="AB244" s="51">
        <f t="shared" si="84"/>
        <v>9</v>
      </c>
      <c r="AC244" s="53"/>
      <c r="AD244" s="57"/>
      <c r="AE244" s="57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</row>
    <row r="245" spans="1:41" ht="30" x14ac:dyDescent="0.25">
      <c r="A245" s="62" t="s">
        <v>200</v>
      </c>
      <c r="B245" s="62" t="s">
        <v>2735</v>
      </c>
      <c r="C245" s="62" t="s">
        <v>2736</v>
      </c>
      <c r="D245" s="62" t="s">
        <v>902</v>
      </c>
      <c r="E245" s="62" t="s">
        <v>2737</v>
      </c>
      <c r="F245" s="62">
        <v>5</v>
      </c>
      <c r="G245" s="62" t="s">
        <v>904</v>
      </c>
      <c r="H245" s="62">
        <v>23</v>
      </c>
      <c r="I245" s="62">
        <f t="shared" si="66"/>
        <v>115</v>
      </c>
      <c r="J245" s="51">
        <f t="shared" si="76"/>
        <v>92.5</v>
      </c>
      <c r="K245" s="51">
        <f t="shared" si="67"/>
        <v>91</v>
      </c>
      <c r="L245" s="51">
        <f t="shared" si="68"/>
        <v>345</v>
      </c>
      <c r="M245" s="51">
        <f t="shared" si="69"/>
        <v>3</v>
      </c>
      <c r="N245" s="51" t="b">
        <f t="shared" si="77"/>
        <v>0</v>
      </c>
      <c r="O245" s="51" t="b">
        <f t="shared" si="78"/>
        <v>1</v>
      </c>
      <c r="P245" s="51" t="str">
        <f t="shared" si="70"/>
        <v>bars-5</v>
      </c>
      <c r="Q245" s="52" t="str">
        <f t="shared" si="71"/>
        <v>23C007816</v>
      </c>
      <c r="R245" s="51" t="b">
        <f t="shared" si="72"/>
        <v>0</v>
      </c>
      <c r="S245" s="51"/>
      <c r="T245" s="51" t="str">
        <f t="shared" si="73"/>
        <v>BARS</v>
      </c>
      <c r="U245" s="51" t="str">
        <f t="shared" si="74"/>
        <v>bars</v>
      </c>
      <c r="V245" s="51">
        <f t="shared" si="75"/>
        <v>1</v>
      </c>
      <c r="W245" s="51" t="str">
        <f t="shared" si="79"/>
        <v>P036 5</v>
      </c>
      <c r="X245" s="51" t="str">
        <f t="shared" si="80"/>
        <v>BARS</v>
      </c>
      <c r="Y245" s="51" t="str">
        <f t="shared" si="81"/>
        <v>23C</v>
      </c>
      <c r="Z245" s="51" t="str">
        <f t="shared" si="82"/>
        <v>UE</v>
      </c>
      <c r="AA245" s="51">
        <f t="shared" si="83"/>
        <v>4</v>
      </c>
      <c r="AB245" s="51">
        <f t="shared" si="84"/>
        <v>9</v>
      </c>
      <c r="AC245" s="53"/>
      <c r="AD245" s="57"/>
      <c r="AE245" s="57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</row>
    <row r="246" spans="1:41" ht="30" x14ac:dyDescent="0.25">
      <c r="A246" s="62" t="s">
        <v>137</v>
      </c>
      <c r="B246" s="62" t="s">
        <v>2738</v>
      </c>
      <c r="C246" s="62" t="s">
        <v>2739</v>
      </c>
      <c r="D246" s="62" t="s">
        <v>933</v>
      </c>
      <c r="E246" s="62" t="s">
        <v>2012</v>
      </c>
      <c r="F246" s="62">
        <v>7</v>
      </c>
      <c r="G246" s="62" t="s">
        <v>407</v>
      </c>
      <c r="H246" s="62">
        <v>16</v>
      </c>
      <c r="I246" s="62">
        <f t="shared" si="66"/>
        <v>112</v>
      </c>
      <c r="J246" s="51">
        <f t="shared" si="76"/>
        <v>99</v>
      </c>
      <c r="K246" s="51">
        <f t="shared" si="67"/>
        <v>96</v>
      </c>
      <c r="L246" s="51">
        <f t="shared" si="68"/>
        <v>801.5</v>
      </c>
      <c r="M246" s="51">
        <f t="shared" si="69"/>
        <v>10</v>
      </c>
      <c r="N246" s="51" t="b">
        <f t="shared" si="77"/>
        <v>0</v>
      </c>
      <c r="O246" s="51" t="b">
        <f t="shared" si="78"/>
        <v>1</v>
      </c>
      <c r="P246" s="51" t="str">
        <f t="shared" si="70"/>
        <v>pk-7</v>
      </c>
      <c r="Q246" s="52" t="str">
        <f t="shared" si="71"/>
        <v>16C002897</v>
      </c>
      <c r="R246" s="51" t="b">
        <f t="shared" si="72"/>
        <v>0</v>
      </c>
      <c r="S246" s="51"/>
      <c r="T246" s="51" t="str">
        <f t="shared" si="73"/>
        <v>PK</v>
      </c>
      <c r="U246" s="51" t="str">
        <f t="shared" si="74"/>
        <v>pk</v>
      </c>
      <c r="V246" s="51">
        <f t="shared" si="75"/>
        <v>1</v>
      </c>
      <c r="W246" s="51" t="str">
        <f t="shared" si="79"/>
        <v>P020 7</v>
      </c>
      <c r="X246" s="51" t="str">
        <f t="shared" si="80"/>
        <v>PK</v>
      </c>
      <c r="Y246" s="51" t="str">
        <f t="shared" si="81"/>
        <v>16C</v>
      </c>
      <c r="Z246" s="51" t="str">
        <f t="shared" si="82"/>
        <v>UE</v>
      </c>
      <c r="AA246" s="51">
        <f t="shared" si="83"/>
        <v>4</v>
      </c>
      <c r="AB246" s="51">
        <f t="shared" si="84"/>
        <v>9</v>
      </c>
      <c r="AC246" s="53"/>
      <c r="AD246" s="57"/>
      <c r="AE246" s="57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</row>
    <row r="247" spans="1:41" ht="30" x14ac:dyDescent="0.25">
      <c r="A247" s="62" t="s">
        <v>283</v>
      </c>
      <c r="B247" s="62" t="s">
        <v>2740</v>
      </c>
      <c r="C247" s="62" t="s">
        <v>2741</v>
      </c>
      <c r="D247" s="62" t="s">
        <v>330</v>
      </c>
      <c r="E247" s="62" t="s">
        <v>1846</v>
      </c>
      <c r="F247" s="62">
        <v>4</v>
      </c>
      <c r="G247" s="62" t="s">
        <v>13</v>
      </c>
      <c r="H247" s="62">
        <v>17</v>
      </c>
      <c r="I247" s="62">
        <f t="shared" si="66"/>
        <v>68</v>
      </c>
      <c r="J247" s="51">
        <f t="shared" si="76"/>
        <v>148.5</v>
      </c>
      <c r="K247" s="51">
        <f t="shared" si="67"/>
        <v>148</v>
      </c>
      <c r="L247" s="51">
        <f t="shared" si="68"/>
        <v>12307</v>
      </c>
      <c r="M247" s="51">
        <f t="shared" si="69"/>
        <v>101</v>
      </c>
      <c r="N247" s="51" t="b">
        <f t="shared" si="77"/>
        <v>1</v>
      </c>
      <c r="O247" s="51" t="b">
        <f t="shared" si="78"/>
        <v>0</v>
      </c>
      <c r="P247" s="51" t="str">
        <f t="shared" si="70"/>
        <v>ct-4</v>
      </c>
      <c r="Q247" s="52" t="str">
        <f t="shared" si="71"/>
        <v>17C003959</v>
      </c>
      <c r="R247" s="51" t="b">
        <f t="shared" si="72"/>
        <v>0</v>
      </c>
      <c r="S247" s="51"/>
      <c r="T247" s="51" t="str">
        <f t="shared" si="73"/>
        <v>CT</v>
      </c>
      <c r="U247" s="51" t="str">
        <f t="shared" si="74"/>
        <v>ct</v>
      </c>
      <c r="V247" s="51">
        <f t="shared" si="75"/>
        <v>1</v>
      </c>
      <c r="W247" s="51" t="str">
        <f t="shared" si="79"/>
        <v>P039 4</v>
      </c>
      <c r="X247" s="51" t="str">
        <f t="shared" si="80"/>
        <v>CT</v>
      </c>
      <c r="Y247" s="51" t="str">
        <f t="shared" si="81"/>
        <v>17C</v>
      </c>
      <c r="Z247" s="51" t="str">
        <f t="shared" si="82"/>
        <v>SE</v>
      </c>
      <c r="AA247" s="51">
        <f t="shared" si="83"/>
        <v>4</v>
      </c>
      <c r="AB247" s="51">
        <f t="shared" si="84"/>
        <v>9</v>
      </c>
      <c r="AC247" s="53"/>
      <c r="AD247" s="57"/>
      <c r="AE247" s="57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</row>
    <row r="248" spans="1:41" x14ac:dyDescent="0.25">
      <c r="A248" s="53"/>
      <c r="B248" s="53"/>
      <c r="C248" s="53"/>
      <c r="D248" s="53"/>
      <c r="E248" s="53"/>
      <c r="F248" s="53"/>
      <c r="G248" s="53"/>
      <c r="H248" s="59" t="s">
        <v>2234</v>
      </c>
      <c r="I248" s="3">
        <f>SUM(I5:I247)</f>
        <v>25914</v>
      </c>
      <c r="J248" s="53"/>
      <c r="K248" s="53"/>
      <c r="L248" s="53"/>
      <c r="M248" s="53"/>
      <c r="P248" s="53"/>
      <c r="Q248" s="53"/>
      <c r="R248" s="53"/>
      <c r="S248" s="53"/>
      <c r="T248" s="53"/>
      <c r="U248" s="53"/>
      <c r="V248" s="53"/>
      <c r="W248" t="str">
        <f t="shared" si="79"/>
        <v/>
      </c>
      <c r="X248" t="str">
        <f t="shared" si="80"/>
        <v/>
      </c>
      <c r="Y248" t="str">
        <f t="shared" ref="Y248:Y249" si="85">LEFT(D248, 3)</f>
        <v/>
      </c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</row>
    <row r="249" spans="1:41" x14ac:dyDescent="0.25">
      <c r="A249" s="53"/>
      <c r="B249" s="53"/>
      <c r="C249" s="53"/>
      <c r="D249" s="53"/>
      <c r="E249" s="53"/>
      <c r="F249" s="53"/>
      <c r="G249" s="53"/>
      <c r="H249" s="59" t="s">
        <v>2235</v>
      </c>
      <c r="I249" s="3">
        <f>AVERAGE(I5:I247)</f>
        <v>106.64197530864197</v>
      </c>
      <c r="J249" s="53"/>
      <c r="K249" s="53"/>
      <c r="L249" s="53"/>
      <c r="M249" s="53"/>
      <c r="P249" s="53"/>
      <c r="Q249" s="53"/>
      <c r="R249" s="53"/>
      <c r="S249" s="53"/>
      <c r="T249" s="53"/>
      <c r="U249" s="53"/>
      <c r="V249" s="53"/>
      <c r="W249" t="str">
        <f t="shared" si="79"/>
        <v/>
      </c>
      <c r="X249" t="str">
        <f t="shared" si="80"/>
        <v/>
      </c>
      <c r="Y249" t="str">
        <f t="shared" si="85"/>
        <v/>
      </c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</row>
    <row r="250" spans="1:41" x14ac:dyDescent="0.25">
      <c r="A250" s="53"/>
      <c r="B250" s="53"/>
      <c r="C250" s="53"/>
      <c r="D250" s="53"/>
      <c r="E250" s="53"/>
      <c r="F250" s="53"/>
      <c r="G250" s="53"/>
      <c r="H250" s="59" t="s">
        <v>2236</v>
      </c>
      <c r="I250" s="51">
        <f>COUNT(I5:I247)</f>
        <v>243</v>
      </c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</row>
    <row r="252" spans="1:41" x14ac:dyDescent="0.25">
      <c r="F252" s="13" t="s">
        <v>0</v>
      </c>
      <c r="G252" s="13" t="s">
        <v>1</v>
      </c>
      <c r="H252" s="13" t="s">
        <v>2</v>
      </c>
      <c r="I252" s="13" t="s">
        <v>3</v>
      </c>
      <c r="J252" s="13" t="s">
        <v>4</v>
      </c>
      <c r="K252" s="13" t="s">
        <v>5</v>
      </c>
      <c r="L252" s="13" t="s">
        <v>6</v>
      </c>
      <c r="M252" s="13" t="s">
        <v>7</v>
      </c>
      <c r="N252" s="13" t="s">
        <v>1650</v>
      </c>
    </row>
    <row r="253" spans="1:41" x14ac:dyDescent="0.25">
      <c r="F253" s="12" t="s">
        <v>66</v>
      </c>
      <c r="G253" s="12" t="s">
        <v>2237</v>
      </c>
      <c r="H253" s="12" t="s">
        <v>2238</v>
      </c>
      <c r="I253" s="12" t="s">
        <v>1167</v>
      </c>
      <c r="J253" s="12" t="s">
        <v>1184</v>
      </c>
      <c r="K253" s="12">
        <v>8</v>
      </c>
      <c r="L253" s="12" t="s">
        <v>35</v>
      </c>
      <c r="M253" s="12">
        <v>6.75</v>
      </c>
      <c r="N253" s="12">
        <v>54</v>
      </c>
    </row>
    <row r="254" spans="1:41" x14ac:dyDescent="0.25">
      <c r="F254" s="12" t="s">
        <v>25</v>
      </c>
      <c r="G254" s="12" t="s">
        <v>2250</v>
      </c>
      <c r="H254" s="12" t="s">
        <v>2251</v>
      </c>
      <c r="I254" s="12" t="s">
        <v>194</v>
      </c>
      <c r="J254" s="12" t="s">
        <v>1155</v>
      </c>
      <c r="K254" s="12">
        <v>9</v>
      </c>
      <c r="L254" s="12" t="s">
        <v>13</v>
      </c>
      <c r="M254" s="12">
        <v>9</v>
      </c>
      <c r="N254" s="12">
        <v>81</v>
      </c>
    </row>
    <row r="255" spans="1:41" x14ac:dyDescent="0.25">
      <c r="F255" s="12" t="s">
        <v>125</v>
      </c>
      <c r="G255" s="12" t="s">
        <v>2252</v>
      </c>
      <c r="H255" s="12" t="s">
        <v>2253</v>
      </c>
      <c r="I255" s="12" t="s">
        <v>216</v>
      </c>
      <c r="J255" s="12" t="s">
        <v>1840</v>
      </c>
      <c r="K255" s="12">
        <v>9</v>
      </c>
      <c r="L255" s="12" t="s">
        <v>13</v>
      </c>
      <c r="M255" s="12">
        <v>17</v>
      </c>
      <c r="N255" s="12">
        <v>153</v>
      </c>
    </row>
    <row r="256" spans="1:41" x14ac:dyDescent="0.25">
      <c r="F256" s="12" t="s">
        <v>8</v>
      </c>
      <c r="G256" s="12" t="s">
        <v>2254</v>
      </c>
      <c r="H256" s="12" t="s">
        <v>2255</v>
      </c>
      <c r="I256" s="12" t="s">
        <v>967</v>
      </c>
      <c r="J256" s="12" t="s">
        <v>2256</v>
      </c>
      <c r="K256" s="12">
        <v>7</v>
      </c>
      <c r="L256" s="12" t="s">
        <v>13</v>
      </c>
      <c r="M256" s="12">
        <v>53</v>
      </c>
      <c r="N256" s="12">
        <v>371</v>
      </c>
    </row>
    <row r="257" spans="6:16" x14ac:dyDescent="0.25">
      <c r="F257" s="12" t="s">
        <v>162</v>
      </c>
      <c r="G257" s="12" t="s">
        <v>2257</v>
      </c>
      <c r="H257" s="12" t="s">
        <v>2258</v>
      </c>
      <c r="I257" s="12" t="s">
        <v>1687</v>
      </c>
      <c r="J257" s="12" t="s">
        <v>695</v>
      </c>
      <c r="K257" s="12">
        <v>8</v>
      </c>
      <c r="L257" s="12" t="s">
        <v>35</v>
      </c>
      <c r="M257" s="12">
        <v>16.25</v>
      </c>
      <c r="N257" s="12">
        <v>130</v>
      </c>
    </row>
    <row r="258" spans="6:16" x14ac:dyDescent="0.25">
      <c r="F258" s="12" t="s">
        <v>209</v>
      </c>
      <c r="G258" s="12" t="s">
        <v>2267</v>
      </c>
      <c r="H258" s="12" t="s">
        <v>2268</v>
      </c>
      <c r="I258" s="12" t="s">
        <v>1019</v>
      </c>
      <c r="J258" s="12" t="s">
        <v>1874</v>
      </c>
      <c r="K258" s="12">
        <v>10</v>
      </c>
      <c r="L258" s="12" t="s">
        <v>167</v>
      </c>
      <c r="M258" s="12">
        <v>13</v>
      </c>
      <c r="N258" s="12">
        <v>130</v>
      </c>
    </row>
    <row r="259" spans="6:16" x14ac:dyDescent="0.25">
      <c r="F259" s="12" t="s">
        <v>14</v>
      </c>
      <c r="G259" s="12" t="s">
        <v>799</v>
      </c>
      <c r="H259" s="12" t="s">
        <v>2271</v>
      </c>
      <c r="I259" s="12" t="s">
        <v>94</v>
      </c>
      <c r="J259" s="12" t="s">
        <v>2272</v>
      </c>
      <c r="K259" s="12">
        <v>5</v>
      </c>
      <c r="L259" s="12" t="s">
        <v>13</v>
      </c>
      <c r="M259" s="12">
        <v>16</v>
      </c>
      <c r="N259" s="12">
        <v>80</v>
      </c>
    </row>
    <row r="260" spans="6:16" x14ac:dyDescent="0.25">
      <c r="F260" s="12" t="s">
        <v>121</v>
      </c>
      <c r="G260" s="12" t="s">
        <v>2273</v>
      </c>
      <c r="H260" s="12" t="s">
        <v>2274</v>
      </c>
      <c r="I260" s="12" t="s">
        <v>620</v>
      </c>
      <c r="J260" s="12" t="s">
        <v>2275</v>
      </c>
      <c r="K260" s="12">
        <v>5</v>
      </c>
      <c r="L260" s="12" t="s">
        <v>13</v>
      </c>
      <c r="M260" s="12">
        <v>12</v>
      </c>
      <c r="N260" s="12">
        <v>60</v>
      </c>
    </row>
    <row r="261" spans="6:16" x14ac:dyDescent="0.25">
      <c r="F261" s="12" t="s">
        <v>743</v>
      </c>
      <c r="G261" s="12" t="s">
        <v>2276</v>
      </c>
      <c r="H261" s="12" t="s">
        <v>2277</v>
      </c>
      <c r="I261" s="12" t="s">
        <v>1081</v>
      </c>
      <c r="J261" s="12" t="s">
        <v>1817</v>
      </c>
      <c r="K261" s="12">
        <v>4</v>
      </c>
      <c r="L261" s="12" t="s">
        <v>13</v>
      </c>
      <c r="M261" s="12">
        <v>15</v>
      </c>
      <c r="N261" s="12">
        <v>60</v>
      </c>
    </row>
    <row r="262" spans="6:16" x14ac:dyDescent="0.25">
      <c r="F262" s="12" t="s">
        <v>173</v>
      </c>
      <c r="G262" s="12" t="s">
        <v>2278</v>
      </c>
      <c r="H262" s="12" t="s">
        <v>2279</v>
      </c>
      <c r="I262" s="12" t="s">
        <v>1139</v>
      </c>
      <c r="J262" s="12" t="s">
        <v>2280</v>
      </c>
      <c r="K262" s="12">
        <v>11</v>
      </c>
      <c r="L262" s="12" t="s">
        <v>13</v>
      </c>
      <c r="M262" s="12">
        <v>16</v>
      </c>
      <c r="N262" s="12">
        <v>176</v>
      </c>
    </row>
    <row r="263" spans="6:16" x14ac:dyDescent="0.25">
      <c r="F263" s="12" t="s">
        <v>146</v>
      </c>
      <c r="G263" s="12" t="s">
        <v>2281</v>
      </c>
      <c r="H263" s="12" t="s">
        <v>2282</v>
      </c>
      <c r="I263" s="12" t="s">
        <v>207</v>
      </c>
      <c r="J263" s="12" t="s">
        <v>2241</v>
      </c>
      <c r="K263" s="12">
        <v>1</v>
      </c>
      <c r="L263" s="12" t="s">
        <v>35</v>
      </c>
      <c r="M263" s="12">
        <v>16</v>
      </c>
      <c r="N263" s="12">
        <v>16</v>
      </c>
    </row>
    <row r="264" spans="6:16" x14ac:dyDescent="0.25">
      <c r="F264" s="12" t="s">
        <v>200</v>
      </c>
      <c r="G264" s="12" t="s">
        <v>2283</v>
      </c>
      <c r="H264" s="12" t="s">
        <v>2284</v>
      </c>
      <c r="I264" s="12" t="s">
        <v>28</v>
      </c>
      <c r="J264" s="12" t="s">
        <v>557</v>
      </c>
      <c r="K264" s="12">
        <v>9</v>
      </c>
      <c r="L264" s="12" t="s">
        <v>13</v>
      </c>
      <c r="M264" s="12">
        <v>14</v>
      </c>
      <c r="N264" s="12">
        <v>126</v>
      </c>
    </row>
    <row r="265" spans="6:16" x14ac:dyDescent="0.25">
      <c r="F265" s="12" t="s">
        <v>66</v>
      </c>
      <c r="G265" s="12" t="s">
        <v>2285</v>
      </c>
      <c r="H265" s="12" t="s">
        <v>2286</v>
      </c>
      <c r="I265" s="12" t="s">
        <v>1332</v>
      </c>
      <c r="J265" s="12" t="s">
        <v>1464</v>
      </c>
      <c r="K265" s="12">
        <v>2</v>
      </c>
      <c r="L265" s="12" t="s">
        <v>13</v>
      </c>
      <c r="M265" s="12">
        <v>15</v>
      </c>
      <c r="N265" s="12">
        <v>30</v>
      </c>
    </row>
    <row r="266" spans="6:16" x14ac:dyDescent="0.25">
      <c r="F266" s="12" t="s">
        <v>14</v>
      </c>
      <c r="G266" s="12" t="s">
        <v>2287</v>
      </c>
      <c r="H266" s="12" t="s">
        <v>2288</v>
      </c>
      <c r="I266" s="12" t="s">
        <v>1706</v>
      </c>
      <c r="J266" s="12" t="s">
        <v>1830</v>
      </c>
      <c r="K266" s="12">
        <v>2</v>
      </c>
      <c r="L266" s="12" t="s">
        <v>35</v>
      </c>
      <c r="M266" s="12">
        <v>16</v>
      </c>
      <c r="N266" s="12">
        <v>32</v>
      </c>
    </row>
    <row r="267" spans="6:16" x14ac:dyDescent="0.25">
      <c r="F267" s="12" t="s">
        <v>187</v>
      </c>
      <c r="G267" s="12" t="s">
        <v>2289</v>
      </c>
      <c r="H267" s="12" t="s">
        <v>2290</v>
      </c>
      <c r="I267" s="12" t="s">
        <v>563</v>
      </c>
      <c r="J267" s="12" t="s">
        <v>2291</v>
      </c>
      <c r="K267" s="12">
        <v>4</v>
      </c>
      <c r="L267" s="12" t="s">
        <v>60</v>
      </c>
      <c r="M267" s="12">
        <v>18</v>
      </c>
      <c r="N267" s="12">
        <v>72</v>
      </c>
    </row>
    <row r="268" spans="6:16" x14ac:dyDescent="0.25">
      <c r="F268" s="12" t="s">
        <v>14</v>
      </c>
      <c r="G268" s="12" t="s">
        <v>2292</v>
      </c>
      <c r="H268" s="12" t="s">
        <v>2293</v>
      </c>
      <c r="I268" s="12" t="s">
        <v>1484</v>
      </c>
      <c r="J268" s="12" t="s">
        <v>1871</v>
      </c>
      <c r="K268" s="12">
        <v>2</v>
      </c>
      <c r="L268" s="12" t="s">
        <v>13</v>
      </c>
      <c r="M268" s="12">
        <v>26</v>
      </c>
      <c r="N268" s="12">
        <v>52</v>
      </c>
    </row>
    <row r="269" spans="6:16" x14ac:dyDescent="0.25">
      <c r="F269" s="12" t="s">
        <v>519</v>
      </c>
      <c r="G269" s="12" t="s">
        <v>2294</v>
      </c>
      <c r="H269" s="12" t="s">
        <v>2295</v>
      </c>
      <c r="I269" s="12" t="s">
        <v>370</v>
      </c>
      <c r="J269" s="12" t="s">
        <v>2296</v>
      </c>
      <c r="K269" s="12">
        <v>6</v>
      </c>
      <c r="L269" s="12" t="s">
        <v>167</v>
      </c>
      <c r="M269" s="12">
        <v>17</v>
      </c>
      <c r="N269" s="12">
        <v>102</v>
      </c>
    </row>
    <row r="271" spans="6:16" ht="18.75" x14ac:dyDescent="0.3">
      <c r="F271" s="61" t="s">
        <v>3590</v>
      </c>
      <c r="H271" s="13" t="s">
        <v>0</v>
      </c>
      <c r="I271" s="13" t="s">
        <v>1</v>
      </c>
      <c r="J271" s="13" t="s">
        <v>2</v>
      </c>
      <c r="K271" s="13" t="s">
        <v>3</v>
      </c>
      <c r="L271" s="13" t="s">
        <v>4</v>
      </c>
      <c r="M271" s="13" t="s">
        <v>5</v>
      </c>
      <c r="N271" s="13" t="s">
        <v>6</v>
      </c>
      <c r="O271" s="13" t="s">
        <v>7</v>
      </c>
      <c r="P271" s="13" t="s">
        <v>1650</v>
      </c>
    </row>
    <row r="272" spans="6:16" ht="14.25" customHeight="1" x14ac:dyDescent="0.25">
      <c r="H272" s="12" t="s">
        <v>66</v>
      </c>
      <c r="I272" s="12" t="str" cm="1">
        <f t="array" ref="I272:P272">_xlfn.XLOOKUP(H272,F253:F269,G253:N269,2,0)</f>
        <v>C005117</v>
      </c>
      <c r="J272" s="12" t="str">
        <v>T053594</v>
      </c>
      <c r="K272" s="12" t="str">
        <v>I00013</v>
      </c>
      <c r="L272" s="12" t="str">
        <v>S00431</v>
      </c>
      <c r="M272" s="12">
        <v>8</v>
      </c>
      <c r="N272" s="12" t="str">
        <v>cans</v>
      </c>
      <c r="O272" s="12">
        <v>6.75</v>
      </c>
      <c r="P272" s="12">
        <v>54</v>
      </c>
    </row>
    <row r="274" spans="6:16" ht="18.75" x14ac:dyDescent="0.3">
      <c r="F274" s="61" t="s">
        <v>3591</v>
      </c>
      <c r="H274" s="13" t="s">
        <v>0</v>
      </c>
      <c r="I274" s="13" t="s">
        <v>1</v>
      </c>
      <c r="J274" s="13" t="s">
        <v>2</v>
      </c>
      <c r="K274" s="13" t="s">
        <v>3</v>
      </c>
      <c r="L274" s="13" t="s">
        <v>4</v>
      </c>
      <c r="M274" s="13" t="s">
        <v>5</v>
      </c>
      <c r="N274" s="13" t="s">
        <v>6</v>
      </c>
      <c r="O274" s="13" t="s">
        <v>7</v>
      </c>
      <c r="P274" s="13" t="s">
        <v>1650</v>
      </c>
    </row>
    <row r="275" spans="6:16" x14ac:dyDescent="0.25">
      <c r="H275" s="12" t="s">
        <v>14</v>
      </c>
      <c r="I275" s="12" t="str">
        <f>VLOOKUP(H$274,F$252:N$269,2,TRUE)</f>
        <v>C004645</v>
      </c>
      <c r="J275" s="12" t="str">
        <f t="shared" ref="J275:P275" si="86">VLOOKUP(I$274,G$252:O$269,2,TRUE)</f>
        <v>T064484</v>
      </c>
      <c r="K275" s="12" t="str">
        <f t="shared" si="86"/>
        <v>I00106</v>
      </c>
      <c r="L275" s="12" t="str">
        <f t="shared" si="86"/>
        <v>S00198</v>
      </c>
      <c r="M275" s="12">
        <f t="shared" si="86"/>
        <v>6</v>
      </c>
      <c r="N275" s="12" t="str">
        <f t="shared" si="86"/>
        <v>unit</v>
      </c>
      <c r="O275" s="12">
        <f t="shared" si="86"/>
        <v>17</v>
      </c>
      <c r="P275" s="12" t="str">
        <f t="shared" si="86"/>
        <v>Total_Price</v>
      </c>
    </row>
    <row r="277" spans="6:16" ht="18.75" x14ac:dyDescent="0.3">
      <c r="F277" s="61" t="s">
        <v>3592</v>
      </c>
      <c r="H277" s="13" t="s">
        <v>0</v>
      </c>
      <c r="I277" s="13" t="s">
        <v>1</v>
      </c>
      <c r="J277" s="13" t="s">
        <v>2</v>
      </c>
      <c r="K277" s="13" t="s">
        <v>3</v>
      </c>
      <c r="L277" s="13" t="s">
        <v>4</v>
      </c>
      <c r="M277" s="13" t="s">
        <v>5</v>
      </c>
      <c r="N277" s="13" t="s">
        <v>6</v>
      </c>
      <c r="O277" s="13" t="s">
        <v>7</v>
      </c>
      <c r="P277" s="13" t="s">
        <v>1650</v>
      </c>
    </row>
    <row r="278" spans="6:16" x14ac:dyDescent="0.25">
      <c r="H278" s="12" t="str">
        <f>HLOOKUP(H277,F252:$N$269,8,FALSE)</f>
        <v>P022</v>
      </c>
      <c r="I278" s="12" t="str">
        <f>HLOOKUP(I277,G252:$N$269,8,FALSE)</f>
        <v>C003460</v>
      </c>
      <c r="J278" s="12" t="str">
        <f>HLOOKUP(J277,H252:$N$269,8,FALSE)</f>
        <v>T052254</v>
      </c>
      <c r="K278" s="12" t="str">
        <f>HLOOKUP(K277,I252:$N$269,8,FALSE)</f>
        <v>I00237</v>
      </c>
      <c r="L278" s="12" t="str">
        <f>HLOOKUP(L277,J252:$N$269,8,FALSE)</f>
        <v>S00323</v>
      </c>
      <c r="M278" s="12">
        <f>HLOOKUP(M277,K252:$N$269,8,FALSE)</f>
        <v>5</v>
      </c>
      <c r="N278" s="12" t="str">
        <f>HLOOKUP(N277,L252:$N$269,8,FALSE)</f>
        <v>ct</v>
      </c>
      <c r="O278" s="12">
        <f>HLOOKUP(O277,M252:$N$269,8,FALSE)</f>
        <v>16</v>
      </c>
      <c r="P278" s="12">
        <f>HLOOKUP(P277,N252:$N$269,8,FALSE)</f>
        <v>80</v>
      </c>
    </row>
  </sheetData>
  <sortState xmlns:xlrd2="http://schemas.microsoft.com/office/spreadsheetml/2017/richdata2" ref="AD5:AD104">
    <sortCondition ref="AD5:AD104"/>
  </sortState>
  <mergeCells count="3">
    <mergeCell ref="AE4:AO4"/>
    <mergeCell ref="N3:O3"/>
    <mergeCell ref="P3:A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3069-5DAE-4390-995E-13CDDEF71877}">
  <sheetPr filterMode="1"/>
  <dimension ref="A1:AO325"/>
  <sheetViews>
    <sheetView tabSelected="1" topLeftCell="K103" workbookViewId="0">
      <selection activeCell="T109" sqref="T109"/>
    </sheetView>
  </sheetViews>
  <sheetFormatPr defaultRowHeight="15" x14ac:dyDescent="0.25"/>
  <cols>
    <col min="1" max="1" width="13.140625" bestFit="1" customWidth="1"/>
    <col min="2" max="2" width="14.7109375" bestFit="1" customWidth="1"/>
    <col min="3" max="4" width="9.28515625" bestFit="1" customWidth="1"/>
    <col min="5" max="5" width="9.7109375" bestFit="1" customWidth="1"/>
    <col min="6" max="6" width="8.42578125" bestFit="1" customWidth="1"/>
    <col min="7" max="7" width="7.85546875" bestFit="1" customWidth="1"/>
    <col min="8" max="8" width="10" bestFit="1" customWidth="1"/>
    <col min="9" max="9" width="12" bestFit="1" customWidth="1"/>
    <col min="10" max="10" width="8.85546875" bestFit="1" customWidth="1"/>
    <col min="11" max="11" width="11.5703125" customWidth="1"/>
    <col min="12" max="12" width="8" bestFit="1" customWidth="1"/>
    <col min="13" max="13" width="13.140625" bestFit="1" customWidth="1"/>
    <col min="14" max="14" width="14.7109375" bestFit="1" customWidth="1"/>
    <col min="15" max="16" width="9.28515625" bestFit="1" customWidth="1"/>
    <col min="17" max="17" width="9.7109375" bestFit="1" customWidth="1"/>
    <col min="18" max="18" width="8.42578125" bestFit="1" customWidth="1"/>
    <col min="19" max="19" width="4.5703125" bestFit="1" customWidth="1"/>
    <col min="20" max="20" width="10" bestFit="1" customWidth="1"/>
    <col min="21" max="21" width="10.85546875" bestFit="1" customWidth="1"/>
    <col min="22" max="22" width="11.5703125" customWidth="1"/>
    <col min="23" max="23" width="8.28515625" bestFit="1" customWidth="1"/>
    <col min="24" max="24" width="10.140625" bestFit="1" customWidth="1"/>
    <col min="25" max="25" width="10.42578125" customWidth="1"/>
    <col min="26" max="26" width="8.42578125" customWidth="1"/>
    <col min="27" max="27" width="9.7109375" customWidth="1"/>
    <col min="28" max="28" width="9.85546875" customWidth="1"/>
    <col min="29" max="29" width="17.28515625" bestFit="1" customWidth="1"/>
    <col min="30" max="30" width="5.140625" bestFit="1" customWidth="1"/>
    <col min="31" max="31" width="14" bestFit="1" customWidth="1"/>
    <col min="32" max="32" width="14.7109375" bestFit="1" customWidth="1"/>
    <col min="33" max="34" width="9.28515625" bestFit="1" customWidth="1"/>
    <col min="35" max="35" width="9.7109375" bestFit="1" customWidth="1"/>
    <col min="36" max="36" width="8.42578125" bestFit="1" customWidth="1"/>
    <col min="37" max="37" width="7.28515625" bestFit="1" customWidth="1"/>
    <col min="38" max="38" width="10" bestFit="1" customWidth="1"/>
    <col min="39" max="39" width="10.85546875" bestFit="1" customWidth="1"/>
  </cols>
  <sheetData>
    <row r="1" spans="1:41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81" t="s">
        <v>3595</v>
      </c>
      <c r="O1" s="81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</row>
    <row r="2" spans="1:41" x14ac:dyDescent="0.25">
      <c r="A2" s="71" t="s">
        <v>0</v>
      </c>
      <c r="B2" s="71" t="s">
        <v>1</v>
      </c>
      <c r="C2" s="71" t="s">
        <v>2</v>
      </c>
      <c r="D2" s="71" t="s">
        <v>3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1650</v>
      </c>
      <c r="J2" s="82" t="s">
        <v>38</v>
      </c>
      <c r="K2" s="82" t="s">
        <v>39</v>
      </c>
      <c r="L2" s="82" t="s">
        <v>36</v>
      </c>
      <c r="M2" s="82" t="s">
        <v>37</v>
      </c>
      <c r="N2" s="4" t="s">
        <v>1652</v>
      </c>
      <c r="O2" s="4" t="s">
        <v>1651</v>
      </c>
      <c r="P2" s="4" t="s">
        <v>41</v>
      </c>
      <c r="Q2" s="4" t="s">
        <v>52</v>
      </c>
      <c r="R2" s="4" t="s">
        <v>40</v>
      </c>
      <c r="S2" s="4" t="s">
        <v>45</v>
      </c>
      <c r="T2" s="4" t="s">
        <v>46</v>
      </c>
      <c r="U2" s="4" t="s">
        <v>47</v>
      </c>
      <c r="V2" s="4" t="s">
        <v>49</v>
      </c>
      <c r="W2" s="4" t="s">
        <v>51</v>
      </c>
      <c r="X2" s="4" t="s">
        <v>50</v>
      </c>
      <c r="Y2" s="4" t="s">
        <v>43</v>
      </c>
      <c r="Z2" s="4" t="s">
        <v>44</v>
      </c>
      <c r="AA2" s="4" t="s">
        <v>42</v>
      </c>
      <c r="AB2" s="4" t="s">
        <v>48</v>
      </c>
      <c r="AC2" s="4" t="s">
        <v>81</v>
      </c>
      <c r="AD2" s="4" t="s">
        <v>53</v>
      </c>
      <c r="AE2" s="49" t="s">
        <v>54</v>
      </c>
      <c r="AF2" s="50"/>
      <c r="AG2" s="50"/>
      <c r="AH2" s="50"/>
      <c r="AI2" s="50"/>
      <c r="AJ2" s="50"/>
      <c r="AK2" s="50"/>
      <c r="AL2" s="50"/>
      <c r="AM2" s="50"/>
      <c r="AN2" s="50"/>
      <c r="AO2" s="50"/>
    </row>
    <row r="3" spans="1:41" ht="30" x14ac:dyDescent="0.25">
      <c r="A3" s="51" t="s">
        <v>459</v>
      </c>
      <c r="B3" s="51" t="s">
        <v>225</v>
      </c>
      <c r="C3" s="51" t="s">
        <v>2742</v>
      </c>
      <c r="D3" s="51" t="s">
        <v>1646</v>
      </c>
      <c r="E3" s="51" t="s">
        <v>2743</v>
      </c>
      <c r="F3" s="51">
        <v>6</v>
      </c>
      <c r="G3" s="51" t="s">
        <v>13</v>
      </c>
      <c r="H3" s="51">
        <v>19</v>
      </c>
      <c r="I3" s="51">
        <f>H3*F3</f>
        <v>114</v>
      </c>
      <c r="J3" s="51">
        <f>_xlfn.RANK.AVG(I3,$I$3:$I$304)</f>
        <v>120.5</v>
      </c>
      <c r="K3" s="51">
        <f>_xlfn.RANK.EQ(I3,I3:I304)</f>
        <v>120</v>
      </c>
      <c r="L3" s="51">
        <f>SUMIF(G$3:G$304,G3,H$3:H$304)</f>
        <v>2079.5</v>
      </c>
      <c r="M3" s="51">
        <f>COUNTIF(G$3:G$304,G3)</f>
        <v>107</v>
      </c>
      <c r="N3" s="53" t="b">
        <f>AND(J3&gt;150, J3&lt;60)</f>
        <v>0</v>
      </c>
      <c r="O3" s="53" t="b">
        <f>OR(J3&gt;150,J3&lt;100)</f>
        <v>0</v>
      </c>
      <c r="P3" s="53" t="str">
        <f>_xlfn.CONCAT(G3,F3)</f>
        <v>ct6</v>
      </c>
      <c r="Q3" s="68" t="str">
        <f>_xlfn.CONCAT(J3,CHAR(10),B3)</f>
        <v>120.5
C004785</v>
      </c>
      <c r="R3" s="53" t="b">
        <f>EXACT(J3,K3)</f>
        <v>0</v>
      </c>
      <c r="S3" s="53"/>
      <c r="T3" s="53" t="str">
        <f>UPPER(G3)</f>
        <v>CT</v>
      </c>
      <c r="U3" s="53" t="str">
        <f>LOWER(G3)</f>
        <v>ct</v>
      </c>
      <c r="V3" s="53">
        <f>SEARCH("T",C3)</f>
        <v>1</v>
      </c>
      <c r="W3" s="53" t="str">
        <f>_xlfn.TEXTJOIN(" ",FALSE,G3,F3)</f>
        <v>ct 6</v>
      </c>
      <c r="X3" s="53" t="str">
        <f>SUBSTITUTE(L3,"0",8)</f>
        <v>2879.5</v>
      </c>
      <c r="Y3" s="53" t="str">
        <f>LEFT(Q3,4)</f>
        <v>120.</v>
      </c>
      <c r="Z3" s="53" t="str">
        <f>RIGHT(Q3,4)</f>
        <v>4785</v>
      </c>
      <c r="AA3" s="53">
        <f>FIND("C",Q3)</f>
        <v>7</v>
      </c>
      <c r="AB3" s="53">
        <f>LEN(T16)</f>
        <v>7</v>
      </c>
      <c r="AC3" s="51" t="s">
        <v>459</v>
      </c>
      <c r="AD3" s="53" t="s">
        <v>218</v>
      </c>
      <c r="AE3" s="83" t="s">
        <v>0</v>
      </c>
      <c r="AF3" s="48" t="s">
        <v>1</v>
      </c>
      <c r="AG3" s="48" t="s">
        <v>2</v>
      </c>
      <c r="AH3" s="48" t="s">
        <v>3</v>
      </c>
      <c r="AI3" s="48" t="s">
        <v>4</v>
      </c>
      <c r="AJ3" s="48" t="s">
        <v>5</v>
      </c>
      <c r="AK3" s="48" t="s">
        <v>6</v>
      </c>
      <c r="AL3" s="48" t="s">
        <v>7</v>
      </c>
      <c r="AM3" s="83" t="s">
        <v>1650</v>
      </c>
      <c r="AN3" s="57"/>
      <c r="AO3" s="84" t="s">
        <v>6</v>
      </c>
    </row>
    <row r="4" spans="1:41" hidden="1" x14ac:dyDescent="0.25">
      <c r="A4" t="s">
        <v>101</v>
      </c>
      <c r="B4" t="s">
        <v>484</v>
      </c>
      <c r="C4" t="s">
        <v>2744</v>
      </c>
      <c r="D4" t="s">
        <v>1171</v>
      </c>
      <c r="E4" t="s">
        <v>597</v>
      </c>
      <c r="F4">
        <v>8</v>
      </c>
      <c r="G4" t="s">
        <v>13</v>
      </c>
      <c r="H4">
        <v>44</v>
      </c>
      <c r="I4">
        <f t="shared" ref="I4:I67" si="0">H4*F4</f>
        <v>352</v>
      </c>
      <c r="J4">
        <f t="shared" ref="J4:J67" si="1">_xlfn.RANK.AVG(I4,$I$3:$I$304)</f>
        <v>9</v>
      </c>
      <c r="K4">
        <f t="shared" ref="K4:K5" si="2">_xlfn.RANK.EQ(I4,I4:I305)</f>
        <v>10</v>
      </c>
      <c r="L4">
        <f t="shared" ref="L4:L67" si="3">SUMIF(G$3:G$304,G4,H$3:H$304)</f>
        <v>2079.5</v>
      </c>
      <c r="M4">
        <f>COUNTIF(G$3:G$304,G4)</f>
        <v>107</v>
      </c>
      <c r="AC4" s="12" t="s">
        <v>82</v>
      </c>
      <c r="AD4" t="s">
        <v>359</v>
      </c>
      <c r="AE4" t="s">
        <v>459</v>
      </c>
      <c r="AF4" t="s">
        <v>225</v>
      </c>
      <c r="AG4" t="s">
        <v>2742</v>
      </c>
      <c r="AH4" t="s">
        <v>1646</v>
      </c>
      <c r="AI4" t="s">
        <v>2743</v>
      </c>
      <c r="AJ4">
        <v>6</v>
      </c>
      <c r="AK4" t="s">
        <v>13</v>
      </c>
      <c r="AL4">
        <v>19</v>
      </c>
      <c r="AM4">
        <f>AL4*AJ4</f>
        <v>114</v>
      </c>
      <c r="AO4" t="s">
        <v>60</v>
      </c>
    </row>
    <row r="5" spans="1:41" hidden="1" x14ac:dyDescent="0.25">
      <c r="A5" t="s">
        <v>209</v>
      </c>
      <c r="B5" t="s">
        <v>2745</v>
      </c>
      <c r="C5" t="s">
        <v>2746</v>
      </c>
      <c r="D5" t="s">
        <v>503</v>
      </c>
      <c r="E5" t="s">
        <v>730</v>
      </c>
      <c r="F5">
        <v>7</v>
      </c>
      <c r="G5" t="s">
        <v>13</v>
      </c>
      <c r="H5">
        <v>16.5</v>
      </c>
      <c r="I5">
        <f t="shared" si="0"/>
        <v>115.5</v>
      </c>
      <c r="J5">
        <f t="shared" si="1"/>
        <v>119</v>
      </c>
      <c r="K5">
        <f t="shared" si="2"/>
        <v>119</v>
      </c>
      <c r="L5">
        <f t="shared" si="3"/>
        <v>2079.5</v>
      </c>
      <c r="M5">
        <f t="shared" ref="M5:M67" si="4">COUNTIF(G$3:G$304,G5)</f>
        <v>107</v>
      </c>
      <c r="AC5" s="12" t="s">
        <v>125</v>
      </c>
      <c r="AD5" t="s">
        <v>359</v>
      </c>
      <c r="AE5" t="s">
        <v>101</v>
      </c>
      <c r="AF5" t="s">
        <v>484</v>
      </c>
      <c r="AG5" t="s">
        <v>2744</v>
      </c>
      <c r="AH5" t="s">
        <v>1171</v>
      </c>
      <c r="AI5" t="s">
        <v>597</v>
      </c>
      <c r="AJ5">
        <v>8</v>
      </c>
      <c r="AK5" t="s">
        <v>13</v>
      </c>
      <c r="AL5">
        <v>44</v>
      </c>
      <c r="AM5">
        <f t="shared" ref="AM5:AM21" si="5">AL5*AJ5</f>
        <v>352</v>
      </c>
    </row>
    <row r="6" spans="1:41" hidden="1" x14ac:dyDescent="0.25">
      <c r="A6" t="s">
        <v>224</v>
      </c>
      <c r="B6" t="s">
        <v>2747</v>
      </c>
      <c r="C6" t="s">
        <v>2748</v>
      </c>
      <c r="D6" t="s">
        <v>132</v>
      </c>
      <c r="E6" t="s">
        <v>1452</v>
      </c>
      <c r="F6">
        <v>7</v>
      </c>
      <c r="G6" t="s">
        <v>35</v>
      </c>
      <c r="H6">
        <v>8</v>
      </c>
      <c r="I6">
        <f t="shared" si="0"/>
        <v>56</v>
      </c>
      <c r="J6">
        <f t="shared" si="1"/>
        <v>210.5</v>
      </c>
      <c r="K6">
        <f>_xlfn.RANK.EQ(I6,I6:I307)</f>
        <v>209</v>
      </c>
      <c r="L6">
        <f t="shared" si="3"/>
        <v>1010.75</v>
      </c>
      <c r="M6">
        <f t="shared" si="4"/>
        <v>59</v>
      </c>
      <c r="AC6" s="12" t="s">
        <v>218</v>
      </c>
      <c r="AD6" t="s">
        <v>55</v>
      </c>
      <c r="AE6" t="s">
        <v>209</v>
      </c>
      <c r="AF6" t="s">
        <v>2745</v>
      </c>
      <c r="AG6" t="s">
        <v>2746</v>
      </c>
      <c r="AH6" t="s">
        <v>503</v>
      </c>
      <c r="AI6" t="s">
        <v>730</v>
      </c>
      <c r="AJ6">
        <v>7</v>
      </c>
      <c r="AK6" t="s">
        <v>13</v>
      </c>
      <c r="AL6">
        <v>16.5</v>
      </c>
      <c r="AM6">
        <f t="shared" si="5"/>
        <v>115.5</v>
      </c>
    </row>
    <row r="7" spans="1:41" hidden="1" x14ac:dyDescent="0.25">
      <c r="A7" t="s">
        <v>359</v>
      </c>
      <c r="B7" t="s">
        <v>2749</v>
      </c>
      <c r="C7" t="s">
        <v>2750</v>
      </c>
      <c r="D7" t="s">
        <v>212</v>
      </c>
      <c r="E7" t="s">
        <v>1287</v>
      </c>
      <c r="F7">
        <v>5</v>
      </c>
      <c r="G7" t="s">
        <v>13</v>
      </c>
      <c r="H7">
        <v>45</v>
      </c>
      <c r="I7">
        <f t="shared" si="0"/>
        <v>225</v>
      </c>
      <c r="J7">
        <f t="shared" si="1"/>
        <v>20</v>
      </c>
      <c r="K7">
        <f t="shared" ref="K7:K70" si="6">_xlfn.RANK.EQ(I7,I7:I309)</f>
        <v>21</v>
      </c>
      <c r="L7">
        <f t="shared" si="3"/>
        <v>2079.5</v>
      </c>
      <c r="M7">
        <f t="shared" si="4"/>
        <v>107</v>
      </c>
      <c r="AC7" s="12" t="s">
        <v>519</v>
      </c>
      <c r="AD7" t="s">
        <v>519</v>
      </c>
      <c r="AE7" t="s">
        <v>224</v>
      </c>
      <c r="AF7" t="s">
        <v>2747</v>
      </c>
      <c r="AG7" t="s">
        <v>2748</v>
      </c>
      <c r="AH7" t="s">
        <v>132</v>
      </c>
      <c r="AI7" t="s">
        <v>1452</v>
      </c>
      <c r="AJ7">
        <v>7</v>
      </c>
      <c r="AK7" t="s">
        <v>35</v>
      </c>
      <c r="AL7">
        <v>8</v>
      </c>
      <c r="AM7">
        <f t="shared" si="5"/>
        <v>56</v>
      </c>
    </row>
    <row r="8" spans="1:41" hidden="1" x14ac:dyDescent="0.25">
      <c r="A8" t="s">
        <v>307</v>
      </c>
      <c r="B8" t="s">
        <v>2751</v>
      </c>
      <c r="C8" t="s">
        <v>2752</v>
      </c>
      <c r="D8" t="s">
        <v>836</v>
      </c>
      <c r="E8" t="s">
        <v>398</v>
      </c>
      <c r="F8">
        <v>3</v>
      </c>
      <c r="G8" t="s">
        <v>35</v>
      </c>
      <c r="H8">
        <v>16.25</v>
      </c>
      <c r="I8">
        <f t="shared" si="0"/>
        <v>48.75</v>
      </c>
      <c r="J8">
        <f t="shared" si="1"/>
        <v>218</v>
      </c>
      <c r="K8">
        <f t="shared" si="6"/>
        <v>217</v>
      </c>
      <c r="L8">
        <f t="shared" si="3"/>
        <v>1010.75</v>
      </c>
      <c r="M8">
        <f t="shared" si="4"/>
        <v>59</v>
      </c>
      <c r="AC8" s="12" t="s">
        <v>146</v>
      </c>
      <c r="AD8" t="s">
        <v>146</v>
      </c>
      <c r="AE8" t="s">
        <v>359</v>
      </c>
      <c r="AF8" t="s">
        <v>2749</v>
      </c>
      <c r="AG8" t="s">
        <v>2750</v>
      </c>
      <c r="AH8" t="s">
        <v>212</v>
      </c>
      <c r="AI8" t="s">
        <v>1287</v>
      </c>
      <c r="AJ8">
        <v>5</v>
      </c>
      <c r="AK8" t="s">
        <v>13</v>
      </c>
      <c r="AL8">
        <v>45</v>
      </c>
      <c r="AM8">
        <f t="shared" si="5"/>
        <v>225</v>
      </c>
    </row>
    <row r="9" spans="1:41" hidden="1" x14ac:dyDescent="0.25">
      <c r="A9" t="s">
        <v>162</v>
      </c>
      <c r="B9" t="s">
        <v>2753</v>
      </c>
      <c r="C9" t="s">
        <v>2754</v>
      </c>
      <c r="D9" t="s">
        <v>428</v>
      </c>
      <c r="E9" t="s">
        <v>425</v>
      </c>
      <c r="F9">
        <v>11</v>
      </c>
      <c r="G9" t="s">
        <v>13</v>
      </c>
      <c r="H9">
        <v>14</v>
      </c>
      <c r="I9">
        <f t="shared" si="0"/>
        <v>154</v>
      </c>
      <c r="J9">
        <f t="shared" si="1"/>
        <v>76.5</v>
      </c>
      <c r="K9">
        <f t="shared" si="6"/>
        <v>76</v>
      </c>
      <c r="L9">
        <f t="shared" si="3"/>
        <v>2079.5</v>
      </c>
      <c r="M9">
        <f t="shared" si="4"/>
        <v>107</v>
      </c>
      <c r="AC9" s="12" t="s">
        <v>224</v>
      </c>
      <c r="AD9" t="s">
        <v>146</v>
      </c>
      <c r="AE9" t="s">
        <v>307</v>
      </c>
      <c r="AF9" t="s">
        <v>2751</v>
      </c>
      <c r="AG9" t="s">
        <v>2752</v>
      </c>
      <c r="AH9" t="s">
        <v>836</v>
      </c>
      <c r="AI9" t="s">
        <v>398</v>
      </c>
      <c r="AJ9">
        <v>3</v>
      </c>
      <c r="AK9" t="s">
        <v>35</v>
      </c>
      <c r="AL9">
        <v>16.25</v>
      </c>
      <c r="AM9">
        <f t="shared" si="5"/>
        <v>48.75</v>
      </c>
    </row>
    <row r="10" spans="1:41" hidden="1" x14ac:dyDescent="0.25">
      <c r="A10" t="s">
        <v>359</v>
      </c>
      <c r="B10" t="s">
        <v>2755</v>
      </c>
      <c r="C10" t="s">
        <v>2756</v>
      </c>
      <c r="D10" t="s">
        <v>1379</v>
      </c>
      <c r="E10" t="s">
        <v>1622</v>
      </c>
      <c r="F10">
        <v>7</v>
      </c>
      <c r="G10" t="s">
        <v>13</v>
      </c>
      <c r="H10">
        <v>14</v>
      </c>
      <c r="I10">
        <f t="shared" si="0"/>
        <v>98</v>
      </c>
      <c r="J10">
        <f t="shared" si="1"/>
        <v>141</v>
      </c>
      <c r="K10">
        <f t="shared" si="6"/>
        <v>138</v>
      </c>
      <c r="L10">
        <f t="shared" si="3"/>
        <v>2079.5</v>
      </c>
      <c r="M10">
        <f t="shared" si="4"/>
        <v>107</v>
      </c>
      <c r="AC10" s="12" t="s">
        <v>14</v>
      </c>
      <c r="AD10" t="s">
        <v>101</v>
      </c>
      <c r="AE10" t="s">
        <v>162</v>
      </c>
      <c r="AF10" t="s">
        <v>2753</v>
      </c>
      <c r="AG10" t="s">
        <v>2754</v>
      </c>
      <c r="AH10" t="s">
        <v>428</v>
      </c>
      <c r="AI10" t="s">
        <v>425</v>
      </c>
      <c r="AJ10">
        <v>11</v>
      </c>
      <c r="AK10" t="s">
        <v>13</v>
      </c>
      <c r="AL10">
        <v>14</v>
      </c>
      <c r="AM10">
        <f t="shared" si="5"/>
        <v>154</v>
      </c>
    </row>
    <row r="11" spans="1:41" hidden="1" x14ac:dyDescent="0.25">
      <c r="A11" t="s">
        <v>209</v>
      </c>
      <c r="B11" t="s">
        <v>2757</v>
      </c>
      <c r="C11" t="s">
        <v>2758</v>
      </c>
      <c r="D11" t="s">
        <v>128</v>
      </c>
      <c r="E11" t="s">
        <v>2759</v>
      </c>
      <c r="F11">
        <v>3</v>
      </c>
      <c r="G11" t="s">
        <v>106</v>
      </c>
      <c r="H11">
        <v>15</v>
      </c>
      <c r="I11">
        <f t="shared" si="0"/>
        <v>45</v>
      </c>
      <c r="J11">
        <f t="shared" si="1"/>
        <v>231.5</v>
      </c>
      <c r="K11">
        <f t="shared" si="6"/>
        <v>226</v>
      </c>
      <c r="L11">
        <f t="shared" si="3"/>
        <v>285</v>
      </c>
      <c r="M11">
        <f t="shared" si="4"/>
        <v>17</v>
      </c>
      <c r="AC11" s="12" t="s">
        <v>76</v>
      </c>
      <c r="AD11" t="s">
        <v>162</v>
      </c>
      <c r="AE11" t="s">
        <v>359</v>
      </c>
      <c r="AF11" t="s">
        <v>2755</v>
      </c>
      <c r="AG11" t="s">
        <v>2756</v>
      </c>
      <c r="AH11" t="s">
        <v>1379</v>
      </c>
      <c r="AI11" t="s">
        <v>1622</v>
      </c>
      <c r="AJ11">
        <v>7</v>
      </c>
      <c r="AK11" t="s">
        <v>13</v>
      </c>
      <c r="AL11">
        <v>14</v>
      </c>
      <c r="AM11">
        <f t="shared" si="5"/>
        <v>98</v>
      </c>
    </row>
    <row r="12" spans="1:41" hidden="1" x14ac:dyDescent="0.25">
      <c r="A12" t="s">
        <v>96</v>
      </c>
      <c r="B12" t="s">
        <v>2760</v>
      </c>
      <c r="C12" t="s">
        <v>2761</v>
      </c>
      <c r="D12" t="s">
        <v>840</v>
      </c>
      <c r="E12" t="s">
        <v>2762</v>
      </c>
      <c r="F12">
        <v>6</v>
      </c>
      <c r="G12" t="s">
        <v>13</v>
      </c>
      <c r="H12">
        <v>14</v>
      </c>
      <c r="I12">
        <f t="shared" si="0"/>
        <v>84</v>
      </c>
      <c r="J12">
        <f t="shared" si="1"/>
        <v>158</v>
      </c>
      <c r="K12">
        <f t="shared" si="6"/>
        <v>153</v>
      </c>
      <c r="L12">
        <f t="shared" si="3"/>
        <v>2079.5</v>
      </c>
      <c r="M12">
        <f t="shared" si="4"/>
        <v>107</v>
      </c>
      <c r="AC12" s="12" t="s">
        <v>240</v>
      </c>
      <c r="AD12" t="s">
        <v>162</v>
      </c>
      <c r="AE12" t="s">
        <v>209</v>
      </c>
      <c r="AF12" t="s">
        <v>2757</v>
      </c>
      <c r="AG12" t="s">
        <v>2758</v>
      </c>
      <c r="AH12" t="s">
        <v>128</v>
      </c>
      <c r="AI12" t="s">
        <v>2759</v>
      </c>
      <c r="AJ12">
        <v>3</v>
      </c>
      <c r="AK12" t="s">
        <v>106</v>
      </c>
      <c r="AL12">
        <v>15</v>
      </c>
      <c r="AM12">
        <f t="shared" si="5"/>
        <v>45</v>
      </c>
    </row>
    <row r="13" spans="1:41" hidden="1" x14ac:dyDescent="0.25">
      <c r="A13" t="s">
        <v>459</v>
      </c>
      <c r="B13" t="s">
        <v>2763</v>
      </c>
      <c r="C13" t="s">
        <v>2764</v>
      </c>
      <c r="D13" t="s">
        <v>263</v>
      </c>
      <c r="E13" t="s">
        <v>2765</v>
      </c>
      <c r="F13">
        <v>2</v>
      </c>
      <c r="G13" t="s">
        <v>13</v>
      </c>
      <c r="H13">
        <v>14</v>
      </c>
      <c r="I13">
        <f t="shared" si="0"/>
        <v>28</v>
      </c>
      <c r="J13">
        <f t="shared" si="1"/>
        <v>270.5</v>
      </c>
      <c r="K13">
        <f t="shared" si="6"/>
        <v>267</v>
      </c>
      <c r="L13">
        <f t="shared" si="3"/>
        <v>2079.5</v>
      </c>
      <c r="M13">
        <f t="shared" si="4"/>
        <v>107</v>
      </c>
      <c r="AC13" s="12" t="s">
        <v>162</v>
      </c>
      <c r="AD13" t="s">
        <v>162</v>
      </c>
      <c r="AE13" t="s">
        <v>96</v>
      </c>
      <c r="AF13" t="s">
        <v>2760</v>
      </c>
      <c r="AG13" t="s">
        <v>2761</v>
      </c>
      <c r="AH13" t="s">
        <v>840</v>
      </c>
      <c r="AI13" t="s">
        <v>2762</v>
      </c>
      <c r="AJ13">
        <v>6</v>
      </c>
      <c r="AK13" t="s">
        <v>13</v>
      </c>
      <c r="AL13">
        <v>14</v>
      </c>
      <c r="AM13">
        <f t="shared" si="5"/>
        <v>84</v>
      </c>
    </row>
    <row r="14" spans="1:41" hidden="1" x14ac:dyDescent="0.25">
      <c r="A14" t="s">
        <v>307</v>
      </c>
      <c r="B14" t="s">
        <v>2766</v>
      </c>
      <c r="C14" t="s">
        <v>2767</v>
      </c>
      <c r="D14" t="s">
        <v>1433</v>
      </c>
      <c r="E14" t="s">
        <v>1867</v>
      </c>
      <c r="F14">
        <v>8</v>
      </c>
      <c r="G14" t="s">
        <v>13</v>
      </c>
      <c r="H14">
        <v>13</v>
      </c>
      <c r="I14">
        <f t="shared" si="0"/>
        <v>104</v>
      </c>
      <c r="J14">
        <f t="shared" si="1"/>
        <v>134</v>
      </c>
      <c r="K14">
        <f t="shared" si="6"/>
        <v>133</v>
      </c>
      <c r="L14">
        <f t="shared" si="3"/>
        <v>2079.5</v>
      </c>
      <c r="M14">
        <f t="shared" si="4"/>
        <v>107</v>
      </c>
      <c r="AC14" s="12" t="s">
        <v>55</v>
      </c>
      <c r="AD14" t="s">
        <v>96</v>
      </c>
      <c r="AE14" t="s">
        <v>459</v>
      </c>
      <c r="AF14" t="s">
        <v>2763</v>
      </c>
      <c r="AG14" t="s">
        <v>2764</v>
      </c>
      <c r="AH14" t="s">
        <v>263</v>
      </c>
      <c r="AI14" t="s">
        <v>2765</v>
      </c>
      <c r="AJ14">
        <v>2</v>
      </c>
      <c r="AK14" t="s">
        <v>13</v>
      </c>
      <c r="AL14">
        <v>14</v>
      </c>
      <c r="AM14">
        <f t="shared" si="5"/>
        <v>28</v>
      </c>
    </row>
    <row r="15" spans="1:41" hidden="1" x14ac:dyDescent="0.25">
      <c r="A15" t="s">
        <v>173</v>
      </c>
      <c r="B15" t="s">
        <v>2768</v>
      </c>
      <c r="C15" t="s">
        <v>2769</v>
      </c>
      <c r="D15" t="s">
        <v>160</v>
      </c>
      <c r="E15" t="s">
        <v>2770</v>
      </c>
      <c r="F15">
        <v>7</v>
      </c>
      <c r="G15" t="s">
        <v>60</v>
      </c>
      <c r="H15">
        <v>20</v>
      </c>
      <c r="I15">
        <f t="shared" si="0"/>
        <v>140</v>
      </c>
      <c r="J15">
        <f t="shared" si="1"/>
        <v>91</v>
      </c>
      <c r="K15">
        <f t="shared" si="6"/>
        <v>88</v>
      </c>
      <c r="L15">
        <f t="shared" si="3"/>
        <v>908</v>
      </c>
      <c r="M15">
        <f t="shared" si="4"/>
        <v>50</v>
      </c>
      <c r="AC15" s="12" t="s">
        <v>200</v>
      </c>
      <c r="AD15" t="s">
        <v>168</v>
      </c>
      <c r="AE15" t="s">
        <v>307</v>
      </c>
      <c r="AF15" t="s">
        <v>2766</v>
      </c>
      <c r="AG15" t="s">
        <v>2767</v>
      </c>
      <c r="AH15" t="s">
        <v>1433</v>
      </c>
      <c r="AI15" t="s">
        <v>1867</v>
      </c>
      <c r="AJ15">
        <v>8</v>
      </c>
      <c r="AK15" t="s">
        <v>13</v>
      </c>
      <c r="AL15">
        <v>13</v>
      </c>
      <c r="AM15">
        <f t="shared" si="5"/>
        <v>104</v>
      </c>
    </row>
    <row r="16" spans="1:41" ht="30" x14ac:dyDescent="0.25">
      <c r="A16" s="51" t="s">
        <v>459</v>
      </c>
      <c r="B16" s="51" t="s">
        <v>2771</v>
      </c>
      <c r="C16" s="51" t="s">
        <v>2772</v>
      </c>
      <c r="D16" s="51" t="s">
        <v>374</v>
      </c>
      <c r="E16" s="51" t="s">
        <v>1955</v>
      </c>
      <c r="F16" s="51">
        <v>1</v>
      </c>
      <c r="G16" s="51" t="s">
        <v>60</v>
      </c>
      <c r="H16" s="51">
        <v>20</v>
      </c>
      <c r="I16" s="51">
        <f t="shared" si="0"/>
        <v>20</v>
      </c>
      <c r="J16" s="51">
        <f t="shared" si="1"/>
        <v>285</v>
      </c>
      <c r="K16" s="51">
        <f t="shared" si="6"/>
        <v>282</v>
      </c>
      <c r="L16" s="51">
        <f t="shared" si="3"/>
        <v>908</v>
      </c>
      <c r="M16" s="51">
        <f t="shared" si="4"/>
        <v>50</v>
      </c>
      <c r="N16" s="53" t="b">
        <f>AND(J16&gt;50, )</f>
        <v>0</v>
      </c>
      <c r="O16" s="53" t="b">
        <f>OR(J16&gt;150,J16&lt;100)</f>
        <v>1</v>
      </c>
      <c r="P16" s="53" t="str">
        <f t="shared" ref="P16:P17" si="7">_xlfn.CONCAT(G16,F16)</f>
        <v>bottles1</v>
      </c>
      <c r="Q16" s="68" t="str">
        <f t="shared" ref="Q16:Q17" si="8">_xlfn.CONCAT(J16,CHAR(10),B16)</f>
        <v>285
C002213</v>
      </c>
      <c r="R16" s="53" t="b">
        <f t="shared" ref="R16:R17" si="9">EXACT(J16,K16)</f>
        <v>0</v>
      </c>
      <c r="S16" s="53"/>
      <c r="T16" s="53" t="str">
        <f t="shared" ref="T16:T17" si="10">UPPER(G16)</f>
        <v>BOTTLES</v>
      </c>
      <c r="U16" s="53" t="str">
        <f t="shared" ref="U16:U17" si="11">LOWER(G16)</f>
        <v>bottles</v>
      </c>
      <c r="V16" s="53">
        <f t="shared" ref="V16:V17" si="12">SEARCH("T",C16)</f>
        <v>1</v>
      </c>
      <c r="W16" s="53" t="str">
        <f t="shared" ref="W16:W17" si="13">_xlfn.TEXTJOIN(" ",FALSE,G16,F16)</f>
        <v>bottles 1</v>
      </c>
      <c r="X16" s="53" t="str">
        <f t="shared" ref="X16:X17" si="14">SUBSTITUTE(L16,"0",8)</f>
        <v>988</v>
      </c>
      <c r="Y16" s="53" t="str">
        <f t="shared" ref="Y16:Y17" si="15">LEFT(Q16,4)</f>
        <v xml:space="preserve">285
</v>
      </c>
      <c r="Z16" s="53" t="str">
        <f t="shared" ref="Z16:Z17" si="16">RIGHT(Q16,4)</f>
        <v>2213</v>
      </c>
      <c r="AA16" s="53">
        <f t="shared" ref="AA16:AA17" si="17">FIND("C",Q16)</f>
        <v>5</v>
      </c>
      <c r="AB16" s="53">
        <f t="shared" ref="AB16:AB17" si="18">LEN(T29)</f>
        <v>4</v>
      </c>
      <c r="AC16" s="51" t="s">
        <v>283</v>
      </c>
      <c r="AD16" s="53" t="s">
        <v>82</v>
      </c>
      <c r="AE16" s="51" t="s">
        <v>173</v>
      </c>
      <c r="AF16" s="51" t="s">
        <v>2768</v>
      </c>
      <c r="AG16" s="51" t="s">
        <v>2769</v>
      </c>
      <c r="AH16" s="51" t="s">
        <v>160</v>
      </c>
      <c r="AI16" s="51" t="s">
        <v>2770</v>
      </c>
      <c r="AJ16" s="51">
        <v>7</v>
      </c>
      <c r="AK16" s="51" t="s">
        <v>60</v>
      </c>
      <c r="AL16" s="51">
        <v>20</v>
      </c>
      <c r="AM16" s="54">
        <f t="shared" si="5"/>
        <v>140</v>
      </c>
      <c r="AN16" s="57"/>
      <c r="AO16" s="56" t="s">
        <v>60</v>
      </c>
    </row>
    <row r="17" spans="1:41" ht="30" x14ac:dyDescent="0.25">
      <c r="A17" s="51" t="s">
        <v>82</v>
      </c>
      <c r="B17" s="51" t="s">
        <v>2773</v>
      </c>
      <c r="C17" s="51" t="s">
        <v>2774</v>
      </c>
      <c r="D17" s="51" t="s">
        <v>1167</v>
      </c>
      <c r="E17" s="51" t="s">
        <v>1106</v>
      </c>
      <c r="F17" s="51">
        <v>3</v>
      </c>
      <c r="G17" s="51" t="s">
        <v>35</v>
      </c>
      <c r="H17" s="51">
        <v>6.75</v>
      </c>
      <c r="I17" s="51">
        <f t="shared" si="0"/>
        <v>20.25</v>
      </c>
      <c r="J17" s="51">
        <f t="shared" si="1"/>
        <v>283.5</v>
      </c>
      <c r="K17" s="51">
        <f t="shared" si="6"/>
        <v>280</v>
      </c>
      <c r="L17" s="51">
        <f t="shared" si="3"/>
        <v>1010.75</v>
      </c>
      <c r="M17" s="51">
        <f t="shared" si="4"/>
        <v>59</v>
      </c>
      <c r="N17" s="53" t="b">
        <f t="shared" ref="N16:N17" si="19">AND(J17&gt;150, J17&lt;60)</f>
        <v>0</v>
      </c>
      <c r="O17" s="53" t="b">
        <f t="shared" ref="O16:O17" si="20">OR(J17&gt;150,J17&lt;100)</f>
        <v>1</v>
      </c>
      <c r="P17" s="53" t="str">
        <f t="shared" si="7"/>
        <v>cans3</v>
      </c>
      <c r="Q17" s="68" t="str">
        <f t="shared" si="8"/>
        <v>283.5
C004589</v>
      </c>
      <c r="R17" s="53" t="b">
        <f t="shared" si="9"/>
        <v>0</v>
      </c>
      <c r="S17" s="53"/>
      <c r="T17" s="53" t="str">
        <f t="shared" si="10"/>
        <v>CANS</v>
      </c>
      <c r="U17" s="53" t="str">
        <f t="shared" si="11"/>
        <v>cans</v>
      </c>
      <c r="V17" s="53">
        <f t="shared" si="12"/>
        <v>1</v>
      </c>
      <c r="W17" s="53" t="str">
        <f t="shared" si="13"/>
        <v>cans 3</v>
      </c>
      <c r="X17" s="53" t="str">
        <f t="shared" si="14"/>
        <v>1818.75</v>
      </c>
      <c r="Y17" s="53" t="str">
        <f t="shared" si="15"/>
        <v>283.</v>
      </c>
      <c r="Z17" s="53" t="str">
        <f t="shared" si="16"/>
        <v>4589</v>
      </c>
      <c r="AA17" s="53">
        <f t="shared" si="17"/>
        <v>7</v>
      </c>
      <c r="AB17" s="53">
        <f t="shared" si="18"/>
        <v>7</v>
      </c>
      <c r="AC17" s="51" t="s">
        <v>71</v>
      </c>
      <c r="AD17" s="53" t="s">
        <v>82</v>
      </c>
      <c r="AE17" s="51" t="s">
        <v>459</v>
      </c>
      <c r="AF17" s="51" t="s">
        <v>2771</v>
      </c>
      <c r="AG17" s="51" t="s">
        <v>2772</v>
      </c>
      <c r="AH17" s="51" t="s">
        <v>374</v>
      </c>
      <c r="AI17" s="51" t="s">
        <v>1955</v>
      </c>
      <c r="AJ17" s="51">
        <v>1</v>
      </c>
      <c r="AK17" s="51" t="s">
        <v>60</v>
      </c>
      <c r="AL17" s="51">
        <v>20</v>
      </c>
      <c r="AM17" s="54">
        <f t="shared" si="5"/>
        <v>20</v>
      </c>
      <c r="AN17" s="57"/>
      <c r="AO17" s="56"/>
    </row>
    <row r="18" spans="1:41" hidden="1" x14ac:dyDescent="0.25">
      <c r="A18" t="s">
        <v>240</v>
      </c>
      <c r="B18" t="s">
        <v>2775</v>
      </c>
      <c r="C18" t="s">
        <v>2776</v>
      </c>
      <c r="D18" t="s">
        <v>248</v>
      </c>
      <c r="E18" t="s">
        <v>1200</v>
      </c>
      <c r="F18">
        <v>2</v>
      </c>
      <c r="G18" t="s">
        <v>13</v>
      </c>
      <c r="H18">
        <v>24</v>
      </c>
      <c r="I18">
        <f t="shared" si="0"/>
        <v>48</v>
      </c>
      <c r="J18">
        <f t="shared" si="1"/>
        <v>223.5</v>
      </c>
      <c r="K18">
        <f t="shared" si="6"/>
        <v>216</v>
      </c>
      <c r="L18">
        <f t="shared" si="3"/>
        <v>2079.5</v>
      </c>
      <c r="M18">
        <f t="shared" si="4"/>
        <v>107</v>
      </c>
      <c r="AC18" s="12" t="s">
        <v>25</v>
      </c>
      <c r="AD18" t="s">
        <v>76</v>
      </c>
      <c r="AE18" t="s">
        <v>82</v>
      </c>
      <c r="AF18" t="s">
        <v>2773</v>
      </c>
      <c r="AG18" t="s">
        <v>2774</v>
      </c>
      <c r="AH18" t="s">
        <v>1167</v>
      </c>
      <c r="AI18" t="s">
        <v>1106</v>
      </c>
      <c r="AJ18">
        <v>3</v>
      </c>
      <c r="AK18" t="s">
        <v>35</v>
      </c>
      <c r="AL18">
        <v>6.75</v>
      </c>
      <c r="AM18">
        <f t="shared" si="5"/>
        <v>20.25</v>
      </c>
    </row>
    <row r="19" spans="1:41" hidden="1" x14ac:dyDescent="0.25">
      <c r="A19" t="s">
        <v>187</v>
      </c>
      <c r="B19" t="s">
        <v>2777</v>
      </c>
      <c r="C19" t="s">
        <v>2778</v>
      </c>
      <c r="D19" t="s">
        <v>428</v>
      </c>
      <c r="E19" t="s">
        <v>542</v>
      </c>
      <c r="F19">
        <v>4</v>
      </c>
      <c r="G19" t="s">
        <v>13</v>
      </c>
      <c r="H19">
        <v>14</v>
      </c>
      <c r="I19">
        <f t="shared" si="0"/>
        <v>56</v>
      </c>
      <c r="J19">
        <f t="shared" si="1"/>
        <v>210.5</v>
      </c>
      <c r="K19">
        <f t="shared" si="6"/>
        <v>208</v>
      </c>
      <c r="L19">
        <f t="shared" si="3"/>
        <v>2079.5</v>
      </c>
      <c r="M19">
        <f t="shared" si="4"/>
        <v>107</v>
      </c>
      <c r="AC19" s="12" t="s">
        <v>66</v>
      </c>
      <c r="AD19" t="s">
        <v>209</v>
      </c>
      <c r="AE19" t="s">
        <v>240</v>
      </c>
      <c r="AF19" t="s">
        <v>2775</v>
      </c>
      <c r="AG19" t="s">
        <v>2776</v>
      </c>
      <c r="AH19" t="s">
        <v>248</v>
      </c>
      <c r="AI19" t="s">
        <v>1200</v>
      </c>
      <c r="AJ19">
        <v>2</v>
      </c>
      <c r="AK19" t="s">
        <v>13</v>
      </c>
      <c r="AL19">
        <v>24</v>
      </c>
      <c r="AM19">
        <f t="shared" si="5"/>
        <v>48</v>
      </c>
    </row>
    <row r="20" spans="1:41" hidden="1" x14ac:dyDescent="0.25">
      <c r="A20" t="s">
        <v>162</v>
      </c>
      <c r="B20" t="s">
        <v>2779</v>
      </c>
      <c r="C20" t="s">
        <v>2780</v>
      </c>
      <c r="D20" t="s">
        <v>465</v>
      </c>
      <c r="E20" t="s">
        <v>1812</v>
      </c>
      <c r="F20">
        <v>2</v>
      </c>
      <c r="G20" t="s">
        <v>167</v>
      </c>
      <c r="H20">
        <v>20</v>
      </c>
      <c r="I20">
        <f t="shared" si="0"/>
        <v>40</v>
      </c>
      <c r="J20">
        <f t="shared" si="1"/>
        <v>242</v>
      </c>
      <c r="K20">
        <f t="shared" si="6"/>
        <v>237</v>
      </c>
      <c r="L20">
        <f t="shared" si="3"/>
        <v>307</v>
      </c>
      <c r="M20">
        <f t="shared" si="4"/>
        <v>19</v>
      </c>
      <c r="AC20" s="12" t="s">
        <v>61</v>
      </c>
      <c r="AD20" t="s">
        <v>209</v>
      </c>
      <c r="AE20" t="s">
        <v>187</v>
      </c>
      <c r="AF20" t="s">
        <v>2777</v>
      </c>
      <c r="AG20" t="s">
        <v>2778</v>
      </c>
      <c r="AH20" t="s">
        <v>428</v>
      </c>
      <c r="AI20" t="s">
        <v>542</v>
      </c>
      <c r="AJ20">
        <v>4</v>
      </c>
      <c r="AK20" t="s">
        <v>13</v>
      </c>
      <c r="AL20">
        <v>14</v>
      </c>
      <c r="AM20">
        <f t="shared" si="5"/>
        <v>56</v>
      </c>
    </row>
    <row r="21" spans="1:41" hidden="1" x14ac:dyDescent="0.25">
      <c r="A21" t="s">
        <v>168</v>
      </c>
      <c r="B21" t="s">
        <v>2781</v>
      </c>
      <c r="C21" t="s">
        <v>2782</v>
      </c>
      <c r="D21" t="s">
        <v>58</v>
      </c>
      <c r="E21" t="s">
        <v>2783</v>
      </c>
      <c r="F21">
        <v>9</v>
      </c>
      <c r="G21" t="s">
        <v>60</v>
      </c>
      <c r="H21">
        <v>22</v>
      </c>
      <c r="I21">
        <f t="shared" si="0"/>
        <v>198</v>
      </c>
      <c r="J21">
        <f t="shared" si="1"/>
        <v>34.5</v>
      </c>
      <c r="K21">
        <f t="shared" si="6"/>
        <v>33</v>
      </c>
      <c r="L21">
        <f t="shared" si="3"/>
        <v>908</v>
      </c>
      <c r="M21">
        <f t="shared" si="4"/>
        <v>50</v>
      </c>
      <c r="AC21" s="12" t="s">
        <v>101</v>
      </c>
      <c r="AD21" t="s">
        <v>14</v>
      </c>
      <c r="AE21" t="s">
        <v>162</v>
      </c>
      <c r="AF21" t="s">
        <v>2779</v>
      </c>
      <c r="AG21" t="s">
        <v>2780</v>
      </c>
      <c r="AH21" t="s">
        <v>465</v>
      </c>
      <c r="AI21" t="s">
        <v>1812</v>
      </c>
      <c r="AJ21">
        <v>2</v>
      </c>
      <c r="AK21" t="s">
        <v>167</v>
      </c>
      <c r="AL21">
        <v>20</v>
      </c>
      <c r="AM21">
        <f t="shared" si="5"/>
        <v>40</v>
      </c>
    </row>
    <row r="22" spans="1:41" ht="30" x14ac:dyDescent="0.25">
      <c r="A22" s="51" t="s">
        <v>125</v>
      </c>
      <c r="B22" s="51" t="s">
        <v>2784</v>
      </c>
      <c r="C22" s="51" t="s">
        <v>2785</v>
      </c>
      <c r="D22" s="51" t="s">
        <v>930</v>
      </c>
      <c r="E22" s="51" t="s">
        <v>2786</v>
      </c>
      <c r="F22" s="51">
        <v>4</v>
      </c>
      <c r="G22" s="51" t="s">
        <v>60</v>
      </c>
      <c r="H22" s="51">
        <v>8</v>
      </c>
      <c r="I22" s="51">
        <f t="shared" si="0"/>
        <v>32</v>
      </c>
      <c r="J22" s="51">
        <f t="shared" si="1"/>
        <v>261</v>
      </c>
      <c r="K22" s="51">
        <f t="shared" si="6"/>
        <v>254</v>
      </c>
      <c r="L22" s="51">
        <f t="shared" si="3"/>
        <v>908</v>
      </c>
      <c r="M22" s="51">
        <f t="shared" si="4"/>
        <v>50</v>
      </c>
      <c r="N22" s="53" t="b">
        <f t="shared" ref="N22:N85" si="21">AND(J22&gt;150, J22&lt;60)</f>
        <v>0</v>
      </c>
      <c r="O22" s="53" t="b">
        <f t="shared" ref="O22:O85" si="22">OR(J22&gt;150,J22&lt;100)</f>
        <v>1</v>
      </c>
      <c r="P22" s="53" t="str">
        <f t="shared" ref="P22:P85" si="23">_xlfn.CONCAT(G22,F22)</f>
        <v>bottles4</v>
      </c>
      <c r="Q22" s="68" t="str">
        <f t="shared" ref="Q22:Q85" si="24">_xlfn.CONCAT(J22,CHAR(10),B22)</f>
        <v>261
C004988</v>
      </c>
      <c r="R22" s="53" t="b">
        <f t="shared" ref="R22:R85" si="25">EXACT(J22,K22)</f>
        <v>0</v>
      </c>
      <c r="S22" s="53"/>
      <c r="T22" s="53" t="str">
        <f t="shared" ref="T22:T85" si="26">UPPER(G22)</f>
        <v>BOTTLES</v>
      </c>
      <c r="U22" s="53" t="str">
        <f t="shared" ref="U22:U85" si="27">LOWER(G22)</f>
        <v>bottles</v>
      </c>
      <c r="V22" s="53">
        <f t="shared" ref="V22:V85" si="28">SEARCH("T",C22)</f>
        <v>1</v>
      </c>
      <c r="W22" s="53" t="str">
        <f t="shared" ref="W22:W85" si="29">_xlfn.TEXTJOIN(" ",FALSE,G22,F22)</f>
        <v>bottles 4</v>
      </c>
      <c r="X22" s="53" t="str">
        <f t="shared" ref="X22:X85" si="30">SUBSTITUTE(L22,"0",8)</f>
        <v>988</v>
      </c>
      <c r="Y22" s="53" t="str">
        <f t="shared" ref="Y22:Y85" si="31">LEFT(Q22,4)</f>
        <v xml:space="preserve">261
</v>
      </c>
      <c r="Z22" s="53" t="str">
        <f t="shared" ref="Z22:Z85" si="32">RIGHT(Q22,4)</f>
        <v>4988</v>
      </c>
      <c r="AA22" s="53">
        <f t="shared" ref="AA22:AA85" si="33">FIND("C",Q22)</f>
        <v>5</v>
      </c>
      <c r="AB22" s="53">
        <f t="shared" ref="AB22:AB85" si="34">LEN(T35)</f>
        <v>2</v>
      </c>
      <c r="AC22" s="51" t="s">
        <v>168</v>
      </c>
      <c r="AD22" s="53" t="s">
        <v>14</v>
      </c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</row>
    <row r="23" spans="1:41" ht="30" x14ac:dyDescent="0.25">
      <c r="A23" s="51" t="s">
        <v>218</v>
      </c>
      <c r="B23" s="51" t="s">
        <v>2787</v>
      </c>
      <c r="C23" s="51" t="s">
        <v>2788</v>
      </c>
      <c r="D23" s="51" t="s">
        <v>165</v>
      </c>
      <c r="E23" s="51" t="s">
        <v>2789</v>
      </c>
      <c r="F23" s="51">
        <v>3</v>
      </c>
      <c r="G23" s="51" t="s">
        <v>167</v>
      </c>
      <c r="H23" s="51">
        <v>15</v>
      </c>
      <c r="I23" s="51">
        <f t="shared" si="0"/>
        <v>45</v>
      </c>
      <c r="J23" s="51">
        <f t="shared" si="1"/>
        <v>231.5</v>
      </c>
      <c r="K23" s="51">
        <f t="shared" si="6"/>
        <v>228</v>
      </c>
      <c r="L23" s="51">
        <f t="shared" si="3"/>
        <v>307</v>
      </c>
      <c r="M23" s="51">
        <f t="shared" si="4"/>
        <v>19</v>
      </c>
      <c r="N23" s="53" t="b">
        <f t="shared" si="21"/>
        <v>0</v>
      </c>
      <c r="O23" s="53" t="b">
        <f t="shared" si="22"/>
        <v>1</v>
      </c>
      <c r="P23" s="53" t="str">
        <f t="shared" si="23"/>
        <v>oz3</v>
      </c>
      <c r="Q23" s="68" t="str">
        <f t="shared" si="24"/>
        <v>231.5
C001339</v>
      </c>
      <c r="R23" s="53" t="b">
        <f t="shared" si="25"/>
        <v>0</v>
      </c>
      <c r="S23" s="53"/>
      <c r="T23" s="53" t="str">
        <f t="shared" si="26"/>
        <v>OZ</v>
      </c>
      <c r="U23" s="53" t="str">
        <f t="shared" si="27"/>
        <v>oz</v>
      </c>
      <c r="V23" s="53">
        <f t="shared" si="28"/>
        <v>1</v>
      </c>
      <c r="W23" s="53" t="str">
        <f t="shared" si="29"/>
        <v>oz 3</v>
      </c>
      <c r="X23" s="53" t="str">
        <f t="shared" si="30"/>
        <v>387</v>
      </c>
      <c r="Y23" s="53" t="str">
        <f t="shared" si="31"/>
        <v>231.</v>
      </c>
      <c r="Z23" s="53" t="str">
        <f t="shared" si="32"/>
        <v>1339</v>
      </c>
      <c r="AA23" s="53">
        <f t="shared" si="33"/>
        <v>7</v>
      </c>
      <c r="AB23" s="53">
        <f t="shared" si="34"/>
        <v>8</v>
      </c>
      <c r="AC23" s="51" t="s">
        <v>307</v>
      </c>
      <c r="AD23" s="53" t="s">
        <v>14</v>
      </c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</row>
    <row r="24" spans="1:41" ht="30" x14ac:dyDescent="0.25">
      <c r="A24" s="51" t="s">
        <v>519</v>
      </c>
      <c r="B24" s="51" t="s">
        <v>2790</v>
      </c>
      <c r="C24" s="51" t="s">
        <v>2791</v>
      </c>
      <c r="D24" s="51" t="s">
        <v>203</v>
      </c>
      <c r="E24" s="51" t="s">
        <v>1071</v>
      </c>
      <c r="F24" s="51">
        <v>10</v>
      </c>
      <c r="G24" s="51" t="s">
        <v>35</v>
      </c>
      <c r="H24" s="51">
        <v>6.75</v>
      </c>
      <c r="I24" s="51">
        <f t="shared" si="0"/>
        <v>67.5</v>
      </c>
      <c r="J24" s="51">
        <f t="shared" si="1"/>
        <v>191</v>
      </c>
      <c r="K24" s="51">
        <f t="shared" si="6"/>
        <v>188</v>
      </c>
      <c r="L24" s="51">
        <f t="shared" si="3"/>
        <v>1010.75</v>
      </c>
      <c r="M24" s="51">
        <f t="shared" si="4"/>
        <v>59</v>
      </c>
      <c r="N24" s="53" t="b">
        <f t="shared" si="21"/>
        <v>0</v>
      </c>
      <c r="O24" s="53" t="b">
        <f t="shared" si="22"/>
        <v>1</v>
      </c>
      <c r="P24" s="53" t="str">
        <f t="shared" si="23"/>
        <v>cans10</v>
      </c>
      <c r="Q24" s="68" t="str">
        <f t="shared" si="24"/>
        <v>191
C005541</v>
      </c>
      <c r="R24" s="53" t="b">
        <f t="shared" si="25"/>
        <v>0</v>
      </c>
      <c r="S24" s="53"/>
      <c r="T24" s="53" t="str">
        <f t="shared" si="26"/>
        <v>CANS</v>
      </c>
      <c r="U24" s="53" t="str">
        <f t="shared" si="27"/>
        <v>cans</v>
      </c>
      <c r="V24" s="53">
        <f t="shared" si="28"/>
        <v>1</v>
      </c>
      <c r="W24" s="53" t="str">
        <f t="shared" si="29"/>
        <v>cans 10</v>
      </c>
      <c r="X24" s="53" t="str">
        <f t="shared" si="30"/>
        <v>1818.75</v>
      </c>
      <c r="Y24" s="53" t="str">
        <f t="shared" si="31"/>
        <v xml:space="preserve">191
</v>
      </c>
      <c r="Z24" s="53" t="str">
        <f t="shared" si="32"/>
        <v>5541</v>
      </c>
      <c r="AA24" s="53">
        <f t="shared" si="33"/>
        <v>5</v>
      </c>
      <c r="AB24" s="53">
        <f t="shared" si="34"/>
        <v>4</v>
      </c>
      <c r="AC24" s="51" t="s">
        <v>121</v>
      </c>
      <c r="AD24" s="53" t="s">
        <v>240</v>
      </c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</row>
    <row r="25" spans="1:41" ht="30" x14ac:dyDescent="0.25">
      <c r="A25" s="51" t="s">
        <v>146</v>
      </c>
      <c r="B25" s="51" t="s">
        <v>2792</v>
      </c>
      <c r="C25" s="51" t="s">
        <v>2793</v>
      </c>
      <c r="D25" s="51" t="s">
        <v>1706</v>
      </c>
      <c r="E25" s="51" t="s">
        <v>2794</v>
      </c>
      <c r="F25" s="51">
        <v>6</v>
      </c>
      <c r="G25" s="51" t="s">
        <v>35</v>
      </c>
      <c r="H25" s="51">
        <v>16</v>
      </c>
      <c r="I25" s="51">
        <f t="shared" si="0"/>
        <v>96</v>
      </c>
      <c r="J25" s="51">
        <f t="shared" si="1"/>
        <v>147.5</v>
      </c>
      <c r="K25" s="51">
        <f t="shared" si="6"/>
        <v>143</v>
      </c>
      <c r="L25" s="51">
        <f t="shared" si="3"/>
        <v>1010.75</v>
      </c>
      <c r="M25" s="51">
        <f t="shared" si="4"/>
        <v>59</v>
      </c>
      <c r="N25" s="53" t="b">
        <f t="shared" si="21"/>
        <v>0</v>
      </c>
      <c r="O25" s="53" t="b">
        <f t="shared" si="22"/>
        <v>0</v>
      </c>
      <c r="P25" s="53" t="str">
        <f t="shared" si="23"/>
        <v>cans6</v>
      </c>
      <c r="Q25" s="68" t="str">
        <f t="shared" si="24"/>
        <v>147.5
C000346</v>
      </c>
      <c r="R25" s="53" t="b">
        <f t="shared" si="25"/>
        <v>0</v>
      </c>
      <c r="S25" s="53"/>
      <c r="T25" s="53" t="str">
        <f t="shared" si="26"/>
        <v>CANS</v>
      </c>
      <c r="U25" s="53" t="str">
        <f t="shared" si="27"/>
        <v>cans</v>
      </c>
      <c r="V25" s="53">
        <f t="shared" si="28"/>
        <v>1</v>
      </c>
      <c r="W25" s="53" t="str">
        <f t="shared" si="29"/>
        <v>cans 6</v>
      </c>
      <c r="X25" s="53" t="str">
        <f t="shared" si="30"/>
        <v>1818.75</v>
      </c>
      <c r="Y25" s="53" t="str">
        <f t="shared" si="31"/>
        <v>147.</v>
      </c>
      <c r="Z25" s="53" t="str">
        <f t="shared" si="32"/>
        <v>0346</v>
      </c>
      <c r="AA25" s="53">
        <f t="shared" si="33"/>
        <v>7</v>
      </c>
      <c r="AB25" s="53">
        <f t="shared" si="34"/>
        <v>4</v>
      </c>
      <c r="AC25" s="51" t="s">
        <v>30</v>
      </c>
      <c r="AD25" s="53" t="s">
        <v>240</v>
      </c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</row>
    <row r="26" spans="1:41" ht="30" x14ac:dyDescent="0.25">
      <c r="A26" s="51" t="s">
        <v>224</v>
      </c>
      <c r="B26" s="51" t="s">
        <v>2795</v>
      </c>
      <c r="C26" s="51" t="s">
        <v>2796</v>
      </c>
      <c r="D26" s="51" t="s">
        <v>23</v>
      </c>
      <c r="E26" s="51" t="s">
        <v>1075</v>
      </c>
      <c r="F26" s="51">
        <v>1</v>
      </c>
      <c r="G26" s="51" t="s">
        <v>13</v>
      </c>
      <c r="H26" s="51">
        <v>12.5</v>
      </c>
      <c r="I26" s="51">
        <f t="shared" si="0"/>
        <v>12.5</v>
      </c>
      <c r="J26" s="51">
        <f t="shared" si="1"/>
        <v>296</v>
      </c>
      <c r="K26" s="51">
        <f t="shared" si="6"/>
        <v>291</v>
      </c>
      <c r="L26" s="51">
        <f t="shared" si="3"/>
        <v>2079.5</v>
      </c>
      <c r="M26" s="51">
        <f t="shared" si="4"/>
        <v>107</v>
      </c>
      <c r="N26" s="53" t="b">
        <f t="shared" si="21"/>
        <v>0</v>
      </c>
      <c r="O26" s="53" t="b">
        <f t="shared" si="22"/>
        <v>1</v>
      </c>
      <c r="P26" s="53" t="str">
        <f t="shared" si="23"/>
        <v>ct1</v>
      </c>
      <c r="Q26" s="68" t="str">
        <f t="shared" si="24"/>
        <v>296
C005015</v>
      </c>
      <c r="R26" s="53" t="b">
        <f t="shared" si="25"/>
        <v>0</v>
      </c>
      <c r="S26" s="53"/>
      <c r="T26" s="53" t="str">
        <f t="shared" si="26"/>
        <v>CT</v>
      </c>
      <c r="U26" s="53" t="str">
        <f t="shared" si="27"/>
        <v>ct</v>
      </c>
      <c r="V26" s="53">
        <f t="shared" si="28"/>
        <v>1</v>
      </c>
      <c r="W26" s="53" t="str">
        <f t="shared" si="29"/>
        <v>ct 1</v>
      </c>
      <c r="X26" s="53" t="str">
        <f t="shared" si="30"/>
        <v>2879.5</v>
      </c>
      <c r="Y26" s="53" t="str">
        <f t="shared" si="31"/>
        <v xml:space="preserve">296
</v>
      </c>
      <c r="Z26" s="53" t="str">
        <f t="shared" si="32"/>
        <v>5015</v>
      </c>
      <c r="AA26" s="53">
        <f t="shared" si="33"/>
        <v>5</v>
      </c>
      <c r="AB26" s="53">
        <f t="shared" si="34"/>
        <v>2</v>
      </c>
      <c r="AC26" s="51" t="s">
        <v>359</v>
      </c>
      <c r="AD26" s="53" t="s">
        <v>71</v>
      </c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</row>
    <row r="27" spans="1:41" ht="30" x14ac:dyDescent="0.25">
      <c r="A27" s="51" t="s">
        <v>14</v>
      </c>
      <c r="B27" s="51" t="s">
        <v>2797</v>
      </c>
      <c r="C27" s="51" t="s">
        <v>2798</v>
      </c>
      <c r="D27" s="51" t="s">
        <v>410</v>
      </c>
      <c r="E27" s="51" t="s">
        <v>538</v>
      </c>
      <c r="F27" s="51">
        <v>3</v>
      </c>
      <c r="G27" s="51" t="s">
        <v>60</v>
      </c>
      <c r="H27" s="51">
        <v>24</v>
      </c>
      <c r="I27" s="51">
        <f t="shared" si="0"/>
        <v>72</v>
      </c>
      <c r="J27" s="51">
        <f t="shared" si="1"/>
        <v>182</v>
      </c>
      <c r="K27" s="51">
        <f t="shared" si="6"/>
        <v>176</v>
      </c>
      <c r="L27" s="51">
        <f t="shared" si="3"/>
        <v>908</v>
      </c>
      <c r="M27" s="51">
        <f t="shared" si="4"/>
        <v>50</v>
      </c>
      <c r="N27" s="53" t="b">
        <f t="shared" si="21"/>
        <v>0</v>
      </c>
      <c r="O27" s="53" t="b">
        <f t="shared" si="22"/>
        <v>1</v>
      </c>
      <c r="P27" s="53" t="str">
        <f t="shared" si="23"/>
        <v>bottles3</v>
      </c>
      <c r="Q27" s="68" t="str">
        <f t="shared" si="24"/>
        <v>182
C009148</v>
      </c>
      <c r="R27" s="53" t="b">
        <f t="shared" si="25"/>
        <v>0</v>
      </c>
      <c r="S27" s="53"/>
      <c r="T27" s="53" t="str">
        <f t="shared" si="26"/>
        <v>BOTTLES</v>
      </c>
      <c r="U27" s="53" t="str">
        <f t="shared" si="27"/>
        <v>bottles</v>
      </c>
      <c r="V27" s="53">
        <f t="shared" si="28"/>
        <v>1</v>
      </c>
      <c r="W27" s="53" t="str">
        <f t="shared" si="29"/>
        <v>bottles 3</v>
      </c>
      <c r="X27" s="53" t="str">
        <f t="shared" si="30"/>
        <v>988</v>
      </c>
      <c r="Y27" s="53" t="str">
        <f t="shared" si="31"/>
        <v xml:space="preserve">182
</v>
      </c>
      <c r="Z27" s="53" t="str">
        <f t="shared" si="32"/>
        <v>9148</v>
      </c>
      <c r="AA27" s="53">
        <f t="shared" si="33"/>
        <v>5</v>
      </c>
      <c r="AB27" s="53">
        <f t="shared" si="34"/>
        <v>4</v>
      </c>
      <c r="AC27" s="51" t="s">
        <v>137</v>
      </c>
      <c r="AD27" s="53" t="s">
        <v>125</v>
      </c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</row>
    <row r="28" spans="1:41" ht="30" x14ac:dyDescent="0.25">
      <c r="A28" s="51" t="s">
        <v>76</v>
      </c>
      <c r="B28" s="51" t="s">
        <v>2799</v>
      </c>
      <c r="C28" s="51" t="s">
        <v>2800</v>
      </c>
      <c r="D28" s="51" t="s">
        <v>930</v>
      </c>
      <c r="E28" s="51" t="s">
        <v>1217</v>
      </c>
      <c r="F28" s="51">
        <v>4</v>
      </c>
      <c r="G28" s="51" t="s">
        <v>60</v>
      </c>
      <c r="H28" s="51">
        <v>8</v>
      </c>
      <c r="I28" s="51">
        <f t="shared" si="0"/>
        <v>32</v>
      </c>
      <c r="J28" s="51">
        <f t="shared" si="1"/>
        <v>261</v>
      </c>
      <c r="K28" s="51">
        <f t="shared" si="6"/>
        <v>251</v>
      </c>
      <c r="L28" s="51">
        <f t="shared" si="3"/>
        <v>908</v>
      </c>
      <c r="M28" s="51">
        <f t="shared" si="4"/>
        <v>50</v>
      </c>
      <c r="N28" s="53" t="b">
        <f t="shared" si="21"/>
        <v>0</v>
      </c>
      <c r="O28" s="53" t="b">
        <f t="shared" si="22"/>
        <v>1</v>
      </c>
      <c r="P28" s="53" t="str">
        <f t="shared" si="23"/>
        <v>bottles4</v>
      </c>
      <c r="Q28" s="68" t="str">
        <f t="shared" si="24"/>
        <v>261
C003907</v>
      </c>
      <c r="R28" s="53" t="b">
        <f t="shared" si="25"/>
        <v>0</v>
      </c>
      <c r="S28" s="53"/>
      <c r="T28" s="53" t="str">
        <f t="shared" si="26"/>
        <v>BOTTLES</v>
      </c>
      <c r="U28" s="53" t="str">
        <f t="shared" si="27"/>
        <v>bottles</v>
      </c>
      <c r="V28" s="53">
        <f t="shared" si="28"/>
        <v>1</v>
      </c>
      <c r="W28" s="53" t="str">
        <f t="shared" si="29"/>
        <v>bottles 4</v>
      </c>
      <c r="X28" s="53" t="str">
        <f t="shared" si="30"/>
        <v>988</v>
      </c>
      <c r="Y28" s="53" t="str">
        <f t="shared" si="31"/>
        <v xml:space="preserve">261
</v>
      </c>
      <c r="Z28" s="53" t="str">
        <f t="shared" si="32"/>
        <v>3907</v>
      </c>
      <c r="AA28" s="53">
        <f t="shared" si="33"/>
        <v>5</v>
      </c>
      <c r="AB28" s="53">
        <f t="shared" si="34"/>
        <v>7</v>
      </c>
      <c r="AC28" s="51" t="s">
        <v>288</v>
      </c>
      <c r="AD28" s="53" t="s">
        <v>125</v>
      </c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</row>
    <row r="29" spans="1:41" ht="30" x14ac:dyDescent="0.25">
      <c r="A29" s="51" t="s">
        <v>240</v>
      </c>
      <c r="B29" s="51" t="s">
        <v>2801</v>
      </c>
      <c r="C29" s="51" t="s">
        <v>2802</v>
      </c>
      <c r="D29" s="51" t="s">
        <v>104</v>
      </c>
      <c r="E29" s="51" t="s">
        <v>1818</v>
      </c>
      <c r="F29" s="51">
        <v>8</v>
      </c>
      <c r="G29" s="51" t="s">
        <v>106</v>
      </c>
      <c r="H29" s="51">
        <v>15</v>
      </c>
      <c r="I29" s="51">
        <f t="shared" si="0"/>
        <v>120</v>
      </c>
      <c r="J29" s="51">
        <f t="shared" si="1"/>
        <v>112</v>
      </c>
      <c r="K29" s="51">
        <f t="shared" si="6"/>
        <v>106</v>
      </c>
      <c r="L29" s="51">
        <f t="shared" si="3"/>
        <v>285</v>
      </c>
      <c r="M29" s="51">
        <f t="shared" si="4"/>
        <v>17</v>
      </c>
      <c r="N29" s="53" t="b">
        <f t="shared" si="21"/>
        <v>0</v>
      </c>
      <c r="O29" s="53" t="b">
        <f t="shared" si="22"/>
        <v>0</v>
      </c>
      <c r="P29" s="53" t="str">
        <f t="shared" si="23"/>
        <v>bags8</v>
      </c>
      <c r="Q29" s="68" t="str">
        <f t="shared" si="24"/>
        <v>112
C000084</v>
      </c>
      <c r="R29" s="53" t="b">
        <f t="shared" si="25"/>
        <v>0</v>
      </c>
      <c r="S29" s="53"/>
      <c r="T29" s="53" t="str">
        <f t="shared" si="26"/>
        <v>BAGS</v>
      </c>
      <c r="U29" s="53" t="str">
        <f t="shared" si="27"/>
        <v>bags</v>
      </c>
      <c r="V29" s="53">
        <f t="shared" si="28"/>
        <v>1</v>
      </c>
      <c r="W29" s="53" t="str">
        <f t="shared" si="29"/>
        <v>bags 8</v>
      </c>
      <c r="X29" s="53" t="str">
        <f t="shared" si="30"/>
        <v>285</v>
      </c>
      <c r="Y29" s="53" t="str">
        <f t="shared" si="31"/>
        <v xml:space="preserve">112
</v>
      </c>
      <c r="Z29" s="53" t="str">
        <f t="shared" si="32"/>
        <v>0084</v>
      </c>
      <c r="AA29" s="53">
        <f t="shared" si="33"/>
        <v>5</v>
      </c>
      <c r="AB29" s="53">
        <f t="shared" si="34"/>
        <v>7</v>
      </c>
      <c r="AC29" s="51" t="s">
        <v>743</v>
      </c>
      <c r="AD29" s="53" t="s">
        <v>125</v>
      </c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</row>
    <row r="30" spans="1:41" ht="30" x14ac:dyDescent="0.25">
      <c r="A30" s="51" t="s">
        <v>162</v>
      </c>
      <c r="B30" s="51" t="s">
        <v>2803</v>
      </c>
      <c r="C30" s="51" t="s">
        <v>2804</v>
      </c>
      <c r="D30" s="51" t="s">
        <v>895</v>
      </c>
      <c r="E30" s="51" t="s">
        <v>1237</v>
      </c>
      <c r="F30" s="51">
        <v>3</v>
      </c>
      <c r="G30" s="51" t="s">
        <v>60</v>
      </c>
      <c r="H30" s="51">
        <v>9</v>
      </c>
      <c r="I30" s="51">
        <f t="shared" si="0"/>
        <v>27</v>
      </c>
      <c r="J30" s="51">
        <f t="shared" si="1"/>
        <v>273.5</v>
      </c>
      <c r="K30" s="51">
        <f t="shared" si="6"/>
        <v>263</v>
      </c>
      <c r="L30" s="51">
        <f t="shared" si="3"/>
        <v>908</v>
      </c>
      <c r="M30" s="51">
        <f t="shared" si="4"/>
        <v>50</v>
      </c>
      <c r="N30" s="53" t="b">
        <f t="shared" si="21"/>
        <v>0</v>
      </c>
      <c r="O30" s="53" t="b">
        <f t="shared" si="22"/>
        <v>1</v>
      </c>
      <c r="P30" s="53" t="str">
        <f t="shared" si="23"/>
        <v>bottles3</v>
      </c>
      <c r="Q30" s="68" t="str">
        <f t="shared" si="24"/>
        <v>273.5
C001712</v>
      </c>
      <c r="R30" s="53" t="b">
        <f t="shared" si="25"/>
        <v>0</v>
      </c>
      <c r="S30" s="53"/>
      <c r="T30" s="53" t="str">
        <f t="shared" si="26"/>
        <v>BOTTLES</v>
      </c>
      <c r="U30" s="53" t="str">
        <f t="shared" si="27"/>
        <v>bottles</v>
      </c>
      <c r="V30" s="53">
        <f t="shared" si="28"/>
        <v>1</v>
      </c>
      <c r="W30" s="53" t="str">
        <f t="shared" si="29"/>
        <v>bottles 3</v>
      </c>
      <c r="X30" s="53" t="str">
        <f t="shared" si="30"/>
        <v>988</v>
      </c>
      <c r="Y30" s="53" t="str">
        <f t="shared" si="31"/>
        <v>273.</v>
      </c>
      <c r="Z30" s="53" t="str">
        <f t="shared" si="32"/>
        <v>1712</v>
      </c>
      <c r="AA30" s="53">
        <f t="shared" si="33"/>
        <v>7</v>
      </c>
      <c r="AB30" s="53">
        <f t="shared" si="34"/>
        <v>2</v>
      </c>
      <c r="AC30" s="51" t="s">
        <v>8</v>
      </c>
      <c r="AD30" s="53" t="s">
        <v>187</v>
      </c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</row>
    <row r="31" spans="1:41" ht="30" x14ac:dyDescent="0.25">
      <c r="A31" s="51" t="s">
        <v>125</v>
      </c>
      <c r="B31" s="51" t="s">
        <v>2805</v>
      </c>
      <c r="C31" s="51" t="s">
        <v>2806</v>
      </c>
      <c r="D31" s="51" t="s">
        <v>1617</v>
      </c>
      <c r="E31" s="51" t="s">
        <v>1020</v>
      </c>
      <c r="F31" s="51">
        <v>4</v>
      </c>
      <c r="G31" s="51" t="s">
        <v>13</v>
      </c>
      <c r="H31" s="51">
        <v>12</v>
      </c>
      <c r="I31" s="51">
        <f t="shared" si="0"/>
        <v>48</v>
      </c>
      <c r="J31" s="51">
        <f t="shared" si="1"/>
        <v>223.5</v>
      </c>
      <c r="K31" s="51">
        <f t="shared" si="6"/>
        <v>212</v>
      </c>
      <c r="L31" s="51">
        <f t="shared" si="3"/>
        <v>2079.5</v>
      </c>
      <c r="M31" s="51">
        <f t="shared" si="4"/>
        <v>107</v>
      </c>
      <c r="N31" s="53" t="b">
        <f t="shared" si="21"/>
        <v>0</v>
      </c>
      <c r="O31" s="53" t="b">
        <f t="shared" si="22"/>
        <v>1</v>
      </c>
      <c r="P31" s="53" t="str">
        <f t="shared" si="23"/>
        <v>ct4</v>
      </c>
      <c r="Q31" s="68" t="str">
        <f t="shared" si="24"/>
        <v>223.5
C003566</v>
      </c>
      <c r="R31" s="53" t="b">
        <f t="shared" si="25"/>
        <v>0</v>
      </c>
      <c r="S31" s="53"/>
      <c r="T31" s="53" t="str">
        <f t="shared" si="26"/>
        <v>CT</v>
      </c>
      <c r="U31" s="53" t="str">
        <f t="shared" si="27"/>
        <v>ct</v>
      </c>
      <c r="V31" s="53">
        <f t="shared" si="28"/>
        <v>1</v>
      </c>
      <c r="W31" s="53" t="str">
        <f t="shared" si="29"/>
        <v>ct 4</v>
      </c>
      <c r="X31" s="53" t="str">
        <f t="shared" si="30"/>
        <v>2879.5</v>
      </c>
      <c r="Y31" s="53" t="str">
        <f t="shared" si="31"/>
        <v>223.</v>
      </c>
      <c r="Z31" s="53" t="str">
        <f t="shared" si="32"/>
        <v>3566</v>
      </c>
      <c r="AA31" s="53">
        <f t="shared" si="33"/>
        <v>7</v>
      </c>
      <c r="AB31" s="53">
        <f t="shared" si="34"/>
        <v>2</v>
      </c>
      <c r="AC31" s="51" t="s">
        <v>173</v>
      </c>
      <c r="AD31" s="53" t="s">
        <v>307</v>
      </c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</row>
    <row r="32" spans="1:41" ht="30" x14ac:dyDescent="0.25">
      <c r="A32" s="51" t="s">
        <v>55</v>
      </c>
      <c r="B32" s="51" t="s">
        <v>2807</v>
      </c>
      <c r="C32" s="51" t="s">
        <v>2808</v>
      </c>
      <c r="D32" s="51" t="s">
        <v>495</v>
      </c>
      <c r="E32" s="51" t="s">
        <v>2809</v>
      </c>
      <c r="F32" s="51">
        <v>3</v>
      </c>
      <c r="G32" s="51" t="s">
        <v>167</v>
      </c>
      <c r="H32" s="51">
        <v>16</v>
      </c>
      <c r="I32" s="51">
        <f t="shared" si="0"/>
        <v>48</v>
      </c>
      <c r="J32" s="51">
        <f t="shared" si="1"/>
        <v>223.5</v>
      </c>
      <c r="K32" s="51">
        <f t="shared" si="6"/>
        <v>212</v>
      </c>
      <c r="L32" s="51">
        <f t="shared" si="3"/>
        <v>307</v>
      </c>
      <c r="M32" s="51">
        <f t="shared" si="4"/>
        <v>19</v>
      </c>
      <c r="N32" s="53" t="b">
        <f t="shared" si="21"/>
        <v>0</v>
      </c>
      <c r="O32" s="53" t="b">
        <f t="shared" si="22"/>
        <v>1</v>
      </c>
      <c r="P32" s="53" t="str">
        <f t="shared" si="23"/>
        <v>oz3</v>
      </c>
      <c r="Q32" s="68" t="str">
        <f t="shared" si="24"/>
        <v>223.5
C003107</v>
      </c>
      <c r="R32" s="53" t="b">
        <f t="shared" si="25"/>
        <v>0</v>
      </c>
      <c r="S32" s="53"/>
      <c r="T32" s="53" t="str">
        <f t="shared" si="26"/>
        <v>OZ</v>
      </c>
      <c r="U32" s="53" t="str">
        <f t="shared" si="27"/>
        <v>oz</v>
      </c>
      <c r="V32" s="53">
        <f t="shared" si="28"/>
        <v>1</v>
      </c>
      <c r="W32" s="53" t="str">
        <f t="shared" si="29"/>
        <v>oz 3</v>
      </c>
      <c r="X32" s="53" t="str">
        <f t="shared" si="30"/>
        <v>387</v>
      </c>
      <c r="Y32" s="53" t="str">
        <f t="shared" si="31"/>
        <v>223.</v>
      </c>
      <c r="Z32" s="53" t="str">
        <f t="shared" si="32"/>
        <v>3107</v>
      </c>
      <c r="AA32" s="53">
        <f t="shared" si="33"/>
        <v>7</v>
      </c>
      <c r="AB32" s="53">
        <f t="shared" si="34"/>
        <v>4</v>
      </c>
      <c r="AC32" s="51" t="s">
        <v>339</v>
      </c>
      <c r="AD32" s="53" t="s">
        <v>307</v>
      </c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 spans="1:41" ht="30" x14ac:dyDescent="0.25">
      <c r="A33" s="51" t="s">
        <v>200</v>
      </c>
      <c r="B33" s="51" t="s">
        <v>2810</v>
      </c>
      <c r="C33" s="51" t="s">
        <v>2811</v>
      </c>
      <c r="D33" s="51" t="s">
        <v>567</v>
      </c>
      <c r="E33" s="51" t="s">
        <v>2321</v>
      </c>
      <c r="F33" s="51">
        <v>8</v>
      </c>
      <c r="G33" s="51" t="s">
        <v>60</v>
      </c>
      <c r="H33" s="51">
        <v>20</v>
      </c>
      <c r="I33" s="51">
        <f t="shared" si="0"/>
        <v>160</v>
      </c>
      <c r="J33" s="51">
        <f t="shared" si="1"/>
        <v>67.5</v>
      </c>
      <c r="K33" s="51">
        <f t="shared" si="6"/>
        <v>63</v>
      </c>
      <c r="L33" s="51">
        <f t="shared" si="3"/>
        <v>908</v>
      </c>
      <c r="M33" s="51">
        <f t="shared" si="4"/>
        <v>50</v>
      </c>
      <c r="N33" s="53" t="b">
        <f t="shared" si="21"/>
        <v>0</v>
      </c>
      <c r="O33" s="53" t="b">
        <f t="shared" si="22"/>
        <v>1</v>
      </c>
      <c r="P33" s="53" t="str">
        <f t="shared" si="23"/>
        <v>bottles8</v>
      </c>
      <c r="Q33" s="68" t="str">
        <f t="shared" si="24"/>
        <v>67.5
C004341</v>
      </c>
      <c r="R33" s="53" t="b">
        <f t="shared" si="25"/>
        <v>0</v>
      </c>
      <c r="S33" s="53"/>
      <c r="T33" s="53" t="str">
        <f t="shared" si="26"/>
        <v>BOTTLES</v>
      </c>
      <c r="U33" s="53" t="str">
        <f t="shared" si="27"/>
        <v>bottles</v>
      </c>
      <c r="V33" s="53">
        <f t="shared" si="28"/>
        <v>1</v>
      </c>
      <c r="W33" s="53" t="str">
        <f t="shared" si="29"/>
        <v>bottles 8</v>
      </c>
      <c r="X33" s="53" t="str">
        <f t="shared" si="30"/>
        <v>988</v>
      </c>
      <c r="Y33" s="53" t="str">
        <f t="shared" si="31"/>
        <v>67.5</v>
      </c>
      <c r="Z33" s="53" t="str">
        <f t="shared" si="32"/>
        <v>4341</v>
      </c>
      <c r="AA33" s="53">
        <f t="shared" si="33"/>
        <v>6</v>
      </c>
      <c r="AB33" s="53">
        <f t="shared" si="34"/>
        <v>4</v>
      </c>
      <c r="AC33" s="51" t="s">
        <v>96</v>
      </c>
      <c r="AD33" s="53" t="s">
        <v>25</v>
      </c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spans="1:41" ht="30" x14ac:dyDescent="0.25">
      <c r="A34" s="51" t="s">
        <v>459</v>
      </c>
      <c r="B34" s="51" t="s">
        <v>2812</v>
      </c>
      <c r="C34" s="51" t="s">
        <v>2813</v>
      </c>
      <c r="D34" s="51" t="s">
        <v>592</v>
      </c>
      <c r="E34" s="51" t="s">
        <v>1872</v>
      </c>
      <c r="F34" s="51">
        <v>6</v>
      </c>
      <c r="G34" s="51" t="s">
        <v>13</v>
      </c>
      <c r="H34" s="51">
        <v>19</v>
      </c>
      <c r="I34" s="51">
        <f t="shared" si="0"/>
        <v>114</v>
      </c>
      <c r="J34" s="51">
        <f t="shared" si="1"/>
        <v>120.5</v>
      </c>
      <c r="K34" s="51">
        <f t="shared" si="6"/>
        <v>116</v>
      </c>
      <c r="L34" s="51">
        <f t="shared" si="3"/>
        <v>2079.5</v>
      </c>
      <c r="M34" s="51">
        <f t="shared" si="4"/>
        <v>107</v>
      </c>
      <c r="N34" s="53" t="b">
        <f t="shared" si="21"/>
        <v>0</v>
      </c>
      <c r="O34" s="53" t="b">
        <f t="shared" si="22"/>
        <v>0</v>
      </c>
      <c r="P34" s="53" t="str">
        <f t="shared" si="23"/>
        <v>ct6</v>
      </c>
      <c r="Q34" s="68" t="str">
        <f t="shared" si="24"/>
        <v>120.5
C003327</v>
      </c>
      <c r="R34" s="53" t="b">
        <f t="shared" si="25"/>
        <v>0</v>
      </c>
      <c r="S34" s="53"/>
      <c r="T34" s="53" t="str">
        <f t="shared" si="26"/>
        <v>CT</v>
      </c>
      <c r="U34" s="53" t="str">
        <f t="shared" si="27"/>
        <v>ct</v>
      </c>
      <c r="V34" s="53">
        <f t="shared" si="28"/>
        <v>1</v>
      </c>
      <c r="W34" s="53" t="str">
        <f t="shared" si="29"/>
        <v>ct 6</v>
      </c>
      <c r="X34" s="53" t="str">
        <f t="shared" si="30"/>
        <v>2879.5</v>
      </c>
      <c r="Y34" s="53" t="str">
        <f t="shared" si="31"/>
        <v>120.</v>
      </c>
      <c r="Z34" s="53" t="str">
        <f t="shared" si="32"/>
        <v>3327</v>
      </c>
      <c r="AA34" s="53">
        <f t="shared" si="33"/>
        <v>7</v>
      </c>
      <c r="AB34" s="53">
        <f t="shared" si="34"/>
        <v>7</v>
      </c>
      <c r="AC34" s="51" t="s">
        <v>274</v>
      </c>
      <c r="AD34" s="53" t="s">
        <v>173</v>
      </c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spans="1:41" ht="30" x14ac:dyDescent="0.25">
      <c r="A35" s="51" t="s">
        <v>283</v>
      </c>
      <c r="B35" s="51" t="s">
        <v>2814</v>
      </c>
      <c r="C35" s="51" t="s">
        <v>2815</v>
      </c>
      <c r="D35" s="51" t="s">
        <v>967</v>
      </c>
      <c r="E35" s="51" t="s">
        <v>2816</v>
      </c>
      <c r="F35" s="51">
        <v>11</v>
      </c>
      <c r="G35" s="51" t="s">
        <v>13</v>
      </c>
      <c r="H35" s="51">
        <v>53</v>
      </c>
      <c r="I35" s="51">
        <f t="shared" si="0"/>
        <v>583</v>
      </c>
      <c r="J35" s="51">
        <f t="shared" si="1"/>
        <v>1</v>
      </c>
      <c r="K35" s="51">
        <f t="shared" si="6"/>
        <v>2</v>
      </c>
      <c r="L35" s="51">
        <f t="shared" si="3"/>
        <v>2079.5</v>
      </c>
      <c r="M35" s="51">
        <f t="shared" si="4"/>
        <v>107</v>
      </c>
      <c r="N35" s="53" t="b">
        <f t="shared" si="21"/>
        <v>0</v>
      </c>
      <c r="O35" s="53" t="b">
        <f t="shared" si="22"/>
        <v>1</v>
      </c>
      <c r="P35" s="53" t="str">
        <f t="shared" si="23"/>
        <v>ct11</v>
      </c>
      <c r="Q35" s="68" t="str">
        <f t="shared" si="24"/>
        <v>1
C002361</v>
      </c>
      <c r="R35" s="53" t="b">
        <f t="shared" si="25"/>
        <v>0</v>
      </c>
      <c r="S35" s="53"/>
      <c r="T35" s="53" t="str">
        <f t="shared" si="26"/>
        <v>CT</v>
      </c>
      <c r="U35" s="53" t="str">
        <f t="shared" si="27"/>
        <v>ct</v>
      </c>
      <c r="V35" s="53">
        <f t="shared" si="28"/>
        <v>1</v>
      </c>
      <c r="W35" s="53" t="str">
        <f t="shared" si="29"/>
        <v>ct 11</v>
      </c>
      <c r="X35" s="53" t="str">
        <f t="shared" si="30"/>
        <v>2879.5</v>
      </c>
      <c r="Y35" s="53" t="str">
        <f t="shared" si="31"/>
        <v>1
C0</v>
      </c>
      <c r="Z35" s="53" t="str">
        <f t="shared" si="32"/>
        <v>2361</v>
      </c>
      <c r="AA35" s="53">
        <f t="shared" si="33"/>
        <v>3</v>
      </c>
      <c r="AB35" s="53">
        <f t="shared" si="34"/>
        <v>4</v>
      </c>
      <c r="AC35" s="51" t="s">
        <v>209</v>
      </c>
      <c r="AD35" s="53" t="s">
        <v>224</v>
      </c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spans="1:41" ht="30" x14ac:dyDescent="0.25">
      <c r="A36" s="51" t="s">
        <v>14</v>
      </c>
      <c r="B36" s="51" t="s">
        <v>2817</v>
      </c>
      <c r="C36" s="51" t="s">
        <v>2818</v>
      </c>
      <c r="D36" s="51" t="s">
        <v>1784</v>
      </c>
      <c r="E36" s="51" t="s">
        <v>1631</v>
      </c>
      <c r="F36" s="51">
        <v>5</v>
      </c>
      <c r="G36" s="51" t="s">
        <v>1786</v>
      </c>
      <c r="H36" s="51">
        <v>16</v>
      </c>
      <c r="I36" s="51">
        <f t="shared" si="0"/>
        <v>80</v>
      </c>
      <c r="J36" s="51">
        <f t="shared" si="1"/>
        <v>169</v>
      </c>
      <c r="K36" s="51">
        <f t="shared" si="6"/>
        <v>158</v>
      </c>
      <c r="L36" s="51">
        <f t="shared" si="3"/>
        <v>32</v>
      </c>
      <c r="M36" s="51">
        <f t="shared" si="4"/>
        <v>2</v>
      </c>
      <c r="N36" s="53" t="b">
        <f t="shared" si="21"/>
        <v>0</v>
      </c>
      <c r="O36" s="53" t="b">
        <f t="shared" si="22"/>
        <v>1</v>
      </c>
      <c r="P36" s="53" t="str">
        <f t="shared" si="23"/>
        <v>botlltes5</v>
      </c>
      <c r="Q36" s="68" t="str">
        <f t="shared" si="24"/>
        <v>169
C004325</v>
      </c>
      <c r="R36" s="53" t="b">
        <f t="shared" si="25"/>
        <v>0</v>
      </c>
      <c r="S36" s="53"/>
      <c r="T36" s="53" t="str">
        <f t="shared" si="26"/>
        <v>BOTLLTES</v>
      </c>
      <c r="U36" s="53" t="str">
        <f t="shared" si="27"/>
        <v>botlltes</v>
      </c>
      <c r="V36" s="53">
        <f t="shared" si="28"/>
        <v>1</v>
      </c>
      <c r="W36" s="53" t="str">
        <f t="shared" si="29"/>
        <v>botlltes 5</v>
      </c>
      <c r="X36" s="53" t="str">
        <f t="shared" si="30"/>
        <v>32</v>
      </c>
      <c r="Y36" s="53" t="str">
        <f t="shared" si="31"/>
        <v xml:space="preserve">169
</v>
      </c>
      <c r="Z36" s="53" t="str">
        <f t="shared" si="32"/>
        <v>4325</v>
      </c>
      <c r="AA36" s="53">
        <f t="shared" si="33"/>
        <v>5</v>
      </c>
      <c r="AB36" s="53">
        <f t="shared" si="34"/>
        <v>2</v>
      </c>
      <c r="AC36" s="51" t="s">
        <v>523</v>
      </c>
      <c r="AD36" s="53" t="s">
        <v>224</v>
      </c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spans="1:41" ht="30" x14ac:dyDescent="0.25">
      <c r="A37" s="51" t="s">
        <v>125</v>
      </c>
      <c r="B37" s="51" t="s">
        <v>2819</v>
      </c>
      <c r="C37" s="51" t="s">
        <v>2820</v>
      </c>
      <c r="D37" s="51" t="s">
        <v>301</v>
      </c>
      <c r="E37" s="51" t="s">
        <v>1963</v>
      </c>
      <c r="F37" s="51">
        <v>2</v>
      </c>
      <c r="G37" s="51" t="s">
        <v>35</v>
      </c>
      <c r="H37" s="51">
        <v>55</v>
      </c>
      <c r="I37" s="51">
        <f t="shared" si="0"/>
        <v>110</v>
      </c>
      <c r="J37" s="51">
        <f t="shared" si="1"/>
        <v>128</v>
      </c>
      <c r="K37" s="51">
        <f t="shared" si="6"/>
        <v>124</v>
      </c>
      <c r="L37" s="51">
        <f t="shared" si="3"/>
        <v>1010.75</v>
      </c>
      <c r="M37" s="51">
        <f t="shared" si="4"/>
        <v>59</v>
      </c>
      <c r="N37" s="53" t="b">
        <f t="shared" si="21"/>
        <v>0</v>
      </c>
      <c r="O37" s="53" t="b">
        <f t="shared" si="22"/>
        <v>0</v>
      </c>
      <c r="P37" s="53" t="str">
        <f t="shared" si="23"/>
        <v>cans2</v>
      </c>
      <c r="Q37" s="68" t="str">
        <f t="shared" si="24"/>
        <v>128
C006248</v>
      </c>
      <c r="R37" s="53" t="b">
        <f t="shared" si="25"/>
        <v>0</v>
      </c>
      <c r="S37" s="53"/>
      <c r="T37" s="53" t="str">
        <f t="shared" si="26"/>
        <v>CANS</v>
      </c>
      <c r="U37" s="53" t="str">
        <f t="shared" si="27"/>
        <v>cans</v>
      </c>
      <c r="V37" s="53">
        <f t="shared" si="28"/>
        <v>1</v>
      </c>
      <c r="W37" s="53" t="str">
        <f t="shared" si="29"/>
        <v>cans 2</v>
      </c>
      <c r="X37" s="53" t="str">
        <f t="shared" si="30"/>
        <v>1818.75</v>
      </c>
      <c r="Y37" s="53" t="str">
        <f t="shared" si="31"/>
        <v xml:space="preserve">128
</v>
      </c>
      <c r="Z37" s="53" t="str">
        <f t="shared" si="32"/>
        <v>6248</v>
      </c>
      <c r="AA37" s="53">
        <f t="shared" si="33"/>
        <v>5</v>
      </c>
      <c r="AB37" s="53">
        <f t="shared" si="34"/>
        <v>2</v>
      </c>
      <c r="AC37" s="51" t="s">
        <v>107</v>
      </c>
      <c r="AD37" s="53" t="s">
        <v>200</v>
      </c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spans="1:41" ht="30" x14ac:dyDescent="0.25">
      <c r="A38" s="51" t="s">
        <v>82</v>
      </c>
      <c r="B38" s="51" t="s">
        <v>2821</v>
      </c>
      <c r="C38" s="51" t="s">
        <v>2822</v>
      </c>
      <c r="D38" s="51" t="s">
        <v>793</v>
      </c>
      <c r="E38" s="51" t="s">
        <v>579</v>
      </c>
      <c r="F38" s="51">
        <v>6</v>
      </c>
      <c r="G38" s="51" t="s">
        <v>106</v>
      </c>
      <c r="H38" s="51">
        <v>17</v>
      </c>
      <c r="I38" s="51">
        <f t="shared" si="0"/>
        <v>102</v>
      </c>
      <c r="J38" s="51">
        <f t="shared" si="1"/>
        <v>135.5</v>
      </c>
      <c r="K38" s="51">
        <f t="shared" si="6"/>
        <v>129</v>
      </c>
      <c r="L38" s="51">
        <f t="shared" si="3"/>
        <v>285</v>
      </c>
      <c r="M38" s="51">
        <f t="shared" si="4"/>
        <v>17</v>
      </c>
      <c r="N38" s="53" t="b">
        <f t="shared" si="21"/>
        <v>0</v>
      </c>
      <c r="O38" s="53" t="b">
        <f t="shared" si="22"/>
        <v>0</v>
      </c>
      <c r="P38" s="53" t="str">
        <f t="shared" si="23"/>
        <v>bags6</v>
      </c>
      <c r="Q38" s="68" t="str">
        <f t="shared" si="24"/>
        <v>135.5
C008609</v>
      </c>
      <c r="R38" s="53" t="b">
        <f t="shared" si="25"/>
        <v>0</v>
      </c>
      <c r="S38" s="53"/>
      <c r="T38" s="53" t="str">
        <f t="shared" si="26"/>
        <v>BAGS</v>
      </c>
      <c r="U38" s="53" t="str">
        <f t="shared" si="27"/>
        <v>bags</v>
      </c>
      <c r="V38" s="53">
        <f t="shared" si="28"/>
        <v>1</v>
      </c>
      <c r="W38" s="53" t="str">
        <f t="shared" si="29"/>
        <v>bags 6</v>
      </c>
      <c r="X38" s="53" t="str">
        <f t="shared" si="30"/>
        <v>285</v>
      </c>
      <c r="Y38" s="53" t="str">
        <f t="shared" si="31"/>
        <v>135.</v>
      </c>
      <c r="Z38" s="53" t="str">
        <f t="shared" si="32"/>
        <v>8609</v>
      </c>
      <c r="AA38" s="53">
        <f t="shared" si="33"/>
        <v>7</v>
      </c>
      <c r="AB38" s="53">
        <f t="shared" si="34"/>
        <v>4</v>
      </c>
      <c r="AC38" s="51" t="s">
        <v>91</v>
      </c>
      <c r="AD38" s="53" t="s">
        <v>459</v>
      </c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spans="1:41" ht="30" x14ac:dyDescent="0.25">
      <c r="A39" s="51" t="s">
        <v>14</v>
      </c>
      <c r="B39" s="51" t="s">
        <v>2823</v>
      </c>
      <c r="C39" s="51" t="s">
        <v>2824</v>
      </c>
      <c r="D39" s="51" t="s">
        <v>1474</v>
      </c>
      <c r="E39" s="51" t="s">
        <v>415</v>
      </c>
      <c r="F39" s="51">
        <v>10</v>
      </c>
      <c r="G39" s="51" t="s">
        <v>167</v>
      </c>
      <c r="H39" s="51">
        <v>20.5</v>
      </c>
      <c r="I39" s="51">
        <f t="shared" si="0"/>
        <v>205</v>
      </c>
      <c r="J39" s="51">
        <f t="shared" si="1"/>
        <v>26</v>
      </c>
      <c r="K39" s="51">
        <f t="shared" si="6"/>
        <v>25</v>
      </c>
      <c r="L39" s="51">
        <f t="shared" si="3"/>
        <v>307</v>
      </c>
      <c r="M39" s="51">
        <f t="shared" si="4"/>
        <v>19</v>
      </c>
      <c r="N39" s="53" t="b">
        <f t="shared" si="21"/>
        <v>0</v>
      </c>
      <c r="O39" s="53" t="b">
        <f t="shared" si="22"/>
        <v>1</v>
      </c>
      <c r="P39" s="53" t="str">
        <f t="shared" si="23"/>
        <v>oz10</v>
      </c>
      <c r="Q39" s="68" t="str">
        <f t="shared" si="24"/>
        <v>26
C000923</v>
      </c>
      <c r="R39" s="53" t="b">
        <f t="shared" si="25"/>
        <v>0</v>
      </c>
      <c r="S39" s="53"/>
      <c r="T39" s="53" t="str">
        <f t="shared" si="26"/>
        <v>OZ</v>
      </c>
      <c r="U39" s="53" t="str">
        <f t="shared" si="27"/>
        <v>oz</v>
      </c>
      <c r="V39" s="53">
        <f t="shared" si="28"/>
        <v>1</v>
      </c>
      <c r="W39" s="53" t="str">
        <f t="shared" si="29"/>
        <v>oz 10</v>
      </c>
      <c r="X39" s="53" t="str">
        <f t="shared" si="30"/>
        <v>387</v>
      </c>
      <c r="Y39" s="53" t="str">
        <f t="shared" si="31"/>
        <v>26
C</v>
      </c>
      <c r="Z39" s="53" t="str">
        <f t="shared" si="32"/>
        <v>0923</v>
      </c>
      <c r="AA39" s="53">
        <f t="shared" si="33"/>
        <v>4</v>
      </c>
      <c r="AB39" s="53">
        <f t="shared" si="34"/>
        <v>3</v>
      </c>
      <c r="AC39" s="51" t="s">
        <v>20</v>
      </c>
      <c r="AD39" s="53" t="s">
        <v>459</v>
      </c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spans="1:41" ht="30" x14ac:dyDescent="0.25">
      <c r="A40" s="51" t="s">
        <v>146</v>
      </c>
      <c r="B40" s="51" t="s">
        <v>2825</v>
      </c>
      <c r="C40" s="51" t="s">
        <v>2826</v>
      </c>
      <c r="D40" s="51" t="s">
        <v>286</v>
      </c>
      <c r="E40" s="51" t="s">
        <v>2827</v>
      </c>
      <c r="F40" s="51">
        <v>5</v>
      </c>
      <c r="G40" s="51" t="s">
        <v>106</v>
      </c>
      <c r="H40" s="51">
        <v>16</v>
      </c>
      <c r="I40" s="51">
        <f t="shared" si="0"/>
        <v>80</v>
      </c>
      <c r="J40" s="51">
        <f t="shared" si="1"/>
        <v>169</v>
      </c>
      <c r="K40" s="51">
        <f t="shared" si="6"/>
        <v>155</v>
      </c>
      <c r="L40" s="51">
        <f t="shared" si="3"/>
        <v>285</v>
      </c>
      <c r="M40" s="51">
        <f t="shared" si="4"/>
        <v>17</v>
      </c>
      <c r="N40" s="53" t="b">
        <f t="shared" si="21"/>
        <v>0</v>
      </c>
      <c r="O40" s="53" t="b">
        <f t="shared" si="22"/>
        <v>1</v>
      </c>
      <c r="P40" s="53" t="str">
        <f t="shared" si="23"/>
        <v>bags5</v>
      </c>
      <c r="Q40" s="68" t="str">
        <f t="shared" si="24"/>
        <v>169
C000947</v>
      </c>
      <c r="R40" s="53" t="b">
        <f t="shared" si="25"/>
        <v>0</v>
      </c>
      <c r="S40" s="53"/>
      <c r="T40" s="53" t="str">
        <f t="shared" si="26"/>
        <v>BAGS</v>
      </c>
      <c r="U40" s="53" t="str">
        <f t="shared" si="27"/>
        <v>bags</v>
      </c>
      <c r="V40" s="53">
        <f t="shared" si="28"/>
        <v>1</v>
      </c>
      <c r="W40" s="53" t="str">
        <f t="shared" si="29"/>
        <v>bags 5</v>
      </c>
      <c r="X40" s="53" t="str">
        <f t="shared" si="30"/>
        <v>285</v>
      </c>
      <c r="Y40" s="53" t="str">
        <f t="shared" si="31"/>
        <v xml:space="preserve">169
</v>
      </c>
      <c r="Z40" s="53" t="str">
        <f t="shared" si="32"/>
        <v>0947</v>
      </c>
      <c r="AA40" s="53">
        <f t="shared" si="33"/>
        <v>5</v>
      </c>
      <c r="AB40" s="53">
        <f t="shared" si="34"/>
        <v>4</v>
      </c>
      <c r="AC40" s="51" t="s">
        <v>116</v>
      </c>
      <c r="AD40" s="53" t="s">
        <v>459</v>
      </c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</row>
    <row r="41" spans="1:41" ht="30" x14ac:dyDescent="0.25">
      <c r="A41" s="51" t="s">
        <v>71</v>
      </c>
      <c r="B41" s="51" t="s">
        <v>2828</v>
      </c>
      <c r="C41" s="51" t="s">
        <v>2829</v>
      </c>
      <c r="D41" s="51" t="s">
        <v>499</v>
      </c>
      <c r="E41" s="51" t="s">
        <v>2830</v>
      </c>
      <c r="F41" s="51">
        <v>7</v>
      </c>
      <c r="G41" s="51" t="s">
        <v>60</v>
      </c>
      <c r="H41" s="51">
        <v>17.5</v>
      </c>
      <c r="I41" s="51">
        <f t="shared" si="0"/>
        <v>122.5</v>
      </c>
      <c r="J41" s="51">
        <f t="shared" si="1"/>
        <v>106</v>
      </c>
      <c r="K41" s="51">
        <f t="shared" si="6"/>
        <v>101</v>
      </c>
      <c r="L41" s="51">
        <f t="shared" si="3"/>
        <v>908</v>
      </c>
      <c r="M41" s="51">
        <f t="shared" si="4"/>
        <v>50</v>
      </c>
      <c r="N41" s="53" t="b">
        <f t="shared" si="21"/>
        <v>0</v>
      </c>
      <c r="O41" s="53" t="b">
        <f t="shared" si="22"/>
        <v>0</v>
      </c>
      <c r="P41" s="53" t="str">
        <f t="shared" si="23"/>
        <v>bottles7</v>
      </c>
      <c r="Q41" s="68" t="str">
        <f t="shared" si="24"/>
        <v>106
C007047</v>
      </c>
      <c r="R41" s="53" t="b">
        <f t="shared" si="25"/>
        <v>0</v>
      </c>
      <c r="S41" s="53"/>
      <c r="T41" s="53" t="str">
        <f t="shared" si="26"/>
        <v>BOTTLES</v>
      </c>
      <c r="U41" s="53" t="str">
        <f t="shared" si="27"/>
        <v>bottles</v>
      </c>
      <c r="V41" s="53">
        <f t="shared" si="28"/>
        <v>1</v>
      </c>
      <c r="W41" s="53" t="str">
        <f t="shared" si="29"/>
        <v>bottles 7</v>
      </c>
      <c r="X41" s="53" t="str">
        <f t="shared" si="30"/>
        <v>988</v>
      </c>
      <c r="Y41" s="53" t="str">
        <f t="shared" si="31"/>
        <v xml:space="preserve">106
</v>
      </c>
      <c r="Z41" s="53" t="str">
        <f t="shared" si="32"/>
        <v>7047</v>
      </c>
      <c r="AA41" s="53">
        <f t="shared" si="33"/>
        <v>5</v>
      </c>
      <c r="AB41" s="53">
        <f t="shared" si="34"/>
        <v>2</v>
      </c>
      <c r="AC41" s="51" t="s">
        <v>187</v>
      </c>
      <c r="AD41" s="53" t="s">
        <v>459</v>
      </c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spans="1:41" ht="30" x14ac:dyDescent="0.25">
      <c r="A42" s="51" t="s">
        <v>25</v>
      </c>
      <c r="B42" s="51" t="s">
        <v>2831</v>
      </c>
      <c r="C42" s="51" t="s">
        <v>2832</v>
      </c>
      <c r="D42" s="51" t="s">
        <v>895</v>
      </c>
      <c r="E42" s="51" t="s">
        <v>976</v>
      </c>
      <c r="F42" s="51">
        <v>9</v>
      </c>
      <c r="G42" s="51" t="s">
        <v>60</v>
      </c>
      <c r="H42" s="51">
        <v>9</v>
      </c>
      <c r="I42" s="51">
        <f t="shared" si="0"/>
        <v>81</v>
      </c>
      <c r="J42" s="51">
        <f t="shared" si="1"/>
        <v>164</v>
      </c>
      <c r="K42" s="51">
        <f t="shared" si="6"/>
        <v>153</v>
      </c>
      <c r="L42" s="51">
        <f t="shared" si="3"/>
        <v>908</v>
      </c>
      <c r="M42" s="51">
        <f t="shared" si="4"/>
        <v>50</v>
      </c>
      <c r="N42" s="53" t="b">
        <f t="shared" si="21"/>
        <v>0</v>
      </c>
      <c r="O42" s="53" t="b">
        <f t="shared" si="22"/>
        <v>1</v>
      </c>
      <c r="P42" s="53" t="str">
        <f t="shared" si="23"/>
        <v>bottles9</v>
      </c>
      <c r="Q42" s="68" t="str">
        <f t="shared" si="24"/>
        <v>164
C008115</v>
      </c>
      <c r="R42" s="53" t="b">
        <f t="shared" si="25"/>
        <v>0</v>
      </c>
      <c r="S42" s="53"/>
      <c r="T42" s="53" t="str">
        <f t="shared" si="26"/>
        <v>BOTTLES</v>
      </c>
      <c r="U42" s="53" t="str">
        <f t="shared" si="27"/>
        <v>bottles</v>
      </c>
      <c r="V42" s="53">
        <f t="shared" si="28"/>
        <v>1</v>
      </c>
      <c r="W42" s="53" t="str">
        <f t="shared" si="29"/>
        <v>bottles 9</v>
      </c>
      <c r="X42" s="53" t="str">
        <f t="shared" si="30"/>
        <v>988</v>
      </c>
      <c r="Y42" s="53" t="str">
        <f t="shared" si="31"/>
        <v xml:space="preserve">164
</v>
      </c>
      <c r="Z42" s="53" t="str">
        <f t="shared" si="32"/>
        <v>8115</v>
      </c>
      <c r="AA42" s="53">
        <f t="shared" si="33"/>
        <v>5</v>
      </c>
      <c r="AB42" s="53">
        <f t="shared" si="34"/>
        <v>7</v>
      </c>
      <c r="AC42" s="53"/>
      <c r="AD42" s="53" t="s">
        <v>283</v>
      </c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spans="1:41" ht="30" x14ac:dyDescent="0.25">
      <c r="A43" s="51" t="s">
        <v>66</v>
      </c>
      <c r="B43" s="51" t="s">
        <v>2833</v>
      </c>
      <c r="C43" s="51" t="s">
        <v>2834</v>
      </c>
      <c r="D43" s="51" t="s">
        <v>1798</v>
      </c>
      <c r="E43" s="51" t="s">
        <v>2835</v>
      </c>
      <c r="F43" s="51">
        <v>1</v>
      </c>
      <c r="G43" s="51" t="s">
        <v>1895</v>
      </c>
      <c r="H43" s="51">
        <v>15</v>
      </c>
      <c r="I43" s="51">
        <f t="shared" si="0"/>
        <v>15</v>
      </c>
      <c r="J43" s="51">
        <f t="shared" si="1"/>
        <v>291</v>
      </c>
      <c r="K43" s="51">
        <f t="shared" si="6"/>
        <v>269</v>
      </c>
      <c r="L43" s="51">
        <f t="shared" si="3"/>
        <v>2079.5</v>
      </c>
      <c r="M43" s="51">
        <f t="shared" si="4"/>
        <v>107</v>
      </c>
      <c r="N43" s="53" t="b">
        <f t="shared" si="21"/>
        <v>0</v>
      </c>
      <c r="O43" s="53" t="b">
        <f t="shared" si="22"/>
        <v>1</v>
      </c>
      <c r="P43" s="53" t="str">
        <f t="shared" si="23"/>
        <v>Ct1</v>
      </c>
      <c r="Q43" s="68" t="str">
        <f t="shared" si="24"/>
        <v>291
C007472</v>
      </c>
      <c r="R43" s="53" t="b">
        <f t="shared" si="25"/>
        <v>0</v>
      </c>
      <c r="S43" s="53"/>
      <c r="T43" s="53" t="str">
        <f t="shared" si="26"/>
        <v>CT</v>
      </c>
      <c r="U43" s="53" t="str">
        <f t="shared" si="27"/>
        <v>ct</v>
      </c>
      <c r="V43" s="53">
        <f t="shared" si="28"/>
        <v>1</v>
      </c>
      <c r="W43" s="53" t="str">
        <f t="shared" si="29"/>
        <v>Ct 1</v>
      </c>
      <c r="X43" s="53" t="str">
        <f t="shared" si="30"/>
        <v>2879.5</v>
      </c>
      <c r="Y43" s="53" t="str">
        <f t="shared" si="31"/>
        <v xml:space="preserve">291
</v>
      </c>
      <c r="Z43" s="53" t="str">
        <f t="shared" si="32"/>
        <v>7472</v>
      </c>
      <c r="AA43" s="53">
        <f t="shared" si="33"/>
        <v>5</v>
      </c>
      <c r="AB43" s="53">
        <f t="shared" si="34"/>
        <v>7</v>
      </c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</row>
    <row r="44" spans="1:41" ht="30" x14ac:dyDescent="0.25">
      <c r="A44" s="51" t="s">
        <v>61</v>
      </c>
      <c r="B44" s="51" t="s">
        <v>2836</v>
      </c>
      <c r="C44" s="51" t="s">
        <v>2837</v>
      </c>
      <c r="D44" s="51" t="s">
        <v>1112</v>
      </c>
      <c r="E44" s="51" t="s">
        <v>480</v>
      </c>
      <c r="F44" s="51">
        <v>1</v>
      </c>
      <c r="G44" s="51" t="s">
        <v>407</v>
      </c>
      <c r="H44" s="51">
        <v>14</v>
      </c>
      <c r="I44" s="51">
        <f t="shared" si="0"/>
        <v>14</v>
      </c>
      <c r="J44" s="51">
        <f t="shared" si="1"/>
        <v>294</v>
      </c>
      <c r="K44" s="51">
        <f t="shared" si="6"/>
        <v>271</v>
      </c>
      <c r="L44" s="51">
        <f t="shared" si="3"/>
        <v>182</v>
      </c>
      <c r="M44" s="51">
        <f t="shared" si="4"/>
        <v>12</v>
      </c>
      <c r="N44" s="53" t="b">
        <f t="shared" si="21"/>
        <v>0</v>
      </c>
      <c r="O44" s="53" t="b">
        <f t="shared" si="22"/>
        <v>1</v>
      </c>
      <c r="P44" s="53" t="str">
        <f t="shared" si="23"/>
        <v>pk1</v>
      </c>
      <c r="Q44" s="68" t="str">
        <f t="shared" si="24"/>
        <v>294
C007541</v>
      </c>
      <c r="R44" s="53" t="b">
        <f t="shared" si="25"/>
        <v>0</v>
      </c>
      <c r="S44" s="53"/>
      <c r="T44" s="53" t="str">
        <f t="shared" si="26"/>
        <v>PK</v>
      </c>
      <c r="U44" s="53" t="str">
        <f t="shared" si="27"/>
        <v>pk</v>
      </c>
      <c r="V44" s="53">
        <f t="shared" si="28"/>
        <v>1</v>
      </c>
      <c r="W44" s="53" t="str">
        <f t="shared" si="29"/>
        <v>pk 1</v>
      </c>
      <c r="X44" s="53" t="str">
        <f t="shared" si="30"/>
        <v>182</v>
      </c>
      <c r="Y44" s="53" t="str">
        <f t="shared" si="31"/>
        <v xml:space="preserve">294
</v>
      </c>
      <c r="Z44" s="53" t="str">
        <f t="shared" si="32"/>
        <v>7541</v>
      </c>
      <c r="AA44" s="53">
        <f t="shared" si="33"/>
        <v>5</v>
      </c>
      <c r="AB44" s="53">
        <f t="shared" si="34"/>
        <v>4</v>
      </c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</row>
    <row r="45" spans="1:41" ht="30" x14ac:dyDescent="0.25">
      <c r="A45" s="51" t="s">
        <v>101</v>
      </c>
      <c r="B45" s="51" t="s">
        <v>2838</v>
      </c>
      <c r="C45" s="51" t="s">
        <v>2839</v>
      </c>
      <c r="D45" s="51" t="s">
        <v>2840</v>
      </c>
      <c r="E45" s="51" t="s">
        <v>1815</v>
      </c>
      <c r="F45" s="51">
        <v>7</v>
      </c>
      <c r="G45" s="51" t="s">
        <v>904</v>
      </c>
      <c r="H45" s="51">
        <v>24</v>
      </c>
      <c r="I45" s="51">
        <f t="shared" si="0"/>
        <v>168</v>
      </c>
      <c r="J45" s="51">
        <f t="shared" si="1"/>
        <v>55</v>
      </c>
      <c r="K45" s="51">
        <f t="shared" si="6"/>
        <v>51</v>
      </c>
      <c r="L45" s="51">
        <f t="shared" si="3"/>
        <v>223</v>
      </c>
      <c r="M45" s="51">
        <f t="shared" si="4"/>
        <v>10</v>
      </c>
      <c r="N45" s="53" t="b">
        <f t="shared" si="21"/>
        <v>0</v>
      </c>
      <c r="O45" s="53" t="b">
        <f t="shared" si="22"/>
        <v>1</v>
      </c>
      <c r="P45" s="53" t="str">
        <f t="shared" si="23"/>
        <v>bars7</v>
      </c>
      <c r="Q45" s="68" t="str">
        <f t="shared" si="24"/>
        <v>55
C005121</v>
      </c>
      <c r="R45" s="53" t="b">
        <f t="shared" si="25"/>
        <v>0</v>
      </c>
      <c r="S45" s="53"/>
      <c r="T45" s="53" t="str">
        <f t="shared" si="26"/>
        <v>BARS</v>
      </c>
      <c r="U45" s="53" t="str">
        <f t="shared" si="27"/>
        <v>bars</v>
      </c>
      <c r="V45" s="53">
        <f t="shared" si="28"/>
        <v>1</v>
      </c>
      <c r="W45" s="53" t="str">
        <f t="shared" si="29"/>
        <v>bars 7</v>
      </c>
      <c r="X45" s="53" t="str">
        <f t="shared" si="30"/>
        <v>223</v>
      </c>
      <c r="Y45" s="53" t="str">
        <f t="shared" si="31"/>
        <v>55
C</v>
      </c>
      <c r="Z45" s="53" t="str">
        <f t="shared" si="32"/>
        <v>5121</v>
      </c>
      <c r="AA45" s="53">
        <f t="shared" si="33"/>
        <v>4</v>
      </c>
      <c r="AB45" s="53">
        <f t="shared" si="34"/>
        <v>2</v>
      </c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 spans="1:41" ht="30" x14ac:dyDescent="0.25">
      <c r="A46" s="51" t="s">
        <v>168</v>
      </c>
      <c r="B46" s="51" t="s">
        <v>2841</v>
      </c>
      <c r="C46" s="51" t="s">
        <v>2842</v>
      </c>
      <c r="D46" s="51" t="s">
        <v>64</v>
      </c>
      <c r="E46" s="51" t="s">
        <v>500</v>
      </c>
      <c r="F46" s="51">
        <v>10</v>
      </c>
      <c r="G46" s="51" t="s">
        <v>35</v>
      </c>
      <c r="H46" s="51">
        <v>15.5</v>
      </c>
      <c r="I46" s="51">
        <f t="shared" si="0"/>
        <v>155</v>
      </c>
      <c r="J46" s="51">
        <f t="shared" si="1"/>
        <v>75</v>
      </c>
      <c r="K46" s="51">
        <f t="shared" si="6"/>
        <v>71</v>
      </c>
      <c r="L46" s="51">
        <f t="shared" si="3"/>
        <v>1010.75</v>
      </c>
      <c r="M46" s="51">
        <f t="shared" si="4"/>
        <v>59</v>
      </c>
      <c r="N46" s="53" t="b">
        <f t="shared" si="21"/>
        <v>0</v>
      </c>
      <c r="O46" s="53" t="b">
        <f t="shared" si="22"/>
        <v>1</v>
      </c>
      <c r="P46" s="53" t="str">
        <f t="shared" si="23"/>
        <v>cans10</v>
      </c>
      <c r="Q46" s="68" t="str">
        <f t="shared" si="24"/>
        <v>75
C007325</v>
      </c>
      <c r="R46" s="53" t="b">
        <f t="shared" si="25"/>
        <v>0</v>
      </c>
      <c r="S46" s="53"/>
      <c r="T46" s="53" t="str">
        <f t="shared" si="26"/>
        <v>CANS</v>
      </c>
      <c r="U46" s="53" t="str">
        <f t="shared" si="27"/>
        <v>cans</v>
      </c>
      <c r="V46" s="53">
        <f t="shared" si="28"/>
        <v>1</v>
      </c>
      <c r="W46" s="53" t="str">
        <f t="shared" si="29"/>
        <v>cans 10</v>
      </c>
      <c r="X46" s="53" t="str">
        <f t="shared" si="30"/>
        <v>1818.75</v>
      </c>
      <c r="Y46" s="53" t="str">
        <f t="shared" si="31"/>
        <v>75
C</v>
      </c>
      <c r="Z46" s="53" t="str">
        <f t="shared" si="32"/>
        <v>7325</v>
      </c>
      <c r="AA46" s="53">
        <f t="shared" si="33"/>
        <v>4</v>
      </c>
      <c r="AB46" s="53">
        <f t="shared" si="34"/>
        <v>5</v>
      </c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spans="1:41" ht="30" x14ac:dyDescent="0.25">
      <c r="A47" s="51" t="s">
        <v>101</v>
      </c>
      <c r="B47" s="51" t="s">
        <v>2843</v>
      </c>
      <c r="C47" s="51" t="s">
        <v>2844</v>
      </c>
      <c r="D47" s="51" t="s">
        <v>140</v>
      </c>
      <c r="E47" s="51" t="s">
        <v>2845</v>
      </c>
      <c r="F47" s="51">
        <v>2</v>
      </c>
      <c r="G47" s="51" t="s">
        <v>60</v>
      </c>
      <c r="H47" s="51">
        <v>17</v>
      </c>
      <c r="I47" s="51">
        <f t="shared" si="0"/>
        <v>34</v>
      </c>
      <c r="J47" s="51">
        <f t="shared" si="1"/>
        <v>250</v>
      </c>
      <c r="K47" s="51">
        <f t="shared" si="6"/>
        <v>226</v>
      </c>
      <c r="L47" s="51">
        <f t="shared" si="3"/>
        <v>908</v>
      </c>
      <c r="M47" s="51">
        <f t="shared" si="4"/>
        <v>50</v>
      </c>
      <c r="N47" s="53" t="b">
        <f t="shared" si="21"/>
        <v>0</v>
      </c>
      <c r="O47" s="53" t="b">
        <f t="shared" si="22"/>
        <v>1</v>
      </c>
      <c r="P47" s="53" t="str">
        <f t="shared" si="23"/>
        <v>bottles2</v>
      </c>
      <c r="Q47" s="68" t="str">
        <f t="shared" si="24"/>
        <v>250
C006575</v>
      </c>
      <c r="R47" s="53" t="b">
        <f t="shared" si="25"/>
        <v>0</v>
      </c>
      <c r="S47" s="53"/>
      <c r="T47" s="53" t="str">
        <f t="shared" si="26"/>
        <v>BOTTLES</v>
      </c>
      <c r="U47" s="53" t="str">
        <f t="shared" si="27"/>
        <v>bottles</v>
      </c>
      <c r="V47" s="53">
        <f t="shared" si="28"/>
        <v>1</v>
      </c>
      <c r="W47" s="53" t="str">
        <f t="shared" si="29"/>
        <v>bottles 2</v>
      </c>
      <c r="X47" s="53" t="str">
        <f t="shared" si="30"/>
        <v>988</v>
      </c>
      <c r="Y47" s="53" t="str">
        <f t="shared" si="31"/>
        <v xml:space="preserve">250
</v>
      </c>
      <c r="Z47" s="53" t="str">
        <f t="shared" si="32"/>
        <v>6575</v>
      </c>
      <c r="AA47" s="53">
        <f t="shared" si="33"/>
        <v>5</v>
      </c>
      <c r="AB47" s="53">
        <f t="shared" si="34"/>
        <v>2</v>
      </c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spans="1:41" ht="30" x14ac:dyDescent="0.25">
      <c r="A48" s="51" t="s">
        <v>307</v>
      </c>
      <c r="B48" s="51" t="s">
        <v>2846</v>
      </c>
      <c r="C48" s="51" t="s">
        <v>2847</v>
      </c>
      <c r="D48" s="51" t="s">
        <v>2840</v>
      </c>
      <c r="E48" s="51" t="s">
        <v>1580</v>
      </c>
      <c r="F48" s="51">
        <v>2</v>
      </c>
      <c r="G48" s="51" t="s">
        <v>904</v>
      </c>
      <c r="H48" s="51">
        <v>24</v>
      </c>
      <c r="I48" s="51">
        <f t="shared" si="0"/>
        <v>48</v>
      </c>
      <c r="J48" s="51">
        <f t="shared" si="1"/>
        <v>223.5</v>
      </c>
      <c r="K48" s="51">
        <f t="shared" si="6"/>
        <v>200</v>
      </c>
      <c r="L48" s="51">
        <f t="shared" si="3"/>
        <v>223</v>
      </c>
      <c r="M48" s="51">
        <f t="shared" si="4"/>
        <v>10</v>
      </c>
      <c r="N48" s="53" t="b">
        <f t="shared" si="21"/>
        <v>0</v>
      </c>
      <c r="O48" s="53" t="b">
        <f t="shared" si="22"/>
        <v>1</v>
      </c>
      <c r="P48" s="53" t="str">
        <f t="shared" si="23"/>
        <v>bars2</v>
      </c>
      <c r="Q48" s="68" t="str">
        <f t="shared" si="24"/>
        <v>223.5
C007239</v>
      </c>
      <c r="R48" s="53" t="b">
        <f t="shared" si="25"/>
        <v>0</v>
      </c>
      <c r="S48" s="53"/>
      <c r="T48" s="53" t="str">
        <f t="shared" si="26"/>
        <v>BARS</v>
      </c>
      <c r="U48" s="53" t="str">
        <f t="shared" si="27"/>
        <v>bars</v>
      </c>
      <c r="V48" s="53">
        <f t="shared" si="28"/>
        <v>1</v>
      </c>
      <c r="W48" s="53" t="str">
        <f t="shared" si="29"/>
        <v>bars 2</v>
      </c>
      <c r="X48" s="53" t="str">
        <f t="shared" si="30"/>
        <v>223</v>
      </c>
      <c r="Y48" s="53" t="str">
        <f t="shared" si="31"/>
        <v>223.</v>
      </c>
      <c r="Z48" s="53" t="str">
        <f t="shared" si="32"/>
        <v>7239</v>
      </c>
      <c r="AA48" s="53">
        <f t="shared" si="33"/>
        <v>7</v>
      </c>
      <c r="AB48" s="53">
        <f t="shared" si="34"/>
        <v>4</v>
      </c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spans="1:41" ht="30" x14ac:dyDescent="0.25">
      <c r="A49" s="51" t="s">
        <v>121</v>
      </c>
      <c r="B49" s="51" t="s">
        <v>2848</v>
      </c>
      <c r="C49" s="51" t="s">
        <v>2849</v>
      </c>
      <c r="D49" s="51" t="s">
        <v>952</v>
      </c>
      <c r="E49" s="51" t="s">
        <v>927</v>
      </c>
      <c r="F49" s="51">
        <v>9</v>
      </c>
      <c r="G49" s="51" t="s">
        <v>13</v>
      </c>
      <c r="H49" s="51">
        <v>48</v>
      </c>
      <c r="I49" s="51">
        <f t="shared" si="0"/>
        <v>432</v>
      </c>
      <c r="J49" s="51">
        <f t="shared" si="1"/>
        <v>5</v>
      </c>
      <c r="K49" s="51">
        <f t="shared" si="6"/>
        <v>5</v>
      </c>
      <c r="L49" s="51">
        <f t="shared" si="3"/>
        <v>2079.5</v>
      </c>
      <c r="M49" s="51">
        <f t="shared" si="4"/>
        <v>107</v>
      </c>
      <c r="N49" s="53" t="b">
        <f t="shared" si="21"/>
        <v>0</v>
      </c>
      <c r="O49" s="53" t="b">
        <f t="shared" si="22"/>
        <v>1</v>
      </c>
      <c r="P49" s="53" t="str">
        <f t="shared" si="23"/>
        <v>ct9</v>
      </c>
      <c r="Q49" s="68" t="str">
        <f t="shared" si="24"/>
        <v>5
C007977</v>
      </c>
      <c r="R49" s="53" t="b">
        <f t="shared" si="25"/>
        <v>1</v>
      </c>
      <c r="S49" s="53"/>
      <c r="T49" s="53" t="str">
        <f t="shared" si="26"/>
        <v>CT</v>
      </c>
      <c r="U49" s="53" t="str">
        <f t="shared" si="27"/>
        <v>ct</v>
      </c>
      <c r="V49" s="53">
        <f t="shared" si="28"/>
        <v>1</v>
      </c>
      <c r="W49" s="53" t="str">
        <f t="shared" si="29"/>
        <v>ct 9</v>
      </c>
      <c r="X49" s="53" t="str">
        <f t="shared" si="30"/>
        <v>2879.5</v>
      </c>
      <c r="Y49" s="53" t="str">
        <f t="shared" si="31"/>
        <v>5
C0</v>
      </c>
      <c r="Z49" s="53" t="str">
        <f t="shared" si="32"/>
        <v>7977</v>
      </c>
      <c r="AA49" s="53">
        <f t="shared" si="33"/>
        <v>3</v>
      </c>
      <c r="AB49" s="53">
        <f t="shared" si="34"/>
        <v>2</v>
      </c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spans="1:41" ht="30" x14ac:dyDescent="0.25">
      <c r="A50" s="51" t="s">
        <v>162</v>
      </c>
      <c r="B50" s="51" t="s">
        <v>2850</v>
      </c>
      <c r="C50" s="51" t="s">
        <v>2851</v>
      </c>
      <c r="D50" s="51" t="s">
        <v>628</v>
      </c>
      <c r="E50" s="51" t="s">
        <v>589</v>
      </c>
      <c r="F50" s="51">
        <v>8</v>
      </c>
      <c r="G50" s="51" t="s">
        <v>13</v>
      </c>
      <c r="H50" s="51">
        <v>16</v>
      </c>
      <c r="I50" s="51">
        <f t="shared" si="0"/>
        <v>128</v>
      </c>
      <c r="J50" s="51">
        <f t="shared" si="1"/>
        <v>102</v>
      </c>
      <c r="K50" s="51">
        <f t="shared" si="6"/>
        <v>93</v>
      </c>
      <c r="L50" s="51">
        <f t="shared" si="3"/>
        <v>2079.5</v>
      </c>
      <c r="M50" s="51">
        <f t="shared" si="4"/>
        <v>107</v>
      </c>
      <c r="N50" s="53" t="b">
        <f t="shared" si="21"/>
        <v>0</v>
      </c>
      <c r="O50" s="53" t="b">
        <f t="shared" si="22"/>
        <v>0</v>
      </c>
      <c r="P50" s="53" t="str">
        <f t="shared" si="23"/>
        <v>ct8</v>
      </c>
      <c r="Q50" s="68" t="str">
        <f t="shared" si="24"/>
        <v>102
C006258</v>
      </c>
      <c r="R50" s="53" t="b">
        <f t="shared" si="25"/>
        <v>0</v>
      </c>
      <c r="S50" s="53"/>
      <c r="T50" s="53" t="str">
        <f t="shared" si="26"/>
        <v>CT</v>
      </c>
      <c r="U50" s="53" t="str">
        <f t="shared" si="27"/>
        <v>ct</v>
      </c>
      <c r="V50" s="53">
        <f t="shared" si="28"/>
        <v>1</v>
      </c>
      <c r="W50" s="53" t="str">
        <f t="shared" si="29"/>
        <v>ct 8</v>
      </c>
      <c r="X50" s="53" t="str">
        <f t="shared" si="30"/>
        <v>2879.5</v>
      </c>
      <c r="Y50" s="53" t="str">
        <f t="shared" si="31"/>
        <v xml:space="preserve">102
</v>
      </c>
      <c r="Z50" s="53" t="str">
        <f t="shared" si="32"/>
        <v>6258</v>
      </c>
      <c r="AA50" s="53">
        <f t="shared" si="33"/>
        <v>5</v>
      </c>
      <c r="AB50" s="53">
        <f t="shared" si="34"/>
        <v>2</v>
      </c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spans="1:41" ht="30" x14ac:dyDescent="0.25">
      <c r="A51" s="51" t="s">
        <v>30</v>
      </c>
      <c r="B51" s="51" t="s">
        <v>2852</v>
      </c>
      <c r="C51" s="51" t="s">
        <v>2853</v>
      </c>
      <c r="D51" s="51" t="s">
        <v>588</v>
      </c>
      <c r="E51" s="51" t="s">
        <v>273</v>
      </c>
      <c r="F51" s="51">
        <v>2</v>
      </c>
      <c r="G51" s="51" t="s">
        <v>106</v>
      </c>
      <c r="H51" s="51">
        <v>16</v>
      </c>
      <c r="I51" s="51">
        <f t="shared" si="0"/>
        <v>32</v>
      </c>
      <c r="J51" s="51">
        <f t="shared" si="1"/>
        <v>261</v>
      </c>
      <c r="K51" s="51">
        <f t="shared" si="6"/>
        <v>232</v>
      </c>
      <c r="L51" s="51">
        <f t="shared" si="3"/>
        <v>285</v>
      </c>
      <c r="M51" s="51">
        <f t="shared" si="4"/>
        <v>17</v>
      </c>
      <c r="N51" s="53" t="b">
        <f t="shared" si="21"/>
        <v>0</v>
      </c>
      <c r="O51" s="53" t="b">
        <f t="shared" si="22"/>
        <v>1</v>
      </c>
      <c r="P51" s="53" t="str">
        <f t="shared" si="23"/>
        <v>bags2</v>
      </c>
      <c r="Q51" s="68" t="str">
        <f t="shared" si="24"/>
        <v>261
C008614</v>
      </c>
      <c r="R51" s="53" t="b">
        <f t="shared" si="25"/>
        <v>0</v>
      </c>
      <c r="S51" s="53"/>
      <c r="T51" s="53" t="str">
        <f t="shared" si="26"/>
        <v>BAGS</v>
      </c>
      <c r="U51" s="53" t="str">
        <f t="shared" si="27"/>
        <v>bags</v>
      </c>
      <c r="V51" s="53">
        <f t="shared" si="28"/>
        <v>1</v>
      </c>
      <c r="W51" s="53" t="str">
        <f t="shared" si="29"/>
        <v>bags 2</v>
      </c>
      <c r="X51" s="53" t="str">
        <f t="shared" si="30"/>
        <v>285</v>
      </c>
      <c r="Y51" s="53" t="str">
        <f t="shared" si="31"/>
        <v xml:space="preserve">261
</v>
      </c>
      <c r="Z51" s="53" t="str">
        <f t="shared" si="32"/>
        <v>8614</v>
      </c>
      <c r="AA51" s="53">
        <f t="shared" si="33"/>
        <v>5</v>
      </c>
      <c r="AB51" s="53">
        <f t="shared" si="34"/>
        <v>5</v>
      </c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spans="1:41" ht="30" x14ac:dyDescent="0.25">
      <c r="A52" s="51" t="s">
        <v>61</v>
      </c>
      <c r="B52" s="51" t="s">
        <v>2423</v>
      </c>
      <c r="C52" s="51" t="s">
        <v>2854</v>
      </c>
      <c r="D52" s="51" t="s">
        <v>2855</v>
      </c>
      <c r="E52" s="51" t="s">
        <v>2222</v>
      </c>
      <c r="F52" s="51">
        <v>9</v>
      </c>
      <c r="G52" s="51" t="s">
        <v>269</v>
      </c>
      <c r="H52" s="51">
        <v>14</v>
      </c>
      <c r="I52" s="51">
        <f t="shared" si="0"/>
        <v>126</v>
      </c>
      <c r="J52" s="51">
        <f t="shared" si="1"/>
        <v>104.5</v>
      </c>
      <c r="K52" s="51">
        <f t="shared" si="6"/>
        <v>95</v>
      </c>
      <c r="L52" s="51">
        <f t="shared" si="3"/>
        <v>123</v>
      </c>
      <c r="M52" s="51">
        <f t="shared" si="4"/>
        <v>9</v>
      </c>
      <c r="N52" s="53" t="b">
        <f t="shared" si="21"/>
        <v>0</v>
      </c>
      <c r="O52" s="53" t="b">
        <f t="shared" si="22"/>
        <v>0</v>
      </c>
      <c r="P52" s="53" t="str">
        <f t="shared" si="23"/>
        <v>ct.9</v>
      </c>
      <c r="Q52" s="68" t="str">
        <f t="shared" si="24"/>
        <v>104.5
C007819</v>
      </c>
      <c r="R52" s="53" t="b">
        <f t="shared" si="25"/>
        <v>0</v>
      </c>
      <c r="S52" s="53"/>
      <c r="T52" s="53" t="str">
        <f t="shared" si="26"/>
        <v>CT.</v>
      </c>
      <c r="U52" s="53" t="str">
        <f t="shared" si="27"/>
        <v>ct.</v>
      </c>
      <c r="V52" s="53">
        <f t="shared" si="28"/>
        <v>1</v>
      </c>
      <c r="W52" s="53" t="str">
        <f t="shared" si="29"/>
        <v>ct. 9</v>
      </c>
      <c r="X52" s="53" t="str">
        <f t="shared" si="30"/>
        <v>123</v>
      </c>
      <c r="Y52" s="53" t="str">
        <f t="shared" si="31"/>
        <v>104.</v>
      </c>
      <c r="Z52" s="53" t="str">
        <f t="shared" si="32"/>
        <v>7819</v>
      </c>
      <c r="AA52" s="53">
        <f t="shared" si="33"/>
        <v>7</v>
      </c>
      <c r="AB52" s="53">
        <f t="shared" si="34"/>
        <v>2</v>
      </c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 spans="1:41" ht="30" x14ac:dyDescent="0.25">
      <c r="A53" s="51" t="s">
        <v>283</v>
      </c>
      <c r="B53" s="51" t="s">
        <v>2856</v>
      </c>
      <c r="C53" s="51" t="s">
        <v>2857</v>
      </c>
      <c r="D53" s="51" t="s">
        <v>703</v>
      </c>
      <c r="E53" s="51" t="s">
        <v>2434</v>
      </c>
      <c r="F53" s="51">
        <v>4</v>
      </c>
      <c r="G53" s="51" t="s">
        <v>35</v>
      </c>
      <c r="H53" s="51">
        <v>16.25</v>
      </c>
      <c r="I53" s="51">
        <f t="shared" si="0"/>
        <v>65</v>
      </c>
      <c r="J53" s="51">
        <f t="shared" si="1"/>
        <v>198</v>
      </c>
      <c r="K53" s="51">
        <f t="shared" si="6"/>
        <v>177</v>
      </c>
      <c r="L53" s="51">
        <f t="shared" si="3"/>
        <v>1010.75</v>
      </c>
      <c r="M53" s="51">
        <f t="shared" si="4"/>
        <v>59</v>
      </c>
      <c r="N53" s="53" t="b">
        <f t="shared" si="21"/>
        <v>0</v>
      </c>
      <c r="O53" s="53" t="b">
        <f t="shared" si="22"/>
        <v>1</v>
      </c>
      <c r="P53" s="53" t="str">
        <f t="shared" si="23"/>
        <v>cans4</v>
      </c>
      <c r="Q53" s="68" t="str">
        <f t="shared" si="24"/>
        <v>198
C007562</v>
      </c>
      <c r="R53" s="53" t="b">
        <f t="shared" si="25"/>
        <v>0</v>
      </c>
      <c r="S53" s="53"/>
      <c r="T53" s="53" t="str">
        <f t="shared" si="26"/>
        <v>CANS</v>
      </c>
      <c r="U53" s="53" t="str">
        <f t="shared" si="27"/>
        <v>cans</v>
      </c>
      <c r="V53" s="53">
        <f t="shared" si="28"/>
        <v>1</v>
      </c>
      <c r="W53" s="53" t="str">
        <f t="shared" si="29"/>
        <v>cans 4</v>
      </c>
      <c r="X53" s="53" t="str">
        <f t="shared" si="30"/>
        <v>1818.75</v>
      </c>
      <c r="Y53" s="53" t="str">
        <f t="shared" si="31"/>
        <v xml:space="preserve">198
</v>
      </c>
      <c r="Z53" s="53" t="str">
        <f t="shared" si="32"/>
        <v>7562</v>
      </c>
      <c r="AA53" s="53">
        <f t="shared" si="33"/>
        <v>5</v>
      </c>
      <c r="AB53" s="53">
        <f t="shared" si="34"/>
        <v>7</v>
      </c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</row>
    <row r="54" spans="1:41" ht="30" x14ac:dyDescent="0.25">
      <c r="A54" s="51" t="s">
        <v>125</v>
      </c>
      <c r="B54" s="51" t="s">
        <v>2858</v>
      </c>
      <c r="C54" s="51" t="s">
        <v>2859</v>
      </c>
      <c r="D54" s="51" t="s">
        <v>28</v>
      </c>
      <c r="E54" s="51" t="s">
        <v>2860</v>
      </c>
      <c r="F54" s="51">
        <v>7</v>
      </c>
      <c r="G54" s="51" t="s">
        <v>13</v>
      </c>
      <c r="H54" s="51">
        <v>14</v>
      </c>
      <c r="I54" s="51">
        <f t="shared" si="0"/>
        <v>98</v>
      </c>
      <c r="J54" s="51">
        <f t="shared" si="1"/>
        <v>141</v>
      </c>
      <c r="K54" s="51">
        <f t="shared" si="6"/>
        <v>125</v>
      </c>
      <c r="L54" s="51">
        <f t="shared" si="3"/>
        <v>2079.5</v>
      </c>
      <c r="M54" s="51">
        <f t="shared" si="4"/>
        <v>107</v>
      </c>
      <c r="N54" s="53" t="b">
        <f t="shared" si="21"/>
        <v>0</v>
      </c>
      <c r="O54" s="53" t="b">
        <f t="shared" si="22"/>
        <v>0</v>
      </c>
      <c r="P54" s="53" t="str">
        <f t="shared" si="23"/>
        <v>ct7</v>
      </c>
      <c r="Q54" s="68" t="str">
        <f t="shared" si="24"/>
        <v>141
C007564</v>
      </c>
      <c r="R54" s="53" t="b">
        <f t="shared" si="25"/>
        <v>0</v>
      </c>
      <c r="S54" s="53"/>
      <c r="T54" s="53" t="str">
        <f t="shared" si="26"/>
        <v>CT</v>
      </c>
      <c r="U54" s="53" t="str">
        <f t="shared" si="27"/>
        <v>ct</v>
      </c>
      <c r="V54" s="53">
        <f t="shared" si="28"/>
        <v>1</v>
      </c>
      <c r="W54" s="53" t="str">
        <f t="shared" si="29"/>
        <v>ct 7</v>
      </c>
      <c r="X54" s="53" t="str">
        <f t="shared" si="30"/>
        <v>2879.5</v>
      </c>
      <c r="Y54" s="53" t="str">
        <f t="shared" si="31"/>
        <v xml:space="preserve">141
</v>
      </c>
      <c r="Z54" s="53" t="str">
        <f t="shared" si="32"/>
        <v>7564</v>
      </c>
      <c r="AA54" s="53">
        <f t="shared" si="33"/>
        <v>5</v>
      </c>
      <c r="AB54" s="53">
        <f t="shared" si="34"/>
        <v>7</v>
      </c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spans="1:41" ht="30" x14ac:dyDescent="0.25">
      <c r="A55" s="51" t="s">
        <v>359</v>
      </c>
      <c r="B55" s="51" t="s">
        <v>2861</v>
      </c>
      <c r="C55" s="51" t="s">
        <v>2862</v>
      </c>
      <c r="D55" s="51" t="s">
        <v>140</v>
      </c>
      <c r="E55" s="51" t="s">
        <v>1057</v>
      </c>
      <c r="F55" s="51">
        <v>2</v>
      </c>
      <c r="G55" s="51" t="s">
        <v>60</v>
      </c>
      <c r="H55" s="51">
        <v>17</v>
      </c>
      <c r="I55" s="51">
        <f t="shared" si="0"/>
        <v>34</v>
      </c>
      <c r="J55" s="51">
        <f t="shared" si="1"/>
        <v>250</v>
      </c>
      <c r="K55" s="51">
        <f t="shared" si="6"/>
        <v>220</v>
      </c>
      <c r="L55" s="51">
        <f t="shared" si="3"/>
        <v>908</v>
      </c>
      <c r="M55" s="51">
        <f t="shared" si="4"/>
        <v>50</v>
      </c>
      <c r="N55" s="53" t="b">
        <f t="shared" si="21"/>
        <v>0</v>
      </c>
      <c r="O55" s="53" t="b">
        <f t="shared" si="22"/>
        <v>1</v>
      </c>
      <c r="P55" s="53" t="str">
        <f t="shared" si="23"/>
        <v>bottles2</v>
      </c>
      <c r="Q55" s="68" t="str">
        <f t="shared" si="24"/>
        <v>250
C007207</v>
      </c>
      <c r="R55" s="53" t="b">
        <f t="shared" si="25"/>
        <v>0</v>
      </c>
      <c r="S55" s="53"/>
      <c r="T55" s="53" t="str">
        <f t="shared" si="26"/>
        <v>BOTTLES</v>
      </c>
      <c r="U55" s="53" t="str">
        <f t="shared" si="27"/>
        <v>bottles</v>
      </c>
      <c r="V55" s="53">
        <f t="shared" si="28"/>
        <v>1</v>
      </c>
      <c r="W55" s="53" t="str">
        <f t="shared" si="29"/>
        <v>bottles 2</v>
      </c>
      <c r="X55" s="53" t="str">
        <f t="shared" si="30"/>
        <v>988</v>
      </c>
      <c r="Y55" s="53" t="str">
        <f t="shared" si="31"/>
        <v xml:space="preserve">250
</v>
      </c>
      <c r="Z55" s="53" t="str">
        <f t="shared" si="32"/>
        <v>7207</v>
      </c>
      <c r="AA55" s="53">
        <f t="shared" si="33"/>
        <v>5</v>
      </c>
      <c r="AB55" s="53">
        <f t="shared" si="34"/>
        <v>7</v>
      </c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spans="1:41" ht="30" x14ac:dyDescent="0.25">
      <c r="A56" s="51" t="s">
        <v>224</v>
      </c>
      <c r="B56" s="51" t="s">
        <v>2863</v>
      </c>
      <c r="C56" s="51" t="s">
        <v>2864</v>
      </c>
      <c r="D56" s="51" t="s">
        <v>1752</v>
      </c>
      <c r="E56" s="51" t="s">
        <v>213</v>
      </c>
      <c r="F56" s="51">
        <v>10</v>
      </c>
      <c r="G56" s="51" t="s">
        <v>60</v>
      </c>
      <c r="H56" s="51">
        <v>17.5</v>
      </c>
      <c r="I56" s="51">
        <f t="shared" si="0"/>
        <v>175</v>
      </c>
      <c r="J56" s="51">
        <f t="shared" si="1"/>
        <v>50</v>
      </c>
      <c r="K56" s="51">
        <f t="shared" si="6"/>
        <v>46</v>
      </c>
      <c r="L56" s="51">
        <f t="shared" si="3"/>
        <v>908</v>
      </c>
      <c r="M56" s="51">
        <f t="shared" si="4"/>
        <v>50</v>
      </c>
      <c r="N56" s="53" t="b">
        <f t="shared" si="21"/>
        <v>0</v>
      </c>
      <c r="O56" s="53" t="b">
        <f t="shared" si="22"/>
        <v>1</v>
      </c>
      <c r="P56" s="53" t="str">
        <f t="shared" si="23"/>
        <v>bottles10</v>
      </c>
      <c r="Q56" s="68" t="str">
        <f t="shared" si="24"/>
        <v>50
C007609</v>
      </c>
      <c r="R56" s="53" t="b">
        <f t="shared" si="25"/>
        <v>0</v>
      </c>
      <c r="S56" s="53"/>
      <c r="T56" s="53" t="str">
        <f t="shared" si="26"/>
        <v>BOTTLES</v>
      </c>
      <c r="U56" s="53" t="str">
        <f t="shared" si="27"/>
        <v>bottles</v>
      </c>
      <c r="V56" s="53">
        <f t="shared" si="28"/>
        <v>1</v>
      </c>
      <c r="W56" s="53" t="str">
        <f t="shared" si="29"/>
        <v>bottles 10</v>
      </c>
      <c r="X56" s="53" t="str">
        <f t="shared" si="30"/>
        <v>988</v>
      </c>
      <c r="Y56" s="53" t="str">
        <f t="shared" si="31"/>
        <v>50
C</v>
      </c>
      <c r="Z56" s="53" t="str">
        <f t="shared" si="32"/>
        <v>7609</v>
      </c>
      <c r="AA56" s="53">
        <f t="shared" si="33"/>
        <v>4</v>
      </c>
      <c r="AB56" s="53">
        <f t="shared" si="34"/>
        <v>2</v>
      </c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spans="1:41" ht="30" x14ac:dyDescent="0.25">
      <c r="A57" s="51" t="s">
        <v>55</v>
      </c>
      <c r="B57" s="51" t="s">
        <v>2865</v>
      </c>
      <c r="C57" s="51" t="s">
        <v>2866</v>
      </c>
      <c r="D57" s="51" t="s">
        <v>243</v>
      </c>
      <c r="E57" s="51" t="s">
        <v>542</v>
      </c>
      <c r="F57" s="51">
        <v>7</v>
      </c>
      <c r="G57" s="51" t="s">
        <v>245</v>
      </c>
      <c r="H57" s="51">
        <v>12</v>
      </c>
      <c r="I57" s="51">
        <f t="shared" si="0"/>
        <v>84</v>
      </c>
      <c r="J57" s="51">
        <f t="shared" si="1"/>
        <v>158</v>
      </c>
      <c r="K57" s="51">
        <f t="shared" si="6"/>
        <v>138</v>
      </c>
      <c r="L57" s="51">
        <f t="shared" si="3"/>
        <v>12</v>
      </c>
      <c r="M57" s="51">
        <f t="shared" si="4"/>
        <v>1</v>
      </c>
      <c r="N57" s="53" t="b">
        <f t="shared" si="21"/>
        <v>0</v>
      </c>
      <c r="O57" s="53" t="b">
        <f t="shared" si="22"/>
        <v>1</v>
      </c>
      <c r="P57" s="53" t="str">
        <f t="shared" si="23"/>
        <v>tins7</v>
      </c>
      <c r="Q57" s="68" t="str">
        <f t="shared" si="24"/>
        <v>158
C008012</v>
      </c>
      <c r="R57" s="53" t="b">
        <f t="shared" si="25"/>
        <v>0</v>
      </c>
      <c r="S57" s="53"/>
      <c r="T57" s="53" t="str">
        <f t="shared" si="26"/>
        <v>TINS</v>
      </c>
      <c r="U57" s="53" t="str">
        <f t="shared" si="27"/>
        <v>tins</v>
      </c>
      <c r="V57" s="53">
        <f t="shared" si="28"/>
        <v>1</v>
      </c>
      <c r="W57" s="53" t="str">
        <f t="shared" si="29"/>
        <v>tins 7</v>
      </c>
      <c r="X57" s="53" t="str">
        <f t="shared" si="30"/>
        <v>12</v>
      </c>
      <c r="Y57" s="53" t="str">
        <f t="shared" si="31"/>
        <v xml:space="preserve">158
</v>
      </c>
      <c r="Z57" s="53" t="str">
        <f t="shared" si="32"/>
        <v>8012</v>
      </c>
      <c r="AA57" s="53">
        <f t="shared" si="33"/>
        <v>5</v>
      </c>
      <c r="AB57" s="53">
        <f t="shared" si="34"/>
        <v>2</v>
      </c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</row>
    <row r="58" spans="1:41" ht="30" x14ac:dyDescent="0.25">
      <c r="A58" s="51" t="s">
        <v>168</v>
      </c>
      <c r="B58" s="51" t="s">
        <v>2867</v>
      </c>
      <c r="C58" s="51" t="s">
        <v>2868</v>
      </c>
      <c r="D58" s="51" t="s">
        <v>1379</v>
      </c>
      <c r="E58" s="51" t="s">
        <v>2869</v>
      </c>
      <c r="F58" s="51">
        <v>7</v>
      </c>
      <c r="G58" s="51" t="s">
        <v>13</v>
      </c>
      <c r="H58" s="51">
        <v>14</v>
      </c>
      <c r="I58" s="51">
        <f t="shared" si="0"/>
        <v>98</v>
      </c>
      <c r="J58" s="51">
        <f t="shared" si="1"/>
        <v>141</v>
      </c>
      <c r="K58" s="51">
        <f t="shared" si="6"/>
        <v>124</v>
      </c>
      <c r="L58" s="51">
        <f t="shared" si="3"/>
        <v>2079.5</v>
      </c>
      <c r="M58" s="51">
        <f t="shared" si="4"/>
        <v>107</v>
      </c>
      <c r="N58" s="53" t="b">
        <f t="shared" si="21"/>
        <v>0</v>
      </c>
      <c r="O58" s="53" t="b">
        <f t="shared" si="22"/>
        <v>0</v>
      </c>
      <c r="P58" s="53" t="str">
        <f t="shared" si="23"/>
        <v>ct7</v>
      </c>
      <c r="Q58" s="68" t="str">
        <f t="shared" si="24"/>
        <v>141
C002549</v>
      </c>
      <c r="R58" s="53" t="b">
        <f t="shared" si="25"/>
        <v>0</v>
      </c>
      <c r="S58" s="53"/>
      <c r="T58" s="53" t="str">
        <f t="shared" si="26"/>
        <v>CT</v>
      </c>
      <c r="U58" s="53" t="str">
        <f t="shared" si="27"/>
        <v>ct</v>
      </c>
      <c r="V58" s="53">
        <f t="shared" si="28"/>
        <v>1</v>
      </c>
      <c r="W58" s="53" t="str">
        <f t="shared" si="29"/>
        <v>ct 7</v>
      </c>
      <c r="X58" s="53" t="str">
        <f t="shared" si="30"/>
        <v>2879.5</v>
      </c>
      <c r="Y58" s="53" t="str">
        <f t="shared" si="31"/>
        <v xml:space="preserve">141
</v>
      </c>
      <c r="Z58" s="53" t="str">
        <f t="shared" si="32"/>
        <v>2549</v>
      </c>
      <c r="AA58" s="53">
        <f t="shared" si="33"/>
        <v>5</v>
      </c>
      <c r="AB58" s="53">
        <f t="shared" si="34"/>
        <v>2</v>
      </c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spans="1:41" ht="30" x14ac:dyDescent="0.25">
      <c r="A59" s="51" t="s">
        <v>121</v>
      </c>
      <c r="B59" s="51" t="s">
        <v>2870</v>
      </c>
      <c r="C59" s="51" t="s">
        <v>2871</v>
      </c>
      <c r="D59" s="51" t="s">
        <v>17</v>
      </c>
      <c r="E59" s="51" t="s">
        <v>1833</v>
      </c>
      <c r="F59" s="51">
        <v>7</v>
      </c>
      <c r="G59" s="51" t="s">
        <v>19</v>
      </c>
      <c r="H59" s="51">
        <v>26</v>
      </c>
      <c r="I59" s="51">
        <f t="shared" si="0"/>
        <v>182</v>
      </c>
      <c r="J59" s="51">
        <f t="shared" si="1"/>
        <v>41</v>
      </c>
      <c r="K59" s="51">
        <f t="shared" si="6"/>
        <v>36</v>
      </c>
      <c r="L59" s="51">
        <f t="shared" si="3"/>
        <v>182</v>
      </c>
      <c r="M59" s="51">
        <f t="shared" si="4"/>
        <v>7</v>
      </c>
      <c r="N59" s="53" t="b">
        <f t="shared" si="21"/>
        <v>0</v>
      </c>
      <c r="O59" s="53" t="b">
        <f t="shared" si="22"/>
        <v>1</v>
      </c>
      <c r="P59" s="53" t="str">
        <f t="shared" si="23"/>
        <v>rolls7</v>
      </c>
      <c r="Q59" s="68" t="str">
        <f t="shared" si="24"/>
        <v>41
C005517</v>
      </c>
      <c r="R59" s="53" t="b">
        <f t="shared" si="25"/>
        <v>0</v>
      </c>
      <c r="S59" s="53"/>
      <c r="T59" s="53" t="str">
        <f t="shared" si="26"/>
        <v>ROLLS</v>
      </c>
      <c r="U59" s="53" t="str">
        <f t="shared" si="27"/>
        <v>rolls</v>
      </c>
      <c r="V59" s="53">
        <f t="shared" si="28"/>
        <v>1</v>
      </c>
      <c r="W59" s="53" t="str">
        <f t="shared" si="29"/>
        <v>rolls 7</v>
      </c>
      <c r="X59" s="53" t="str">
        <f t="shared" si="30"/>
        <v>182</v>
      </c>
      <c r="Y59" s="53" t="str">
        <f t="shared" si="31"/>
        <v>41
C</v>
      </c>
      <c r="Z59" s="53" t="str">
        <f t="shared" si="32"/>
        <v>5517</v>
      </c>
      <c r="AA59" s="53">
        <f t="shared" si="33"/>
        <v>4</v>
      </c>
      <c r="AB59" s="53">
        <f t="shared" si="34"/>
        <v>2</v>
      </c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spans="1:41" ht="30" x14ac:dyDescent="0.25">
      <c r="A60" s="51" t="s">
        <v>137</v>
      </c>
      <c r="B60" s="51" t="s">
        <v>2757</v>
      </c>
      <c r="C60" s="51" t="s">
        <v>2872</v>
      </c>
      <c r="D60" s="51" t="s">
        <v>616</v>
      </c>
      <c r="E60" s="51" t="s">
        <v>786</v>
      </c>
      <c r="F60" s="51">
        <v>3</v>
      </c>
      <c r="G60" s="51" t="s">
        <v>13</v>
      </c>
      <c r="H60" s="51">
        <v>18</v>
      </c>
      <c r="I60" s="51">
        <f t="shared" si="0"/>
        <v>54</v>
      </c>
      <c r="J60" s="51">
        <f t="shared" si="1"/>
        <v>213</v>
      </c>
      <c r="K60" s="51">
        <f t="shared" si="6"/>
        <v>186</v>
      </c>
      <c r="L60" s="51">
        <f t="shared" si="3"/>
        <v>2079.5</v>
      </c>
      <c r="M60" s="51">
        <f t="shared" si="4"/>
        <v>107</v>
      </c>
      <c r="N60" s="53" t="b">
        <f t="shared" si="21"/>
        <v>0</v>
      </c>
      <c r="O60" s="53" t="b">
        <f t="shared" si="22"/>
        <v>1</v>
      </c>
      <c r="P60" s="53" t="str">
        <f t="shared" si="23"/>
        <v>ct3</v>
      </c>
      <c r="Q60" s="68" t="str">
        <f t="shared" si="24"/>
        <v>213
C001665</v>
      </c>
      <c r="R60" s="53" t="b">
        <f t="shared" si="25"/>
        <v>0</v>
      </c>
      <c r="S60" s="53"/>
      <c r="T60" s="53" t="str">
        <f t="shared" si="26"/>
        <v>CT</v>
      </c>
      <c r="U60" s="53" t="str">
        <f t="shared" si="27"/>
        <v>ct</v>
      </c>
      <c r="V60" s="53">
        <f t="shared" si="28"/>
        <v>1</v>
      </c>
      <c r="W60" s="53" t="str">
        <f t="shared" si="29"/>
        <v>ct 3</v>
      </c>
      <c r="X60" s="53" t="str">
        <f t="shared" si="30"/>
        <v>2879.5</v>
      </c>
      <c r="Y60" s="53" t="str">
        <f t="shared" si="31"/>
        <v xml:space="preserve">213
</v>
      </c>
      <c r="Z60" s="53" t="str">
        <f t="shared" si="32"/>
        <v>1665</v>
      </c>
      <c r="AA60" s="53">
        <f t="shared" si="33"/>
        <v>5</v>
      </c>
      <c r="AB60" s="53">
        <f t="shared" si="34"/>
        <v>2</v>
      </c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spans="1:41" ht="30" x14ac:dyDescent="0.25">
      <c r="A61" s="51" t="s">
        <v>200</v>
      </c>
      <c r="B61" s="51" t="s">
        <v>2873</v>
      </c>
      <c r="C61" s="51" t="s">
        <v>2874</v>
      </c>
      <c r="D61" s="51" t="s">
        <v>949</v>
      </c>
      <c r="E61" s="51" t="s">
        <v>2860</v>
      </c>
      <c r="F61" s="51">
        <v>2</v>
      </c>
      <c r="G61" s="51" t="s">
        <v>106</v>
      </c>
      <c r="H61" s="51">
        <v>17</v>
      </c>
      <c r="I61" s="51">
        <f t="shared" si="0"/>
        <v>34</v>
      </c>
      <c r="J61" s="51">
        <f t="shared" si="1"/>
        <v>250</v>
      </c>
      <c r="K61" s="51">
        <f t="shared" si="6"/>
        <v>215</v>
      </c>
      <c r="L61" s="51">
        <f t="shared" si="3"/>
        <v>285</v>
      </c>
      <c r="M61" s="51">
        <f t="shared" si="4"/>
        <v>17</v>
      </c>
      <c r="N61" s="53" t="b">
        <f t="shared" si="21"/>
        <v>0</v>
      </c>
      <c r="O61" s="53" t="b">
        <f t="shared" si="22"/>
        <v>1</v>
      </c>
      <c r="P61" s="53" t="str">
        <f t="shared" si="23"/>
        <v>bags2</v>
      </c>
      <c r="Q61" s="68" t="str">
        <f t="shared" si="24"/>
        <v>250
C002335</v>
      </c>
      <c r="R61" s="53" t="b">
        <f t="shared" si="25"/>
        <v>0</v>
      </c>
      <c r="S61" s="53"/>
      <c r="T61" s="53" t="str">
        <f t="shared" si="26"/>
        <v>BAGS</v>
      </c>
      <c r="U61" s="53" t="str">
        <f t="shared" si="27"/>
        <v>bags</v>
      </c>
      <c r="V61" s="53">
        <f t="shared" si="28"/>
        <v>1</v>
      </c>
      <c r="W61" s="53" t="str">
        <f t="shared" si="29"/>
        <v>bags 2</v>
      </c>
      <c r="X61" s="53" t="str">
        <f t="shared" si="30"/>
        <v>285</v>
      </c>
      <c r="Y61" s="53" t="str">
        <f t="shared" si="31"/>
        <v xml:space="preserve">250
</v>
      </c>
      <c r="Z61" s="53" t="str">
        <f t="shared" si="32"/>
        <v>2335</v>
      </c>
      <c r="AA61" s="53">
        <f t="shared" si="33"/>
        <v>5</v>
      </c>
      <c r="AB61" s="53">
        <f t="shared" si="34"/>
        <v>4</v>
      </c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</row>
    <row r="62" spans="1:41" ht="30" x14ac:dyDescent="0.25">
      <c r="A62" s="51" t="s">
        <v>14</v>
      </c>
      <c r="B62" s="51" t="s">
        <v>2875</v>
      </c>
      <c r="C62" s="51" t="s">
        <v>2876</v>
      </c>
      <c r="D62" s="51" t="s">
        <v>959</v>
      </c>
      <c r="E62" s="51" t="s">
        <v>111</v>
      </c>
      <c r="F62" s="51">
        <v>9</v>
      </c>
      <c r="G62" s="51" t="s">
        <v>167</v>
      </c>
      <c r="H62" s="51">
        <v>18</v>
      </c>
      <c r="I62" s="51">
        <f t="shared" si="0"/>
        <v>162</v>
      </c>
      <c r="J62" s="51">
        <f t="shared" si="1"/>
        <v>61</v>
      </c>
      <c r="K62" s="51">
        <f t="shared" si="6"/>
        <v>53</v>
      </c>
      <c r="L62" s="51">
        <f t="shared" si="3"/>
        <v>307</v>
      </c>
      <c r="M62" s="51">
        <f t="shared" si="4"/>
        <v>19</v>
      </c>
      <c r="N62" s="53" t="b">
        <f t="shared" si="21"/>
        <v>0</v>
      </c>
      <c r="O62" s="53" t="b">
        <f t="shared" si="22"/>
        <v>1</v>
      </c>
      <c r="P62" s="53" t="str">
        <f t="shared" si="23"/>
        <v>oz9</v>
      </c>
      <c r="Q62" s="68" t="str">
        <f t="shared" si="24"/>
        <v>61
C008502</v>
      </c>
      <c r="R62" s="53" t="b">
        <f t="shared" si="25"/>
        <v>0</v>
      </c>
      <c r="S62" s="53"/>
      <c r="T62" s="53" t="str">
        <f t="shared" si="26"/>
        <v>OZ</v>
      </c>
      <c r="U62" s="53" t="str">
        <f t="shared" si="27"/>
        <v>oz</v>
      </c>
      <c r="V62" s="53">
        <f t="shared" si="28"/>
        <v>1</v>
      </c>
      <c r="W62" s="53" t="str">
        <f t="shared" si="29"/>
        <v>oz 9</v>
      </c>
      <c r="X62" s="53" t="str">
        <f t="shared" si="30"/>
        <v>387</v>
      </c>
      <c r="Y62" s="53" t="str">
        <f t="shared" si="31"/>
        <v>61
C</v>
      </c>
      <c r="Z62" s="53" t="str">
        <f t="shared" si="32"/>
        <v>8502</v>
      </c>
      <c r="AA62" s="53">
        <f t="shared" si="33"/>
        <v>4</v>
      </c>
      <c r="AB62" s="53">
        <f t="shared" si="34"/>
        <v>4</v>
      </c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</row>
    <row r="63" spans="1:41" ht="30" x14ac:dyDescent="0.25">
      <c r="A63" s="51" t="s">
        <v>137</v>
      </c>
      <c r="B63" s="51" t="s">
        <v>2877</v>
      </c>
      <c r="C63" s="51" t="s">
        <v>2878</v>
      </c>
      <c r="D63" s="51" t="s">
        <v>2248</v>
      </c>
      <c r="E63" s="51" t="s">
        <v>1144</v>
      </c>
      <c r="F63" s="51">
        <v>1</v>
      </c>
      <c r="G63" s="51" t="s">
        <v>13</v>
      </c>
      <c r="H63" s="51">
        <v>15</v>
      </c>
      <c r="I63" s="51">
        <f t="shared" si="0"/>
        <v>15</v>
      </c>
      <c r="J63" s="51">
        <f t="shared" si="1"/>
        <v>291</v>
      </c>
      <c r="K63" s="51">
        <f t="shared" si="6"/>
        <v>251</v>
      </c>
      <c r="L63" s="51">
        <f t="shared" si="3"/>
        <v>2079.5</v>
      </c>
      <c r="M63" s="51">
        <f t="shared" si="4"/>
        <v>107</v>
      </c>
      <c r="N63" s="53" t="b">
        <f t="shared" si="21"/>
        <v>0</v>
      </c>
      <c r="O63" s="53" t="b">
        <f t="shared" si="22"/>
        <v>1</v>
      </c>
      <c r="P63" s="53" t="str">
        <f t="shared" si="23"/>
        <v>ct1</v>
      </c>
      <c r="Q63" s="68" t="str">
        <f t="shared" si="24"/>
        <v>291
C006579</v>
      </c>
      <c r="R63" s="53" t="b">
        <f t="shared" si="25"/>
        <v>0</v>
      </c>
      <c r="S63" s="53"/>
      <c r="T63" s="53" t="str">
        <f t="shared" si="26"/>
        <v>CT</v>
      </c>
      <c r="U63" s="53" t="str">
        <f t="shared" si="27"/>
        <v>ct</v>
      </c>
      <c r="V63" s="53">
        <f t="shared" si="28"/>
        <v>1</v>
      </c>
      <c r="W63" s="53" t="str">
        <f t="shared" si="29"/>
        <v>ct 1</v>
      </c>
      <c r="X63" s="53" t="str">
        <f t="shared" si="30"/>
        <v>2879.5</v>
      </c>
      <c r="Y63" s="53" t="str">
        <f t="shared" si="31"/>
        <v xml:space="preserve">291
</v>
      </c>
      <c r="Z63" s="53" t="str">
        <f t="shared" si="32"/>
        <v>6579</v>
      </c>
      <c r="AA63" s="53">
        <f t="shared" si="33"/>
        <v>5</v>
      </c>
      <c r="AB63" s="53">
        <f t="shared" si="34"/>
        <v>7</v>
      </c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spans="1:41" ht="30" x14ac:dyDescent="0.25">
      <c r="A64" s="51" t="s">
        <v>168</v>
      </c>
      <c r="B64" s="51" t="s">
        <v>2879</v>
      </c>
      <c r="C64" s="51" t="s">
        <v>2880</v>
      </c>
      <c r="D64" s="51" t="s">
        <v>668</v>
      </c>
      <c r="E64" s="51" t="s">
        <v>856</v>
      </c>
      <c r="F64" s="51">
        <v>10</v>
      </c>
      <c r="G64" s="51" t="s">
        <v>19</v>
      </c>
      <c r="H64" s="51">
        <v>26</v>
      </c>
      <c r="I64" s="51">
        <f t="shared" si="0"/>
        <v>260</v>
      </c>
      <c r="J64" s="51">
        <f t="shared" si="1"/>
        <v>17</v>
      </c>
      <c r="K64" s="51">
        <f t="shared" si="6"/>
        <v>16</v>
      </c>
      <c r="L64" s="51">
        <f t="shared" si="3"/>
        <v>182</v>
      </c>
      <c r="M64" s="51">
        <f t="shared" si="4"/>
        <v>7</v>
      </c>
      <c r="N64" s="53" t="b">
        <f t="shared" si="21"/>
        <v>0</v>
      </c>
      <c r="O64" s="53" t="b">
        <f t="shared" si="22"/>
        <v>1</v>
      </c>
      <c r="P64" s="53" t="str">
        <f t="shared" si="23"/>
        <v>rolls10</v>
      </c>
      <c r="Q64" s="68" t="str">
        <f t="shared" si="24"/>
        <v>17
C002251</v>
      </c>
      <c r="R64" s="53" t="b">
        <f t="shared" si="25"/>
        <v>0</v>
      </c>
      <c r="S64" s="53"/>
      <c r="T64" s="53" t="str">
        <f t="shared" si="26"/>
        <v>ROLLS</v>
      </c>
      <c r="U64" s="53" t="str">
        <f t="shared" si="27"/>
        <v>rolls</v>
      </c>
      <c r="V64" s="53">
        <f t="shared" si="28"/>
        <v>1</v>
      </c>
      <c r="W64" s="53" t="str">
        <f t="shared" si="29"/>
        <v>rolls 10</v>
      </c>
      <c r="X64" s="53" t="str">
        <f t="shared" si="30"/>
        <v>182</v>
      </c>
      <c r="Y64" s="53" t="str">
        <f t="shared" si="31"/>
        <v>17
C</v>
      </c>
      <c r="Z64" s="53" t="str">
        <f t="shared" si="32"/>
        <v>2251</v>
      </c>
      <c r="AA64" s="53">
        <f t="shared" si="33"/>
        <v>4</v>
      </c>
      <c r="AB64" s="53">
        <f t="shared" si="34"/>
        <v>2</v>
      </c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spans="1:41" ht="30" x14ac:dyDescent="0.25">
      <c r="A65" s="51" t="s">
        <v>288</v>
      </c>
      <c r="B65" s="51" t="s">
        <v>2881</v>
      </c>
      <c r="C65" s="51" t="s">
        <v>2882</v>
      </c>
      <c r="D65" s="51" t="s">
        <v>526</v>
      </c>
      <c r="E65" s="51" t="s">
        <v>2883</v>
      </c>
      <c r="F65" s="51">
        <v>2</v>
      </c>
      <c r="G65" s="51" t="s">
        <v>13</v>
      </c>
      <c r="H65" s="51">
        <v>13</v>
      </c>
      <c r="I65" s="51">
        <f t="shared" si="0"/>
        <v>26</v>
      </c>
      <c r="J65" s="51">
        <f t="shared" si="1"/>
        <v>276</v>
      </c>
      <c r="K65" s="51">
        <f t="shared" si="6"/>
        <v>236</v>
      </c>
      <c r="L65" s="51">
        <f t="shared" si="3"/>
        <v>2079.5</v>
      </c>
      <c r="M65" s="51">
        <f t="shared" si="4"/>
        <v>107</v>
      </c>
      <c r="N65" s="53" t="b">
        <f t="shared" si="21"/>
        <v>0</v>
      </c>
      <c r="O65" s="53" t="b">
        <f t="shared" si="22"/>
        <v>1</v>
      </c>
      <c r="P65" s="53" t="str">
        <f t="shared" si="23"/>
        <v>ct2</v>
      </c>
      <c r="Q65" s="68" t="str">
        <f t="shared" si="24"/>
        <v>276
C005329</v>
      </c>
      <c r="R65" s="53" t="b">
        <f t="shared" si="25"/>
        <v>0</v>
      </c>
      <c r="S65" s="53"/>
      <c r="T65" s="53" t="str">
        <f t="shared" si="26"/>
        <v>CT</v>
      </c>
      <c r="U65" s="53" t="str">
        <f t="shared" si="27"/>
        <v>ct</v>
      </c>
      <c r="V65" s="53">
        <f t="shared" si="28"/>
        <v>1</v>
      </c>
      <c r="W65" s="53" t="str">
        <f t="shared" si="29"/>
        <v>ct 2</v>
      </c>
      <c r="X65" s="53" t="str">
        <f t="shared" si="30"/>
        <v>2879.5</v>
      </c>
      <c r="Y65" s="53" t="str">
        <f t="shared" si="31"/>
        <v xml:space="preserve">276
</v>
      </c>
      <c r="Z65" s="53" t="str">
        <f t="shared" si="32"/>
        <v>5329</v>
      </c>
      <c r="AA65" s="53">
        <f t="shared" si="33"/>
        <v>5</v>
      </c>
      <c r="AB65" s="53">
        <f t="shared" si="34"/>
        <v>7</v>
      </c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</row>
    <row r="66" spans="1:41" ht="30" x14ac:dyDescent="0.25">
      <c r="A66" s="51" t="s">
        <v>200</v>
      </c>
      <c r="B66" s="51" t="s">
        <v>2884</v>
      </c>
      <c r="C66" s="51" t="s">
        <v>2885</v>
      </c>
      <c r="D66" s="51" t="s">
        <v>567</v>
      </c>
      <c r="E66" s="51" t="s">
        <v>2886</v>
      </c>
      <c r="F66" s="51">
        <v>8</v>
      </c>
      <c r="G66" s="51" t="s">
        <v>60</v>
      </c>
      <c r="H66" s="51">
        <v>20</v>
      </c>
      <c r="I66" s="51">
        <f t="shared" si="0"/>
        <v>160</v>
      </c>
      <c r="J66" s="51">
        <f t="shared" si="1"/>
        <v>67.5</v>
      </c>
      <c r="K66" s="51">
        <f t="shared" si="6"/>
        <v>55</v>
      </c>
      <c r="L66" s="51">
        <f t="shared" si="3"/>
        <v>908</v>
      </c>
      <c r="M66" s="51">
        <f t="shared" si="4"/>
        <v>50</v>
      </c>
      <c r="N66" s="53" t="b">
        <f t="shared" si="21"/>
        <v>0</v>
      </c>
      <c r="O66" s="53" t="b">
        <f t="shared" si="22"/>
        <v>1</v>
      </c>
      <c r="P66" s="53" t="str">
        <f t="shared" si="23"/>
        <v>bottles8</v>
      </c>
      <c r="Q66" s="68" t="str">
        <f t="shared" si="24"/>
        <v>67.5
C005608</v>
      </c>
      <c r="R66" s="53" t="b">
        <f t="shared" si="25"/>
        <v>0</v>
      </c>
      <c r="S66" s="53"/>
      <c r="T66" s="53" t="str">
        <f t="shared" si="26"/>
        <v>BOTTLES</v>
      </c>
      <c r="U66" s="53" t="str">
        <f t="shared" si="27"/>
        <v>bottles</v>
      </c>
      <c r="V66" s="53">
        <f t="shared" si="28"/>
        <v>1</v>
      </c>
      <c r="W66" s="53" t="str">
        <f t="shared" si="29"/>
        <v>bottles 8</v>
      </c>
      <c r="X66" s="53" t="str">
        <f t="shared" si="30"/>
        <v>988</v>
      </c>
      <c r="Y66" s="53" t="str">
        <f t="shared" si="31"/>
        <v>67.5</v>
      </c>
      <c r="Z66" s="53" t="str">
        <f t="shared" si="32"/>
        <v>5608</v>
      </c>
      <c r="AA66" s="53">
        <f t="shared" si="33"/>
        <v>6</v>
      </c>
      <c r="AB66" s="53">
        <f t="shared" si="34"/>
        <v>7</v>
      </c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spans="1:41" ht="30" x14ac:dyDescent="0.25">
      <c r="A67" s="51" t="s">
        <v>200</v>
      </c>
      <c r="B67" s="51" t="s">
        <v>2887</v>
      </c>
      <c r="C67" s="51" t="s">
        <v>2888</v>
      </c>
      <c r="D67" s="51" t="s">
        <v>318</v>
      </c>
      <c r="E67" s="51" t="s">
        <v>2889</v>
      </c>
      <c r="F67" s="51">
        <v>11</v>
      </c>
      <c r="G67" s="51" t="s">
        <v>60</v>
      </c>
      <c r="H67" s="51">
        <v>17</v>
      </c>
      <c r="I67" s="51">
        <f t="shared" si="0"/>
        <v>187</v>
      </c>
      <c r="J67" s="51">
        <f t="shared" si="1"/>
        <v>38</v>
      </c>
      <c r="K67" s="51">
        <f t="shared" si="6"/>
        <v>33</v>
      </c>
      <c r="L67" s="51">
        <f t="shared" si="3"/>
        <v>908</v>
      </c>
      <c r="M67" s="51">
        <f t="shared" si="4"/>
        <v>50</v>
      </c>
      <c r="N67" s="53" t="b">
        <f t="shared" si="21"/>
        <v>0</v>
      </c>
      <c r="O67" s="53" t="b">
        <f t="shared" si="22"/>
        <v>1</v>
      </c>
      <c r="P67" s="53" t="str">
        <f t="shared" si="23"/>
        <v>bottles11</v>
      </c>
      <c r="Q67" s="68" t="str">
        <f t="shared" si="24"/>
        <v>38
C002592</v>
      </c>
      <c r="R67" s="53" t="b">
        <f t="shared" si="25"/>
        <v>0</v>
      </c>
      <c r="S67" s="53"/>
      <c r="T67" s="53" t="str">
        <f t="shared" si="26"/>
        <v>BOTTLES</v>
      </c>
      <c r="U67" s="53" t="str">
        <f t="shared" si="27"/>
        <v>bottles</v>
      </c>
      <c r="V67" s="53">
        <f t="shared" si="28"/>
        <v>1</v>
      </c>
      <c r="W67" s="53" t="str">
        <f t="shared" si="29"/>
        <v>bottles 11</v>
      </c>
      <c r="X67" s="53" t="str">
        <f t="shared" si="30"/>
        <v>988</v>
      </c>
      <c r="Y67" s="53" t="str">
        <f t="shared" si="31"/>
        <v>38
C</v>
      </c>
      <c r="Z67" s="53" t="str">
        <f t="shared" si="32"/>
        <v>2592</v>
      </c>
      <c r="AA67" s="53">
        <f t="shared" si="33"/>
        <v>4</v>
      </c>
      <c r="AB67" s="53">
        <f t="shared" si="34"/>
        <v>5</v>
      </c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spans="1:41" ht="30" x14ac:dyDescent="0.25">
      <c r="A68" s="51" t="s">
        <v>743</v>
      </c>
      <c r="B68" s="51" t="s">
        <v>2890</v>
      </c>
      <c r="C68" s="51" t="s">
        <v>2891</v>
      </c>
      <c r="D68" s="51" t="s">
        <v>198</v>
      </c>
      <c r="E68" s="51" t="s">
        <v>2892</v>
      </c>
      <c r="F68" s="51">
        <v>10</v>
      </c>
      <c r="G68" s="51" t="s">
        <v>60</v>
      </c>
      <c r="H68" s="51">
        <v>20</v>
      </c>
      <c r="I68" s="51">
        <f t="shared" ref="I68:I131" si="35">H68*F68</f>
        <v>200</v>
      </c>
      <c r="J68" s="51">
        <f t="shared" ref="J68:J131" si="36">_xlfn.RANK.AVG(I68,$I$3:$I$304)</f>
        <v>30</v>
      </c>
      <c r="K68" s="51">
        <f t="shared" si="6"/>
        <v>24</v>
      </c>
      <c r="L68" s="51">
        <f t="shared" ref="L68:L131" si="37">SUMIF(G$3:G$304,G68,H$3:H$304)</f>
        <v>908</v>
      </c>
      <c r="M68" s="51">
        <f t="shared" ref="M68:M131" si="38">COUNTIF(G$3:G$304,G68)</f>
        <v>50</v>
      </c>
      <c r="N68" s="53" t="b">
        <f t="shared" si="21"/>
        <v>0</v>
      </c>
      <c r="O68" s="53" t="b">
        <f t="shared" si="22"/>
        <v>1</v>
      </c>
      <c r="P68" s="53" t="str">
        <f t="shared" si="23"/>
        <v>bottles10</v>
      </c>
      <c r="Q68" s="68" t="str">
        <f t="shared" si="24"/>
        <v>30
C000933</v>
      </c>
      <c r="R68" s="53" t="b">
        <f t="shared" si="25"/>
        <v>0</v>
      </c>
      <c r="S68" s="53"/>
      <c r="T68" s="53" t="str">
        <f t="shared" si="26"/>
        <v>BOTTLES</v>
      </c>
      <c r="U68" s="53" t="str">
        <f t="shared" si="27"/>
        <v>bottles</v>
      </c>
      <c r="V68" s="53">
        <f t="shared" si="28"/>
        <v>1</v>
      </c>
      <c r="W68" s="53" t="str">
        <f t="shared" si="29"/>
        <v>bottles 10</v>
      </c>
      <c r="X68" s="53" t="str">
        <f t="shared" si="30"/>
        <v>988</v>
      </c>
      <c r="Y68" s="53" t="str">
        <f t="shared" si="31"/>
        <v>30
C</v>
      </c>
      <c r="Z68" s="53" t="str">
        <f t="shared" si="32"/>
        <v>0933</v>
      </c>
      <c r="AA68" s="53">
        <f t="shared" si="33"/>
        <v>4</v>
      </c>
      <c r="AB68" s="53">
        <f t="shared" si="34"/>
        <v>2</v>
      </c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spans="1:41" ht="30" x14ac:dyDescent="0.25">
      <c r="A69" s="51" t="s">
        <v>137</v>
      </c>
      <c r="B69" s="51" t="s">
        <v>2893</v>
      </c>
      <c r="C69" s="51" t="s">
        <v>2894</v>
      </c>
      <c r="D69" s="51" t="s">
        <v>832</v>
      </c>
      <c r="E69" s="51" t="s">
        <v>1839</v>
      </c>
      <c r="F69" s="51">
        <v>7</v>
      </c>
      <c r="G69" s="51" t="s">
        <v>13</v>
      </c>
      <c r="H69" s="51">
        <v>12</v>
      </c>
      <c r="I69" s="51">
        <f t="shared" si="35"/>
        <v>84</v>
      </c>
      <c r="J69" s="51">
        <f t="shared" si="36"/>
        <v>158</v>
      </c>
      <c r="K69" s="51">
        <f t="shared" si="6"/>
        <v>131</v>
      </c>
      <c r="L69" s="51">
        <f t="shared" si="37"/>
        <v>2079.5</v>
      </c>
      <c r="M69" s="51">
        <f t="shared" si="38"/>
        <v>107</v>
      </c>
      <c r="N69" s="53" t="b">
        <f t="shared" si="21"/>
        <v>0</v>
      </c>
      <c r="O69" s="53" t="b">
        <f t="shared" si="22"/>
        <v>1</v>
      </c>
      <c r="P69" s="53" t="str">
        <f t="shared" si="23"/>
        <v>ct7</v>
      </c>
      <c r="Q69" s="68" t="str">
        <f t="shared" si="24"/>
        <v>158
C007745</v>
      </c>
      <c r="R69" s="53" t="b">
        <f t="shared" si="25"/>
        <v>0</v>
      </c>
      <c r="S69" s="53"/>
      <c r="T69" s="53" t="str">
        <f t="shared" si="26"/>
        <v>CT</v>
      </c>
      <c r="U69" s="53" t="str">
        <f t="shared" si="27"/>
        <v>ct</v>
      </c>
      <c r="V69" s="53">
        <f t="shared" si="28"/>
        <v>1</v>
      </c>
      <c r="W69" s="53" t="str">
        <f t="shared" si="29"/>
        <v>ct 7</v>
      </c>
      <c r="X69" s="53" t="str">
        <f t="shared" si="30"/>
        <v>2879.5</v>
      </c>
      <c r="Y69" s="53" t="str">
        <f t="shared" si="31"/>
        <v xml:space="preserve">158
</v>
      </c>
      <c r="Z69" s="53" t="str">
        <f t="shared" si="32"/>
        <v>7745</v>
      </c>
      <c r="AA69" s="53">
        <f t="shared" si="33"/>
        <v>5</v>
      </c>
      <c r="AB69" s="53">
        <f t="shared" si="34"/>
        <v>2</v>
      </c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</row>
    <row r="70" spans="1:41" ht="30" x14ac:dyDescent="0.25">
      <c r="A70" s="51" t="s">
        <v>307</v>
      </c>
      <c r="B70" s="51" t="s">
        <v>2895</v>
      </c>
      <c r="C70" s="51" t="s">
        <v>2896</v>
      </c>
      <c r="D70" s="51" t="s">
        <v>237</v>
      </c>
      <c r="E70" s="51" t="s">
        <v>1281</v>
      </c>
      <c r="F70" s="51">
        <v>4</v>
      </c>
      <c r="G70" s="51" t="s">
        <v>239</v>
      </c>
      <c r="H70" s="51">
        <v>15</v>
      </c>
      <c r="I70" s="51">
        <f t="shared" si="35"/>
        <v>60</v>
      </c>
      <c r="J70" s="51">
        <f t="shared" si="36"/>
        <v>205.5</v>
      </c>
      <c r="K70" s="51">
        <f t="shared" si="6"/>
        <v>173</v>
      </c>
      <c r="L70" s="51">
        <f t="shared" si="37"/>
        <v>45</v>
      </c>
      <c r="M70" s="51">
        <f t="shared" si="38"/>
        <v>3</v>
      </c>
      <c r="N70" s="53" t="b">
        <f t="shared" si="21"/>
        <v>0</v>
      </c>
      <c r="O70" s="53" t="b">
        <f t="shared" si="22"/>
        <v>1</v>
      </c>
      <c r="P70" s="53" t="str">
        <f t="shared" si="23"/>
        <v>lb4</v>
      </c>
      <c r="Q70" s="68" t="str">
        <f t="shared" si="24"/>
        <v>205.5
C004697</v>
      </c>
      <c r="R70" s="53" t="b">
        <f t="shared" si="25"/>
        <v>0</v>
      </c>
      <c r="S70" s="53"/>
      <c r="T70" s="53" t="str">
        <f t="shared" si="26"/>
        <v>LB</v>
      </c>
      <c r="U70" s="53" t="str">
        <f t="shared" si="27"/>
        <v>lb</v>
      </c>
      <c r="V70" s="53">
        <f t="shared" si="28"/>
        <v>1</v>
      </c>
      <c r="W70" s="53" t="str">
        <f t="shared" si="29"/>
        <v>lb 4</v>
      </c>
      <c r="X70" s="53" t="str">
        <f t="shared" si="30"/>
        <v>45</v>
      </c>
      <c r="Y70" s="53" t="str">
        <f t="shared" si="31"/>
        <v>205.</v>
      </c>
      <c r="Z70" s="53" t="str">
        <f t="shared" si="32"/>
        <v>4697</v>
      </c>
      <c r="AA70" s="53">
        <f t="shared" si="33"/>
        <v>7</v>
      </c>
      <c r="AB70" s="53">
        <f t="shared" si="34"/>
        <v>8</v>
      </c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spans="1:41" ht="30" x14ac:dyDescent="0.25">
      <c r="A71" s="51" t="s">
        <v>55</v>
      </c>
      <c r="B71" s="51" t="s">
        <v>1234</v>
      </c>
      <c r="C71" s="51" t="s">
        <v>2897</v>
      </c>
      <c r="D71" s="51" t="s">
        <v>263</v>
      </c>
      <c r="E71" s="51" t="s">
        <v>2696</v>
      </c>
      <c r="F71" s="51">
        <v>9</v>
      </c>
      <c r="G71" s="51" t="s">
        <v>13</v>
      </c>
      <c r="H71" s="51">
        <v>14</v>
      </c>
      <c r="I71" s="51">
        <f t="shared" si="35"/>
        <v>126</v>
      </c>
      <c r="J71" s="51">
        <f t="shared" si="36"/>
        <v>104.5</v>
      </c>
      <c r="K71" s="51">
        <f t="shared" ref="K71:K134" si="39">_xlfn.RANK.EQ(I71,I71:I373)</f>
        <v>88</v>
      </c>
      <c r="L71" s="51">
        <f t="shared" si="37"/>
        <v>2079.5</v>
      </c>
      <c r="M71" s="51">
        <f t="shared" si="38"/>
        <v>107</v>
      </c>
      <c r="N71" s="53" t="b">
        <f t="shared" si="21"/>
        <v>0</v>
      </c>
      <c r="O71" s="53" t="b">
        <f t="shared" si="22"/>
        <v>0</v>
      </c>
      <c r="P71" s="53" t="str">
        <f t="shared" si="23"/>
        <v>ct9</v>
      </c>
      <c r="Q71" s="68" t="str">
        <f t="shared" si="24"/>
        <v>104.5
C005675</v>
      </c>
      <c r="R71" s="53" t="b">
        <f t="shared" si="25"/>
        <v>0</v>
      </c>
      <c r="S71" s="53"/>
      <c r="T71" s="53" t="str">
        <f t="shared" si="26"/>
        <v>CT</v>
      </c>
      <c r="U71" s="53" t="str">
        <f t="shared" si="27"/>
        <v>ct</v>
      </c>
      <c r="V71" s="53">
        <f t="shared" si="28"/>
        <v>1</v>
      </c>
      <c r="W71" s="53" t="str">
        <f t="shared" si="29"/>
        <v>ct 9</v>
      </c>
      <c r="X71" s="53" t="str">
        <f t="shared" si="30"/>
        <v>2879.5</v>
      </c>
      <c r="Y71" s="53" t="str">
        <f t="shared" si="31"/>
        <v>104.</v>
      </c>
      <c r="Z71" s="53" t="str">
        <f t="shared" si="32"/>
        <v>5675</v>
      </c>
      <c r="AA71" s="53">
        <f t="shared" si="33"/>
        <v>7</v>
      </c>
      <c r="AB71" s="53">
        <f t="shared" si="34"/>
        <v>4</v>
      </c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spans="1:41" ht="30" x14ac:dyDescent="0.25">
      <c r="A72" s="51" t="s">
        <v>519</v>
      </c>
      <c r="B72" s="51" t="s">
        <v>2898</v>
      </c>
      <c r="C72" s="51" t="s">
        <v>2899</v>
      </c>
      <c r="D72" s="51" t="s">
        <v>1407</v>
      </c>
      <c r="E72" s="51" t="s">
        <v>2743</v>
      </c>
      <c r="F72" s="51">
        <v>7</v>
      </c>
      <c r="G72" s="51" t="s">
        <v>13</v>
      </c>
      <c r="H72" s="51">
        <v>14</v>
      </c>
      <c r="I72" s="51">
        <f t="shared" si="35"/>
        <v>98</v>
      </c>
      <c r="J72" s="51">
        <f t="shared" si="36"/>
        <v>141</v>
      </c>
      <c r="K72" s="51">
        <f t="shared" si="39"/>
        <v>117</v>
      </c>
      <c r="L72" s="51">
        <f t="shared" si="37"/>
        <v>2079.5</v>
      </c>
      <c r="M72" s="51">
        <f t="shared" si="38"/>
        <v>107</v>
      </c>
      <c r="N72" s="53" t="b">
        <f t="shared" si="21"/>
        <v>0</v>
      </c>
      <c r="O72" s="53" t="b">
        <f t="shared" si="22"/>
        <v>0</v>
      </c>
      <c r="P72" s="53" t="str">
        <f t="shared" si="23"/>
        <v>ct7</v>
      </c>
      <c r="Q72" s="68" t="str">
        <f t="shared" si="24"/>
        <v>141
C003123</v>
      </c>
      <c r="R72" s="53" t="b">
        <f t="shared" si="25"/>
        <v>0</v>
      </c>
      <c r="S72" s="53"/>
      <c r="T72" s="53" t="str">
        <f t="shared" si="26"/>
        <v>CT</v>
      </c>
      <c r="U72" s="53" t="str">
        <f t="shared" si="27"/>
        <v>ct</v>
      </c>
      <c r="V72" s="53">
        <f t="shared" si="28"/>
        <v>1</v>
      </c>
      <c r="W72" s="53" t="str">
        <f t="shared" si="29"/>
        <v>ct 7</v>
      </c>
      <c r="X72" s="53" t="str">
        <f t="shared" si="30"/>
        <v>2879.5</v>
      </c>
      <c r="Y72" s="53" t="str">
        <f t="shared" si="31"/>
        <v xml:space="preserve">141
</v>
      </c>
      <c r="Z72" s="53" t="str">
        <f t="shared" si="32"/>
        <v>3123</v>
      </c>
      <c r="AA72" s="53">
        <f t="shared" si="33"/>
        <v>5</v>
      </c>
      <c r="AB72" s="53">
        <f t="shared" si="34"/>
        <v>2</v>
      </c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spans="1:41" ht="30" x14ac:dyDescent="0.25">
      <c r="A73" s="51" t="s">
        <v>76</v>
      </c>
      <c r="B73" s="51" t="s">
        <v>2900</v>
      </c>
      <c r="C73" s="51" t="s">
        <v>2901</v>
      </c>
      <c r="D73" s="51" t="s">
        <v>2310</v>
      </c>
      <c r="E73" s="51" t="s">
        <v>2689</v>
      </c>
      <c r="F73" s="51">
        <v>7</v>
      </c>
      <c r="G73" s="51" t="s">
        <v>13</v>
      </c>
      <c r="H73" s="51">
        <v>16</v>
      </c>
      <c r="I73" s="51">
        <f t="shared" si="35"/>
        <v>112</v>
      </c>
      <c r="J73" s="51">
        <f t="shared" si="36"/>
        <v>124.5</v>
      </c>
      <c r="K73" s="51">
        <f t="shared" si="39"/>
        <v>102</v>
      </c>
      <c r="L73" s="51">
        <f t="shared" si="37"/>
        <v>2079.5</v>
      </c>
      <c r="M73" s="51">
        <f t="shared" si="38"/>
        <v>107</v>
      </c>
      <c r="N73" s="53" t="b">
        <f t="shared" si="21"/>
        <v>0</v>
      </c>
      <c r="O73" s="53" t="b">
        <f t="shared" si="22"/>
        <v>0</v>
      </c>
      <c r="P73" s="53" t="str">
        <f t="shared" si="23"/>
        <v>ct7</v>
      </c>
      <c r="Q73" s="68" t="str">
        <f t="shared" si="24"/>
        <v>124.5
C002644</v>
      </c>
      <c r="R73" s="53" t="b">
        <f t="shared" si="25"/>
        <v>0</v>
      </c>
      <c r="S73" s="53"/>
      <c r="T73" s="53" t="str">
        <f t="shared" si="26"/>
        <v>CT</v>
      </c>
      <c r="U73" s="53" t="str">
        <f t="shared" si="27"/>
        <v>ct</v>
      </c>
      <c r="V73" s="53">
        <f t="shared" si="28"/>
        <v>1</v>
      </c>
      <c r="W73" s="53" t="str">
        <f t="shared" si="29"/>
        <v>ct 7</v>
      </c>
      <c r="X73" s="53" t="str">
        <f t="shared" si="30"/>
        <v>2879.5</v>
      </c>
      <c r="Y73" s="53" t="str">
        <f t="shared" si="31"/>
        <v>124.</v>
      </c>
      <c r="Z73" s="53" t="str">
        <f t="shared" si="32"/>
        <v>2644</v>
      </c>
      <c r="AA73" s="53">
        <f t="shared" si="33"/>
        <v>7</v>
      </c>
      <c r="AB73" s="53">
        <f t="shared" si="34"/>
        <v>2</v>
      </c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spans="1:41" ht="30" x14ac:dyDescent="0.25">
      <c r="A74" s="51" t="s">
        <v>359</v>
      </c>
      <c r="B74" s="51" t="s">
        <v>2902</v>
      </c>
      <c r="C74" s="51" t="s">
        <v>2903</v>
      </c>
      <c r="D74" s="51" t="s">
        <v>753</v>
      </c>
      <c r="E74" s="51" t="s">
        <v>527</v>
      </c>
      <c r="F74" s="51">
        <v>5</v>
      </c>
      <c r="G74" s="51" t="s">
        <v>35</v>
      </c>
      <c r="H74" s="51">
        <v>11.5</v>
      </c>
      <c r="I74" s="51">
        <f t="shared" si="35"/>
        <v>57.5</v>
      </c>
      <c r="J74" s="51">
        <f t="shared" si="36"/>
        <v>208</v>
      </c>
      <c r="K74" s="51">
        <f t="shared" si="39"/>
        <v>173</v>
      </c>
      <c r="L74" s="51">
        <f t="shared" si="37"/>
        <v>1010.75</v>
      </c>
      <c r="M74" s="51">
        <f t="shared" si="38"/>
        <v>59</v>
      </c>
      <c r="N74" s="53" t="b">
        <f t="shared" si="21"/>
        <v>0</v>
      </c>
      <c r="O74" s="53" t="b">
        <f t="shared" si="22"/>
        <v>1</v>
      </c>
      <c r="P74" s="53" t="str">
        <f t="shared" si="23"/>
        <v>cans5</v>
      </c>
      <c r="Q74" s="68" t="str">
        <f t="shared" si="24"/>
        <v>208
C008790</v>
      </c>
      <c r="R74" s="53" t="b">
        <f t="shared" si="25"/>
        <v>0</v>
      </c>
      <c r="S74" s="53"/>
      <c r="T74" s="53" t="str">
        <f t="shared" si="26"/>
        <v>CANS</v>
      </c>
      <c r="U74" s="53" t="str">
        <f t="shared" si="27"/>
        <v>cans</v>
      </c>
      <c r="V74" s="53">
        <f t="shared" si="28"/>
        <v>1</v>
      </c>
      <c r="W74" s="53" t="str">
        <f t="shared" si="29"/>
        <v>cans 5</v>
      </c>
      <c r="X74" s="53" t="str">
        <f t="shared" si="30"/>
        <v>1818.75</v>
      </c>
      <c r="Y74" s="53" t="str">
        <f t="shared" si="31"/>
        <v xml:space="preserve">208
</v>
      </c>
      <c r="Z74" s="53" t="str">
        <f t="shared" si="32"/>
        <v>8790</v>
      </c>
      <c r="AA74" s="53">
        <f t="shared" si="33"/>
        <v>5</v>
      </c>
      <c r="AB74" s="53">
        <f t="shared" si="34"/>
        <v>3</v>
      </c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spans="1:41" ht="30" x14ac:dyDescent="0.25">
      <c r="A75" s="51" t="s">
        <v>30</v>
      </c>
      <c r="B75" s="51" t="s">
        <v>2281</v>
      </c>
      <c r="C75" s="51" t="s">
        <v>2904</v>
      </c>
      <c r="D75" s="51" t="s">
        <v>128</v>
      </c>
      <c r="E75" s="51" t="s">
        <v>2905</v>
      </c>
      <c r="F75" s="51">
        <v>5</v>
      </c>
      <c r="G75" s="51" t="s">
        <v>106</v>
      </c>
      <c r="H75" s="51">
        <v>15</v>
      </c>
      <c r="I75" s="51">
        <f t="shared" si="35"/>
        <v>75</v>
      </c>
      <c r="J75" s="51">
        <f t="shared" si="36"/>
        <v>176.5</v>
      </c>
      <c r="K75" s="51">
        <f t="shared" si="39"/>
        <v>143</v>
      </c>
      <c r="L75" s="51">
        <f t="shared" si="37"/>
        <v>285</v>
      </c>
      <c r="M75" s="51">
        <f t="shared" si="38"/>
        <v>17</v>
      </c>
      <c r="N75" s="53" t="b">
        <f t="shared" si="21"/>
        <v>0</v>
      </c>
      <c r="O75" s="53" t="b">
        <f t="shared" si="22"/>
        <v>1</v>
      </c>
      <c r="P75" s="53" t="str">
        <f t="shared" si="23"/>
        <v>bags5</v>
      </c>
      <c r="Q75" s="68" t="str">
        <f t="shared" si="24"/>
        <v>176.5
C001509</v>
      </c>
      <c r="R75" s="53" t="b">
        <f t="shared" si="25"/>
        <v>0</v>
      </c>
      <c r="S75" s="53"/>
      <c r="T75" s="53" t="str">
        <f t="shared" si="26"/>
        <v>BAGS</v>
      </c>
      <c r="U75" s="53" t="str">
        <f t="shared" si="27"/>
        <v>bags</v>
      </c>
      <c r="V75" s="53">
        <f t="shared" si="28"/>
        <v>1</v>
      </c>
      <c r="W75" s="53" t="str">
        <f t="shared" si="29"/>
        <v>bags 5</v>
      </c>
      <c r="X75" s="53" t="str">
        <f t="shared" si="30"/>
        <v>285</v>
      </c>
      <c r="Y75" s="53" t="str">
        <f t="shared" si="31"/>
        <v>176.</v>
      </c>
      <c r="Z75" s="53" t="str">
        <f t="shared" si="32"/>
        <v>1509</v>
      </c>
      <c r="AA75" s="53">
        <f t="shared" si="33"/>
        <v>7</v>
      </c>
      <c r="AB75" s="53">
        <f t="shared" si="34"/>
        <v>2</v>
      </c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spans="1:41" ht="30" x14ac:dyDescent="0.25">
      <c r="A76" s="51" t="s">
        <v>125</v>
      </c>
      <c r="B76" s="51" t="s">
        <v>2906</v>
      </c>
      <c r="C76" s="51" t="s">
        <v>2907</v>
      </c>
      <c r="D76" s="51" t="s">
        <v>410</v>
      </c>
      <c r="E76" s="51" t="s">
        <v>2537</v>
      </c>
      <c r="F76" s="51">
        <v>7</v>
      </c>
      <c r="G76" s="51" t="s">
        <v>60</v>
      </c>
      <c r="H76" s="51">
        <v>24</v>
      </c>
      <c r="I76" s="51">
        <f t="shared" si="35"/>
        <v>168</v>
      </c>
      <c r="J76" s="51">
        <f t="shared" si="36"/>
        <v>55</v>
      </c>
      <c r="K76" s="51">
        <f t="shared" si="39"/>
        <v>45</v>
      </c>
      <c r="L76" s="51">
        <f t="shared" si="37"/>
        <v>908</v>
      </c>
      <c r="M76" s="51">
        <f t="shared" si="38"/>
        <v>50</v>
      </c>
      <c r="N76" s="53" t="b">
        <f t="shared" si="21"/>
        <v>0</v>
      </c>
      <c r="O76" s="53" t="b">
        <f t="shared" si="22"/>
        <v>1</v>
      </c>
      <c r="P76" s="53" t="str">
        <f t="shared" si="23"/>
        <v>bottles7</v>
      </c>
      <c r="Q76" s="68" t="str">
        <f t="shared" si="24"/>
        <v>55
C004074</v>
      </c>
      <c r="R76" s="53" t="b">
        <f t="shared" si="25"/>
        <v>0</v>
      </c>
      <c r="S76" s="53"/>
      <c r="T76" s="53" t="str">
        <f t="shared" si="26"/>
        <v>BOTTLES</v>
      </c>
      <c r="U76" s="53" t="str">
        <f t="shared" si="27"/>
        <v>bottles</v>
      </c>
      <c r="V76" s="53">
        <f t="shared" si="28"/>
        <v>1</v>
      </c>
      <c r="W76" s="53" t="str">
        <f t="shared" si="29"/>
        <v>bottles 7</v>
      </c>
      <c r="X76" s="53" t="str">
        <f t="shared" si="30"/>
        <v>988</v>
      </c>
      <c r="Y76" s="53" t="str">
        <f t="shared" si="31"/>
        <v>55
C</v>
      </c>
      <c r="Z76" s="53" t="str">
        <f t="shared" si="32"/>
        <v>4074</v>
      </c>
      <c r="AA76" s="53">
        <f t="shared" si="33"/>
        <v>4</v>
      </c>
      <c r="AB76" s="53">
        <f t="shared" si="34"/>
        <v>3</v>
      </c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</row>
    <row r="77" spans="1:41" ht="30" x14ac:dyDescent="0.25">
      <c r="A77" s="51" t="s">
        <v>162</v>
      </c>
      <c r="B77" s="51" t="s">
        <v>2908</v>
      </c>
      <c r="C77" s="51" t="s">
        <v>2909</v>
      </c>
      <c r="D77" s="51" t="s">
        <v>94</v>
      </c>
      <c r="E77" s="51" t="s">
        <v>946</v>
      </c>
      <c r="F77" s="51">
        <v>3</v>
      </c>
      <c r="G77" s="51" t="s">
        <v>13</v>
      </c>
      <c r="H77" s="51">
        <v>16</v>
      </c>
      <c r="I77" s="51">
        <f t="shared" si="35"/>
        <v>48</v>
      </c>
      <c r="J77" s="51">
        <f t="shared" si="36"/>
        <v>223.5</v>
      </c>
      <c r="K77" s="51">
        <f t="shared" si="39"/>
        <v>177</v>
      </c>
      <c r="L77" s="51">
        <f t="shared" si="37"/>
        <v>2079.5</v>
      </c>
      <c r="M77" s="51">
        <f t="shared" si="38"/>
        <v>107</v>
      </c>
      <c r="N77" s="53" t="b">
        <f t="shared" si="21"/>
        <v>0</v>
      </c>
      <c r="O77" s="53" t="b">
        <f t="shared" si="22"/>
        <v>1</v>
      </c>
      <c r="P77" s="53" t="str">
        <f t="shared" si="23"/>
        <v>ct3</v>
      </c>
      <c r="Q77" s="68" t="str">
        <f t="shared" si="24"/>
        <v>223.5
C000632</v>
      </c>
      <c r="R77" s="53" t="b">
        <f t="shared" si="25"/>
        <v>0</v>
      </c>
      <c r="S77" s="53"/>
      <c r="T77" s="53" t="str">
        <f t="shared" si="26"/>
        <v>CT</v>
      </c>
      <c r="U77" s="53" t="str">
        <f t="shared" si="27"/>
        <v>ct</v>
      </c>
      <c r="V77" s="53">
        <f t="shared" si="28"/>
        <v>1</v>
      </c>
      <c r="W77" s="53" t="str">
        <f t="shared" si="29"/>
        <v>ct 3</v>
      </c>
      <c r="X77" s="53" t="str">
        <f t="shared" si="30"/>
        <v>2879.5</v>
      </c>
      <c r="Y77" s="53" t="str">
        <f t="shared" si="31"/>
        <v>223.</v>
      </c>
      <c r="Z77" s="53" t="str">
        <f t="shared" si="32"/>
        <v>0632</v>
      </c>
      <c r="AA77" s="53">
        <f t="shared" si="33"/>
        <v>7</v>
      </c>
      <c r="AB77" s="53">
        <f t="shared" si="34"/>
        <v>2</v>
      </c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</row>
    <row r="78" spans="1:41" ht="30" x14ac:dyDescent="0.25">
      <c r="A78" s="51" t="s">
        <v>288</v>
      </c>
      <c r="B78" s="51" t="s">
        <v>2910</v>
      </c>
      <c r="C78" s="51" t="s">
        <v>2911</v>
      </c>
      <c r="D78" s="51" t="s">
        <v>930</v>
      </c>
      <c r="E78" s="51" t="s">
        <v>1637</v>
      </c>
      <c r="F78" s="51">
        <v>4</v>
      </c>
      <c r="G78" s="51" t="s">
        <v>60</v>
      </c>
      <c r="H78" s="51">
        <v>8</v>
      </c>
      <c r="I78" s="51">
        <f t="shared" si="35"/>
        <v>32</v>
      </c>
      <c r="J78" s="51">
        <f t="shared" si="36"/>
        <v>261</v>
      </c>
      <c r="K78" s="51">
        <f t="shared" si="39"/>
        <v>208</v>
      </c>
      <c r="L78" s="51">
        <f t="shared" si="37"/>
        <v>908</v>
      </c>
      <c r="M78" s="51">
        <f t="shared" si="38"/>
        <v>50</v>
      </c>
      <c r="N78" s="53" t="b">
        <f t="shared" si="21"/>
        <v>0</v>
      </c>
      <c r="O78" s="53" t="b">
        <f t="shared" si="22"/>
        <v>1</v>
      </c>
      <c r="P78" s="53" t="str">
        <f t="shared" si="23"/>
        <v>bottles4</v>
      </c>
      <c r="Q78" s="68" t="str">
        <f t="shared" si="24"/>
        <v>261
C001401</v>
      </c>
      <c r="R78" s="53" t="b">
        <f t="shared" si="25"/>
        <v>0</v>
      </c>
      <c r="S78" s="53"/>
      <c r="T78" s="53" t="str">
        <f t="shared" si="26"/>
        <v>BOTTLES</v>
      </c>
      <c r="U78" s="53" t="str">
        <f t="shared" si="27"/>
        <v>bottles</v>
      </c>
      <c r="V78" s="53">
        <f t="shared" si="28"/>
        <v>1</v>
      </c>
      <c r="W78" s="53" t="str">
        <f t="shared" si="29"/>
        <v>bottles 4</v>
      </c>
      <c r="X78" s="53" t="str">
        <f t="shared" si="30"/>
        <v>988</v>
      </c>
      <c r="Y78" s="53" t="str">
        <f t="shared" si="31"/>
        <v xml:space="preserve">261
</v>
      </c>
      <c r="Z78" s="53" t="str">
        <f t="shared" si="32"/>
        <v>1401</v>
      </c>
      <c r="AA78" s="53">
        <f t="shared" si="33"/>
        <v>5</v>
      </c>
      <c r="AB78" s="53">
        <f t="shared" si="34"/>
        <v>2</v>
      </c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</row>
    <row r="79" spans="1:41" ht="30" x14ac:dyDescent="0.25">
      <c r="A79" s="51" t="s">
        <v>283</v>
      </c>
      <c r="B79" s="51" t="s">
        <v>2912</v>
      </c>
      <c r="C79" s="51" t="s">
        <v>2913</v>
      </c>
      <c r="D79" s="51" t="s">
        <v>410</v>
      </c>
      <c r="E79" s="51" t="s">
        <v>1452</v>
      </c>
      <c r="F79" s="51">
        <v>3</v>
      </c>
      <c r="G79" s="51" t="s">
        <v>60</v>
      </c>
      <c r="H79" s="51">
        <v>24</v>
      </c>
      <c r="I79" s="51">
        <f t="shared" si="35"/>
        <v>72</v>
      </c>
      <c r="J79" s="51">
        <f t="shared" si="36"/>
        <v>182</v>
      </c>
      <c r="K79" s="51">
        <f t="shared" si="39"/>
        <v>144</v>
      </c>
      <c r="L79" s="51">
        <f t="shared" si="37"/>
        <v>908</v>
      </c>
      <c r="M79" s="51">
        <f t="shared" si="38"/>
        <v>50</v>
      </c>
      <c r="N79" s="53" t="b">
        <f t="shared" si="21"/>
        <v>0</v>
      </c>
      <c r="O79" s="53" t="b">
        <f t="shared" si="22"/>
        <v>1</v>
      </c>
      <c r="P79" s="53" t="str">
        <f t="shared" si="23"/>
        <v>bottles3</v>
      </c>
      <c r="Q79" s="68" t="str">
        <f t="shared" si="24"/>
        <v>182
C004811</v>
      </c>
      <c r="R79" s="53" t="b">
        <f t="shared" si="25"/>
        <v>0</v>
      </c>
      <c r="S79" s="53"/>
      <c r="T79" s="53" t="str">
        <f t="shared" si="26"/>
        <v>BOTTLES</v>
      </c>
      <c r="U79" s="53" t="str">
        <f t="shared" si="27"/>
        <v>bottles</v>
      </c>
      <c r="V79" s="53">
        <f t="shared" si="28"/>
        <v>1</v>
      </c>
      <c r="W79" s="53" t="str">
        <f t="shared" si="29"/>
        <v>bottles 3</v>
      </c>
      <c r="X79" s="53" t="str">
        <f t="shared" si="30"/>
        <v>988</v>
      </c>
      <c r="Y79" s="53" t="str">
        <f t="shared" si="31"/>
        <v xml:space="preserve">182
</v>
      </c>
      <c r="Z79" s="53" t="str">
        <f t="shared" si="32"/>
        <v>4811</v>
      </c>
      <c r="AA79" s="53">
        <f t="shared" si="33"/>
        <v>5</v>
      </c>
      <c r="AB79" s="53">
        <f t="shared" si="34"/>
        <v>2</v>
      </c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spans="1:41" ht="30" x14ac:dyDescent="0.25">
      <c r="A80" s="51" t="s">
        <v>519</v>
      </c>
      <c r="B80" s="51" t="s">
        <v>2914</v>
      </c>
      <c r="C80" s="51" t="s">
        <v>2915</v>
      </c>
      <c r="D80" s="51" t="s">
        <v>668</v>
      </c>
      <c r="E80" s="51" t="s">
        <v>629</v>
      </c>
      <c r="F80" s="51">
        <v>7</v>
      </c>
      <c r="G80" s="51" t="s">
        <v>19</v>
      </c>
      <c r="H80" s="51">
        <v>26</v>
      </c>
      <c r="I80" s="51">
        <f t="shared" si="35"/>
        <v>182</v>
      </c>
      <c r="J80" s="51">
        <f t="shared" si="36"/>
        <v>41</v>
      </c>
      <c r="K80" s="51">
        <f t="shared" si="39"/>
        <v>33</v>
      </c>
      <c r="L80" s="51">
        <f t="shared" si="37"/>
        <v>182</v>
      </c>
      <c r="M80" s="51">
        <f t="shared" si="38"/>
        <v>7</v>
      </c>
      <c r="N80" s="53" t="b">
        <f t="shared" si="21"/>
        <v>0</v>
      </c>
      <c r="O80" s="53" t="b">
        <f t="shared" si="22"/>
        <v>1</v>
      </c>
      <c r="P80" s="53" t="str">
        <f t="shared" si="23"/>
        <v>rolls7</v>
      </c>
      <c r="Q80" s="68" t="str">
        <f t="shared" si="24"/>
        <v>41
C001569</v>
      </c>
      <c r="R80" s="53" t="b">
        <f t="shared" si="25"/>
        <v>0</v>
      </c>
      <c r="S80" s="53"/>
      <c r="T80" s="53" t="str">
        <f t="shared" si="26"/>
        <v>ROLLS</v>
      </c>
      <c r="U80" s="53" t="str">
        <f t="shared" si="27"/>
        <v>rolls</v>
      </c>
      <c r="V80" s="53">
        <f t="shared" si="28"/>
        <v>1</v>
      </c>
      <c r="W80" s="53" t="str">
        <f t="shared" si="29"/>
        <v>rolls 7</v>
      </c>
      <c r="X80" s="53" t="str">
        <f t="shared" si="30"/>
        <v>182</v>
      </c>
      <c r="Y80" s="53" t="str">
        <f t="shared" si="31"/>
        <v>41
C</v>
      </c>
      <c r="Z80" s="53" t="str">
        <f t="shared" si="32"/>
        <v>1569</v>
      </c>
      <c r="AA80" s="53">
        <f t="shared" si="33"/>
        <v>4</v>
      </c>
      <c r="AB80" s="53">
        <f t="shared" si="34"/>
        <v>2</v>
      </c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spans="1:41" ht="30" x14ac:dyDescent="0.25">
      <c r="A81" s="51" t="s">
        <v>8</v>
      </c>
      <c r="B81" s="51" t="s">
        <v>1618</v>
      </c>
      <c r="C81" s="51" t="s">
        <v>2916</v>
      </c>
      <c r="D81" s="51" t="s">
        <v>1112</v>
      </c>
      <c r="E81" s="51" t="s">
        <v>1592</v>
      </c>
      <c r="F81" s="51">
        <v>2</v>
      </c>
      <c r="G81" s="51" t="s">
        <v>407</v>
      </c>
      <c r="H81" s="51">
        <v>14</v>
      </c>
      <c r="I81" s="51">
        <f t="shared" si="35"/>
        <v>28</v>
      </c>
      <c r="J81" s="51">
        <f t="shared" si="36"/>
        <v>270.5</v>
      </c>
      <c r="K81" s="51">
        <f t="shared" si="39"/>
        <v>216</v>
      </c>
      <c r="L81" s="51">
        <f t="shared" si="37"/>
        <v>182</v>
      </c>
      <c r="M81" s="51">
        <f t="shared" si="38"/>
        <v>12</v>
      </c>
      <c r="N81" s="53" t="b">
        <f t="shared" si="21"/>
        <v>0</v>
      </c>
      <c r="O81" s="53" t="b">
        <f t="shared" si="22"/>
        <v>1</v>
      </c>
      <c r="P81" s="53" t="str">
        <f t="shared" si="23"/>
        <v>pk2</v>
      </c>
      <c r="Q81" s="68" t="str">
        <f t="shared" si="24"/>
        <v>270.5
C002928</v>
      </c>
      <c r="R81" s="53" t="b">
        <f t="shared" si="25"/>
        <v>0</v>
      </c>
      <c r="S81" s="53"/>
      <c r="T81" s="53" t="str">
        <f t="shared" si="26"/>
        <v>PK</v>
      </c>
      <c r="U81" s="53" t="str">
        <f t="shared" si="27"/>
        <v>pk</v>
      </c>
      <c r="V81" s="53">
        <f t="shared" si="28"/>
        <v>1</v>
      </c>
      <c r="W81" s="53" t="str">
        <f t="shared" si="29"/>
        <v>pk 2</v>
      </c>
      <c r="X81" s="53" t="str">
        <f t="shared" si="30"/>
        <v>182</v>
      </c>
      <c r="Y81" s="53" t="str">
        <f t="shared" si="31"/>
        <v>270.</v>
      </c>
      <c r="Z81" s="53" t="str">
        <f t="shared" si="32"/>
        <v>2928</v>
      </c>
      <c r="AA81" s="53">
        <f t="shared" si="33"/>
        <v>7</v>
      </c>
      <c r="AB81" s="53">
        <f t="shared" si="34"/>
        <v>7</v>
      </c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spans="1:41" ht="30" x14ac:dyDescent="0.25">
      <c r="A82" s="51" t="s">
        <v>162</v>
      </c>
      <c r="B82" s="51" t="s">
        <v>2917</v>
      </c>
      <c r="C82" s="51" t="s">
        <v>2918</v>
      </c>
      <c r="D82" s="51" t="s">
        <v>741</v>
      </c>
      <c r="E82" s="51" t="s">
        <v>238</v>
      </c>
      <c r="F82" s="51">
        <v>6</v>
      </c>
      <c r="G82" s="51" t="s">
        <v>13</v>
      </c>
      <c r="H82" s="51">
        <v>16</v>
      </c>
      <c r="I82" s="51">
        <f t="shared" si="35"/>
        <v>96</v>
      </c>
      <c r="J82" s="51">
        <f t="shared" si="36"/>
        <v>147.5</v>
      </c>
      <c r="K82" s="51">
        <f t="shared" si="39"/>
        <v>116</v>
      </c>
      <c r="L82" s="51">
        <f t="shared" si="37"/>
        <v>2079.5</v>
      </c>
      <c r="M82" s="51">
        <f t="shared" si="38"/>
        <v>107</v>
      </c>
      <c r="N82" s="53" t="b">
        <f t="shared" si="21"/>
        <v>0</v>
      </c>
      <c r="O82" s="53" t="b">
        <f t="shared" si="22"/>
        <v>0</v>
      </c>
      <c r="P82" s="53" t="str">
        <f t="shared" si="23"/>
        <v>ct6</v>
      </c>
      <c r="Q82" s="68" t="str">
        <f t="shared" si="24"/>
        <v>147.5
C007402</v>
      </c>
      <c r="R82" s="53" t="b">
        <f t="shared" si="25"/>
        <v>0</v>
      </c>
      <c r="S82" s="53"/>
      <c r="T82" s="53" t="str">
        <f t="shared" si="26"/>
        <v>CT</v>
      </c>
      <c r="U82" s="53" t="str">
        <f t="shared" si="27"/>
        <v>ct</v>
      </c>
      <c r="V82" s="53">
        <f t="shared" si="28"/>
        <v>1</v>
      </c>
      <c r="W82" s="53" t="str">
        <f t="shared" si="29"/>
        <v>ct 6</v>
      </c>
      <c r="X82" s="53" t="str">
        <f t="shared" si="30"/>
        <v>2879.5</v>
      </c>
      <c r="Y82" s="53" t="str">
        <f t="shared" si="31"/>
        <v>147.</v>
      </c>
      <c r="Z82" s="53" t="str">
        <f t="shared" si="32"/>
        <v>7402</v>
      </c>
      <c r="AA82" s="53">
        <f t="shared" si="33"/>
        <v>7</v>
      </c>
      <c r="AB82" s="53">
        <f t="shared" si="34"/>
        <v>7</v>
      </c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spans="1:41" ht="30" x14ac:dyDescent="0.25">
      <c r="A83" s="51" t="s">
        <v>459</v>
      </c>
      <c r="B83" s="51" t="s">
        <v>2919</v>
      </c>
      <c r="C83" s="51" t="s">
        <v>2920</v>
      </c>
      <c r="D83" s="51" t="s">
        <v>1784</v>
      </c>
      <c r="E83" s="51" t="s">
        <v>2632</v>
      </c>
      <c r="F83" s="51">
        <v>7</v>
      </c>
      <c r="G83" s="51" t="s">
        <v>1786</v>
      </c>
      <c r="H83" s="51">
        <v>16</v>
      </c>
      <c r="I83" s="51">
        <f t="shared" si="35"/>
        <v>112</v>
      </c>
      <c r="J83" s="51">
        <f t="shared" si="36"/>
        <v>124.5</v>
      </c>
      <c r="K83" s="51">
        <f t="shared" si="39"/>
        <v>100</v>
      </c>
      <c r="L83" s="51">
        <f t="shared" si="37"/>
        <v>32</v>
      </c>
      <c r="M83" s="51">
        <f t="shared" si="38"/>
        <v>2</v>
      </c>
      <c r="N83" s="53" t="b">
        <f t="shared" si="21"/>
        <v>0</v>
      </c>
      <c r="O83" s="53" t="b">
        <f t="shared" si="22"/>
        <v>0</v>
      </c>
      <c r="P83" s="53" t="str">
        <f t="shared" si="23"/>
        <v>botlltes7</v>
      </c>
      <c r="Q83" s="68" t="str">
        <f t="shared" si="24"/>
        <v>124.5
C002434</v>
      </c>
      <c r="R83" s="53" t="b">
        <f t="shared" si="25"/>
        <v>0</v>
      </c>
      <c r="S83" s="53"/>
      <c r="T83" s="53" t="str">
        <f t="shared" si="26"/>
        <v>BOTLLTES</v>
      </c>
      <c r="U83" s="53" t="str">
        <f t="shared" si="27"/>
        <v>botlltes</v>
      </c>
      <c r="V83" s="53">
        <f t="shared" si="28"/>
        <v>1</v>
      </c>
      <c r="W83" s="53" t="str">
        <f t="shared" si="29"/>
        <v>botlltes 7</v>
      </c>
      <c r="X83" s="53" t="str">
        <f t="shared" si="30"/>
        <v>32</v>
      </c>
      <c r="Y83" s="53" t="str">
        <f t="shared" si="31"/>
        <v>124.</v>
      </c>
      <c r="Z83" s="53" t="str">
        <f t="shared" si="32"/>
        <v>2434</v>
      </c>
      <c r="AA83" s="53">
        <f t="shared" si="33"/>
        <v>7</v>
      </c>
      <c r="AB83" s="53">
        <f t="shared" si="34"/>
        <v>2</v>
      </c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</row>
    <row r="84" spans="1:41" ht="30" x14ac:dyDescent="0.25">
      <c r="A84" s="51" t="s">
        <v>76</v>
      </c>
      <c r="B84" s="51" t="s">
        <v>2921</v>
      </c>
      <c r="C84" s="51" t="s">
        <v>2922</v>
      </c>
      <c r="D84" s="51" t="s">
        <v>252</v>
      </c>
      <c r="E84" s="51" t="s">
        <v>1527</v>
      </c>
      <c r="F84" s="51">
        <v>9</v>
      </c>
      <c r="G84" s="51" t="s">
        <v>35</v>
      </c>
      <c r="H84" s="51">
        <v>6.75</v>
      </c>
      <c r="I84" s="51">
        <f t="shared" si="35"/>
        <v>60.75</v>
      </c>
      <c r="J84" s="51">
        <f t="shared" si="36"/>
        <v>203</v>
      </c>
      <c r="K84" s="51">
        <f t="shared" si="39"/>
        <v>163</v>
      </c>
      <c r="L84" s="51">
        <f t="shared" si="37"/>
        <v>1010.75</v>
      </c>
      <c r="M84" s="51">
        <f t="shared" si="38"/>
        <v>59</v>
      </c>
      <c r="N84" s="53" t="b">
        <f t="shared" si="21"/>
        <v>0</v>
      </c>
      <c r="O84" s="53" t="b">
        <f t="shared" si="22"/>
        <v>1</v>
      </c>
      <c r="P84" s="53" t="str">
        <f t="shared" si="23"/>
        <v>cans9</v>
      </c>
      <c r="Q84" s="68" t="str">
        <f t="shared" si="24"/>
        <v>203
C003190</v>
      </c>
      <c r="R84" s="53" t="b">
        <f t="shared" si="25"/>
        <v>0</v>
      </c>
      <c r="S84" s="53"/>
      <c r="T84" s="53" t="str">
        <f t="shared" si="26"/>
        <v>CANS</v>
      </c>
      <c r="U84" s="53" t="str">
        <f t="shared" si="27"/>
        <v>cans</v>
      </c>
      <c r="V84" s="53">
        <f t="shared" si="28"/>
        <v>1</v>
      </c>
      <c r="W84" s="53" t="str">
        <f t="shared" si="29"/>
        <v>cans 9</v>
      </c>
      <c r="X84" s="53" t="str">
        <f t="shared" si="30"/>
        <v>1818.75</v>
      </c>
      <c r="Y84" s="53" t="str">
        <f t="shared" si="31"/>
        <v xml:space="preserve">203
</v>
      </c>
      <c r="Z84" s="53" t="str">
        <f t="shared" si="32"/>
        <v>3190</v>
      </c>
      <c r="AA84" s="53">
        <f t="shared" si="33"/>
        <v>5</v>
      </c>
      <c r="AB84" s="53">
        <f t="shared" si="34"/>
        <v>2</v>
      </c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</row>
    <row r="85" spans="1:41" ht="30" x14ac:dyDescent="0.25">
      <c r="A85" s="51" t="s">
        <v>173</v>
      </c>
      <c r="B85" s="51" t="s">
        <v>2923</v>
      </c>
      <c r="C85" s="51" t="s">
        <v>2924</v>
      </c>
      <c r="D85" s="51" t="s">
        <v>661</v>
      </c>
      <c r="E85" s="51" t="s">
        <v>2318</v>
      </c>
      <c r="F85" s="51">
        <v>3</v>
      </c>
      <c r="G85" s="51" t="s">
        <v>407</v>
      </c>
      <c r="H85" s="51">
        <v>12</v>
      </c>
      <c r="I85" s="51">
        <f t="shared" si="35"/>
        <v>36</v>
      </c>
      <c r="J85" s="51">
        <f t="shared" si="36"/>
        <v>246</v>
      </c>
      <c r="K85" s="51">
        <f t="shared" si="39"/>
        <v>193</v>
      </c>
      <c r="L85" s="51">
        <f t="shared" si="37"/>
        <v>182</v>
      </c>
      <c r="M85" s="51">
        <f t="shared" si="38"/>
        <v>12</v>
      </c>
      <c r="N85" s="53" t="b">
        <f t="shared" si="21"/>
        <v>0</v>
      </c>
      <c r="O85" s="53" t="b">
        <f t="shared" si="22"/>
        <v>1</v>
      </c>
      <c r="P85" s="53" t="str">
        <f t="shared" si="23"/>
        <v>pk3</v>
      </c>
      <c r="Q85" s="68" t="str">
        <f t="shared" si="24"/>
        <v>246
C002278</v>
      </c>
      <c r="R85" s="53" t="b">
        <f t="shared" si="25"/>
        <v>0</v>
      </c>
      <c r="S85" s="53"/>
      <c r="T85" s="53" t="str">
        <f t="shared" si="26"/>
        <v>PK</v>
      </c>
      <c r="U85" s="53" t="str">
        <f t="shared" si="27"/>
        <v>pk</v>
      </c>
      <c r="V85" s="53">
        <f t="shared" si="28"/>
        <v>1</v>
      </c>
      <c r="W85" s="53" t="str">
        <f t="shared" si="29"/>
        <v>pk 3</v>
      </c>
      <c r="X85" s="53" t="str">
        <f t="shared" si="30"/>
        <v>182</v>
      </c>
      <c r="Y85" s="53" t="str">
        <f t="shared" si="31"/>
        <v xml:space="preserve">246
</v>
      </c>
      <c r="Z85" s="53" t="str">
        <f t="shared" si="32"/>
        <v>2278</v>
      </c>
      <c r="AA85" s="53">
        <f t="shared" si="33"/>
        <v>5</v>
      </c>
      <c r="AB85" s="53">
        <f t="shared" si="34"/>
        <v>2</v>
      </c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</row>
    <row r="86" spans="1:41" ht="30" x14ac:dyDescent="0.25">
      <c r="A86" s="51" t="s">
        <v>339</v>
      </c>
      <c r="B86" s="51" t="s">
        <v>2380</v>
      </c>
      <c r="C86" s="51" t="s">
        <v>2925</v>
      </c>
      <c r="D86" s="51" t="s">
        <v>1081</v>
      </c>
      <c r="E86" s="51" t="s">
        <v>2926</v>
      </c>
      <c r="F86" s="51">
        <v>1</v>
      </c>
      <c r="G86" s="51" t="s">
        <v>13</v>
      </c>
      <c r="H86" s="51">
        <v>15</v>
      </c>
      <c r="I86" s="51">
        <f t="shared" si="35"/>
        <v>15</v>
      </c>
      <c r="J86" s="51">
        <f t="shared" si="36"/>
        <v>291</v>
      </c>
      <c r="K86" s="51">
        <f t="shared" si="39"/>
        <v>229</v>
      </c>
      <c r="L86" s="51">
        <f t="shared" si="37"/>
        <v>2079.5</v>
      </c>
      <c r="M86" s="51">
        <f t="shared" si="38"/>
        <v>107</v>
      </c>
      <c r="N86" s="53" t="b">
        <f t="shared" ref="N86:N149" si="40">AND(J86&gt;150, J86&lt;60)</f>
        <v>0</v>
      </c>
      <c r="O86" s="53" t="b">
        <f t="shared" ref="O86:O149" si="41">OR(J86&gt;150,J86&lt;100)</f>
        <v>1</v>
      </c>
      <c r="P86" s="53" t="str">
        <f t="shared" ref="P86:P149" si="42">_xlfn.CONCAT(G86,F86)</f>
        <v>ct1</v>
      </c>
      <c r="Q86" s="68" t="str">
        <f t="shared" ref="Q86:Q149" si="43">_xlfn.CONCAT(J86,CHAR(10),B86)</f>
        <v>291
C006146</v>
      </c>
      <c r="R86" s="53" t="b">
        <f t="shared" ref="R86:R149" si="44">EXACT(J86,K86)</f>
        <v>0</v>
      </c>
      <c r="S86" s="53"/>
      <c r="T86" s="53" t="str">
        <f t="shared" ref="T86:T149" si="45">UPPER(G86)</f>
        <v>CT</v>
      </c>
      <c r="U86" s="53" t="str">
        <f t="shared" ref="U86:U149" si="46">LOWER(G86)</f>
        <v>ct</v>
      </c>
      <c r="V86" s="53">
        <f t="shared" ref="V86:V149" si="47">SEARCH("T",C86)</f>
        <v>1</v>
      </c>
      <c r="W86" s="53" t="str">
        <f t="shared" ref="W86:W149" si="48">_xlfn.TEXTJOIN(" ",FALSE,G86,F86)</f>
        <v>ct 1</v>
      </c>
      <c r="X86" s="53" t="str">
        <f t="shared" ref="X86:X149" si="49">SUBSTITUTE(L86,"0",8)</f>
        <v>2879.5</v>
      </c>
      <c r="Y86" s="53" t="str">
        <f t="shared" ref="Y86:Y149" si="50">LEFT(Q86,4)</f>
        <v xml:space="preserve">291
</v>
      </c>
      <c r="Z86" s="53" t="str">
        <f t="shared" ref="Z86:Z149" si="51">RIGHT(Q86,4)</f>
        <v>6146</v>
      </c>
      <c r="AA86" s="53">
        <f t="shared" ref="AA86:AA149" si="52">FIND("C",Q86)</f>
        <v>5</v>
      </c>
      <c r="AB86" s="53">
        <f t="shared" ref="AB86:AB149" si="53">LEN(T99)</f>
        <v>2</v>
      </c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</row>
    <row r="87" spans="1:41" ht="30" x14ac:dyDescent="0.25">
      <c r="A87" s="51" t="s">
        <v>168</v>
      </c>
      <c r="B87" s="51" t="s">
        <v>2927</v>
      </c>
      <c r="C87" s="51" t="s">
        <v>2928</v>
      </c>
      <c r="D87" s="51" t="s">
        <v>1236</v>
      </c>
      <c r="E87" s="51" t="s">
        <v>2929</v>
      </c>
      <c r="F87" s="51">
        <v>6</v>
      </c>
      <c r="G87" s="51" t="s">
        <v>269</v>
      </c>
      <c r="H87" s="51">
        <v>12</v>
      </c>
      <c r="I87" s="51">
        <f t="shared" si="35"/>
        <v>72</v>
      </c>
      <c r="J87" s="51">
        <f t="shared" si="36"/>
        <v>182</v>
      </c>
      <c r="K87" s="51">
        <f t="shared" si="39"/>
        <v>141</v>
      </c>
      <c r="L87" s="51">
        <f t="shared" si="37"/>
        <v>123</v>
      </c>
      <c r="M87" s="51">
        <f t="shared" si="38"/>
        <v>9</v>
      </c>
      <c r="N87" s="53" t="b">
        <f t="shared" si="40"/>
        <v>0</v>
      </c>
      <c r="O87" s="53" t="b">
        <f t="shared" si="41"/>
        <v>1</v>
      </c>
      <c r="P87" s="53" t="str">
        <f t="shared" si="42"/>
        <v>ct.6</v>
      </c>
      <c r="Q87" s="68" t="str">
        <f t="shared" si="43"/>
        <v>182
C003212</v>
      </c>
      <c r="R87" s="53" t="b">
        <f t="shared" si="44"/>
        <v>0</v>
      </c>
      <c r="S87" s="53"/>
      <c r="T87" s="53" t="str">
        <f t="shared" si="45"/>
        <v>CT.</v>
      </c>
      <c r="U87" s="53" t="str">
        <f t="shared" si="46"/>
        <v>ct.</v>
      </c>
      <c r="V87" s="53">
        <f t="shared" si="47"/>
        <v>1</v>
      </c>
      <c r="W87" s="53" t="str">
        <f t="shared" si="48"/>
        <v>ct. 6</v>
      </c>
      <c r="X87" s="53" t="str">
        <f t="shared" si="49"/>
        <v>123</v>
      </c>
      <c r="Y87" s="53" t="str">
        <f t="shared" si="50"/>
        <v xml:space="preserve">182
</v>
      </c>
      <c r="Z87" s="53" t="str">
        <f t="shared" si="51"/>
        <v>3212</v>
      </c>
      <c r="AA87" s="53">
        <f t="shared" si="52"/>
        <v>5</v>
      </c>
      <c r="AB87" s="53">
        <f t="shared" si="53"/>
        <v>2</v>
      </c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</row>
    <row r="88" spans="1:41" ht="30" x14ac:dyDescent="0.25">
      <c r="A88" s="51" t="s">
        <v>125</v>
      </c>
      <c r="B88" s="51" t="s">
        <v>2930</v>
      </c>
      <c r="C88" s="51" t="s">
        <v>2931</v>
      </c>
      <c r="D88" s="51" t="s">
        <v>785</v>
      </c>
      <c r="E88" s="51" t="s">
        <v>2932</v>
      </c>
      <c r="F88" s="51">
        <v>6</v>
      </c>
      <c r="G88" s="51" t="s">
        <v>13</v>
      </c>
      <c r="H88" s="51">
        <v>29</v>
      </c>
      <c r="I88" s="51">
        <f t="shared" si="35"/>
        <v>174</v>
      </c>
      <c r="J88" s="51">
        <f t="shared" si="36"/>
        <v>51</v>
      </c>
      <c r="K88" s="51">
        <f t="shared" si="39"/>
        <v>41</v>
      </c>
      <c r="L88" s="51">
        <f t="shared" si="37"/>
        <v>2079.5</v>
      </c>
      <c r="M88" s="51">
        <f t="shared" si="38"/>
        <v>107</v>
      </c>
      <c r="N88" s="53" t="b">
        <f t="shared" si="40"/>
        <v>0</v>
      </c>
      <c r="O88" s="53" t="b">
        <f t="shared" si="41"/>
        <v>1</v>
      </c>
      <c r="P88" s="53" t="str">
        <f t="shared" si="42"/>
        <v>ct6</v>
      </c>
      <c r="Q88" s="68" t="str">
        <f t="shared" si="43"/>
        <v>51
C004571</v>
      </c>
      <c r="R88" s="53" t="b">
        <f t="shared" si="44"/>
        <v>0</v>
      </c>
      <c r="S88" s="53"/>
      <c r="T88" s="53" t="str">
        <f t="shared" si="45"/>
        <v>CT</v>
      </c>
      <c r="U88" s="53" t="str">
        <f t="shared" si="46"/>
        <v>ct</v>
      </c>
      <c r="V88" s="53">
        <f t="shared" si="47"/>
        <v>1</v>
      </c>
      <c r="W88" s="53" t="str">
        <f t="shared" si="48"/>
        <v>ct 6</v>
      </c>
      <c r="X88" s="53" t="str">
        <f t="shared" si="49"/>
        <v>2879.5</v>
      </c>
      <c r="Y88" s="53" t="str">
        <f t="shared" si="50"/>
        <v>51
C</v>
      </c>
      <c r="Z88" s="53" t="str">
        <f t="shared" si="51"/>
        <v>4571</v>
      </c>
      <c r="AA88" s="53">
        <f t="shared" si="52"/>
        <v>4</v>
      </c>
      <c r="AB88" s="53">
        <f t="shared" si="53"/>
        <v>7</v>
      </c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</row>
    <row r="89" spans="1:41" ht="30" x14ac:dyDescent="0.25">
      <c r="A89" s="51" t="s">
        <v>743</v>
      </c>
      <c r="B89" s="51" t="s">
        <v>2933</v>
      </c>
      <c r="C89" s="51" t="s">
        <v>2934</v>
      </c>
      <c r="D89" s="51" t="s">
        <v>778</v>
      </c>
      <c r="E89" s="51" t="s">
        <v>1400</v>
      </c>
      <c r="F89" s="51">
        <v>9</v>
      </c>
      <c r="G89" s="51" t="s">
        <v>269</v>
      </c>
      <c r="H89" s="51">
        <v>15</v>
      </c>
      <c r="I89" s="51">
        <f t="shared" si="35"/>
        <v>135</v>
      </c>
      <c r="J89" s="51">
        <f t="shared" si="36"/>
        <v>95.5</v>
      </c>
      <c r="K89" s="51">
        <f t="shared" si="39"/>
        <v>77</v>
      </c>
      <c r="L89" s="51">
        <f t="shared" si="37"/>
        <v>123</v>
      </c>
      <c r="M89" s="51">
        <f t="shared" si="38"/>
        <v>9</v>
      </c>
      <c r="N89" s="53" t="b">
        <f t="shared" si="40"/>
        <v>0</v>
      </c>
      <c r="O89" s="53" t="b">
        <f t="shared" si="41"/>
        <v>1</v>
      </c>
      <c r="P89" s="53" t="str">
        <f t="shared" si="42"/>
        <v>ct.9</v>
      </c>
      <c r="Q89" s="68" t="str">
        <f t="shared" si="43"/>
        <v>95.5
C001674</v>
      </c>
      <c r="R89" s="53" t="b">
        <f t="shared" si="44"/>
        <v>0</v>
      </c>
      <c r="S89" s="53"/>
      <c r="T89" s="53" t="str">
        <f t="shared" si="45"/>
        <v>CT.</v>
      </c>
      <c r="U89" s="53" t="str">
        <f t="shared" si="46"/>
        <v>ct.</v>
      </c>
      <c r="V89" s="53">
        <f t="shared" si="47"/>
        <v>1</v>
      </c>
      <c r="W89" s="53" t="str">
        <f t="shared" si="48"/>
        <v>ct. 9</v>
      </c>
      <c r="X89" s="53" t="str">
        <f t="shared" si="49"/>
        <v>123</v>
      </c>
      <c r="Y89" s="53" t="str">
        <f t="shared" si="50"/>
        <v>95.5</v>
      </c>
      <c r="Z89" s="53" t="str">
        <f t="shared" si="51"/>
        <v>1674</v>
      </c>
      <c r="AA89" s="53">
        <f t="shared" si="52"/>
        <v>6</v>
      </c>
      <c r="AB89" s="53">
        <f t="shared" si="53"/>
        <v>2</v>
      </c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</row>
    <row r="90" spans="1:41" ht="30" x14ac:dyDescent="0.25">
      <c r="A90" s="51" t="s">
        <v>96</v>
      </c>
      <c r="B90" s="51" t="s">
        <v>2935</v>
      </c>
      <c r="C90" s="51" t="s">
        <v>2936</v>
      </c>
      <c r="D90" s="51" t="s">
        <v>370</v>
      </c>
      <c r="E90" s="51" t="s">
        <v>18</v>
      </c>
      <c r="F90" s="51">
        <v>4</v>
      </c>
      <c r="G90" s="51" t="s">
        <v>167</v>
      </c>
      <c r="H90" s="51">
        <v>17</v>
      </c>
      <c r="I90" s="51">
        <f t="shared" si="35"/>
        <v>68</v>
      </c>
      <c r="J90" s="51">
        <f t="shared" si="36"/>
        <v>188</v>
      </c>
      <c r="K90" s="51">
        <f t="shared" si="39"/>
        <v>146</v>
      </c>
      <c r="L90" s="51">
        <f t="shared" si="37"/>
        <v>307</v>
      </c>
      <c r="M90" s="51">
        <f t="shared" si="38"/>
        <v>19</v>
      </c>
      <c r="N90" s="53" t="b">
        <f t="shared" si="40"/>
        <v>0</v>
      </c>
      <c r="O90" s="53" t="b">
        <f t="shared" si="41"/>
        <v>1</v>
      </c>
      <c r="P90" s="53" t="str">
        <f t="shared" si="42"/>
        <v>oz4</v>
      </c>
      <c r="Q90" s="68" t="str">
        <f t="shared" si="43"/>
        <v>188
C003032</v>
      </c>
      <c r="R90" s="53" t="b">
        <f t="shared" si="44"/>
        <v>0</v>
      </c>
      <c r="S90" s="53"/>
      <c r="T90" s="53" t="str">
        <f t="shared" si="45"/>
        <v>OZ</v>
      </c>
      <c r="U90" s="53" t="str">
        <f t="shared" si="46"/>
        <v>oz</v>
      </c>
      <c r="V90" s="53">
        <f t="shared" si="47"/>
        <v>1</v>
      </c>
      <c r="W90" s="53" t="str">
        <f t="shared" si="48"/>
        <v>oz 4</v>
      </c>
      <c r="X90" s="53" t="str">
        <f t="shared" si="49"/>
        <v>387</v>
      </c>
      <c r="Y90" s="53" t="str">
        <f t="shared" si="50"/>
        <v xml:space="preserve">188
</v>
      </c>
      <c r="Z90" s="53" t="str">
        <f t="shared" si="51"/>
        <v>3032</v>
      </c>
      <c r="AA90" s="53">
        <f t="shared" si="52"/>
        <v>5</v>
      </c>
      <c r="AB90" s="53">
        <f t="shared" si="53"/>
        <v>2</v>
      </c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</row>
    <row r="91" spans="1:41" ht="30" x14ac:dyDescent="0.25">
      <c r="A91" s="51" t="s">
        <v>82</v>
      </c>
      <c r="B91" s="51" t="s">
        <v>2937</v>
      </c>
      <c r="C91" s="51" t="s">
        <v>2938</v>
      </c>
      <c r="D91" s="51" t="s">
        <v>330</v>
      </c>
      <c r="E91" s="51" t="s">
        <v>291</v>
      </c>
      <c r="F91" s="51">
        <v>2</v>
      </c>
      <c r="G91" s="51" t="s">
        <v>13</v>
      </c>
      <c r="H91" s="51">
        <v>17</v>
      </c>
      <c r="I91" s="51">
        <f t="shared" si="35"/>
        <v>34</v>
      </c>
      <c r="J91" s="51">
        <f t="shared" si="36"/>
        <v>250</v>
      </c>
      <c r="K91" s="51">
        <f t="shared" si="39"/>
        <v>191</v>
      </c>
      <c r="L91" s="51">
        <f t="shared" si="37"/>
        <v>2079.5</v>
      </c>
      <c r="M91" s="51">
        <f t="shared" si="38"/>
        <v>107</v>
      </c>
      <c r="N91" s="53" t="b">
        <f t="shared" si="40"/>
        <v>0</v>
      </c>
      <c r="O91" s="53" t="b">
        <f t="shared" si="41"/>
        <v>1</v>
      </c>
      <c r="P91" s="53" t="str">
        <f t="shared" si="42"/>
        <v>ct2</v>
      </c>
      <c r="Q91" s="68" t="str">
        <f t="shared" si="43"/>
        <v>250
C004654</v>
      </c>
      <c r="R91" s="53" t="b">
        <f t="shared" si="44"/>
        <v>0</v>
      </c>
      <c r="S91" s="53"/>
      <c r="T91" s="53" t="str">
        <f t="shared" si="45"/>
        <v>CT</v>
      </c>
      <c r="U91" s="53" t="str">
        <f t="shared" si="46"/>
        <v>ct</v>
      </c>
      <c r="V91" s="53">
        <f t="shared" si="47"/>
        <v>1</v>
      </c>
      <c r="W91" s="53" t="str">
        <f t="shared" si="48"/>
        <v>ct 2</v>
      </c>
      <c r="X91" s="53" t="str">
        <f t="shared" si="49"/>
        <v>2879.5</v>
      </c>
      <c r="Y91" s="53" t="str">
        <f t="shared" si="50"/>
        <v xml:space="preserve">250
</v>
      </c>
      <c r="Z91" s="53" t="str">
        <f t="shared" si="51"/>
        <v>4654</v>
      </c>
      <c r="AA91" s="53">
        <f t="shared" si="52"/>
        <v>5</v>
      </c>
      <c r="AB91" s="53">
        <f t="shared" si="53"/>
        <v>4</v>
      </c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</row>
    <row r="92" spans="1:41" ht="30" x14ac:dyDescent="0.25">
      <c r="A92" s="51" t="s">
        <v>173</v>
      </c>
      <c r="B92" s="51" t="s">
        <v>1489</v>
      </c>
      <c r="C92" s="51" t="s">
        <v>2939</v>
      </c>
      <c r="D92" s="51" t="s">
        <v>541</v>
      </c>
      <c r="E92" s="51" t="s">
        <v>2083</v>
      </c>
      <c r="F92" s="51">
        <v>9</v>
      </c>
      <c r="G92" s="51" t="s">
        <v>13</v>
      </c>
      <c r="H92" s="51">
        <v>13.5</v>
      </c>
      <c r="I92" s="51">
        <f t="shared" si="35"/>
        <v>121.5</v>
      </c>
      <c r="J92" s="51">
        <f t="shared" si="36"/>
        <v>107</v>
      </c>
      <c r="K92" s="51">
        <f t="shared" si="39"/>
        <v>84</v>
      </c>
      <c r="L92" s="51">
        <f t="shared" si="37"/>
        <v>2079.5</v>
      </c>
      <c r="M92" s="51">
        <f t="shared" si="38"/>
        <v>107</v>
      </c>
      <c r="N92" s="53" t="b">
        <f t="shared" si="40"/>
        <v>0</v>
      </c>
      <c r="O92" s="53" t="b">
        <f t="shared" si="41"/>
        <v>0</v>
      </c>
      <c r="P92" s="53" t="str">
        <f t="shared" si="42"/>
        <v>ct9</v>
      </c>
      <c r="Q92" s="68" t="str">
        <f t="shared" si="43"/>
        <v>107
C008009</v>
      </c>
      <c r="R92" s="53" t="b">
        <f t="shared" si="44"/>
        <v>0</v>
      </c>
      <c r="S92" s="53"/>
      <c r="T92" s="53" t="str">
        <f t="shared" si="45"/>
        <v>CT</v>
      </c>
      <c r="U92" s="53" t="str">
        <f t="shared" si="46"/>
        <v>ct</v>
      </c>
      <c r="V92" s="53">
        <f t="shared" si="47"/>
        <v>1</v>
      </c>
      <c r="W92" s="53" t="str">
        <f t="shared" si="48"/>
        <v>ct 9</v>
      </c>
      <c r="X92" s="53" t="str">
        <f t="shared" si="49"/>
        <v>2879.5</v>
      </c>
      <c r="Y92" s="53" t="str">
        <f t="shared" si="50"/>
        <v xml:space="preserve">107
</v>
      </c>
      <c r="Z92" s="53" t="str">
        <f t="shared" si="51"/>
        <v>8009</v>
      </c>
      <c r="AA92" s="53">
        <f t="shared" si="52"/>
        <v>5</v>
      </c>
      <c r="AB92" s="53">
        <f t="shared" si="53"/>
        <v>4</v>
      </c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</row>
    <row r="93" spans="1:41" ht="30" x14ac:dyDescent="0.25">
      <c r="A93" s="51" t="s">
        <v>76</v>
      </c>
      <c r="B93" s="51" t="s">
        <v>2940</v>
      </c>
      <c r="C93" s="51" t="s">
        <v>2941</v>
      </c>
      <c r="D93" s="51" t="s">
        <v>1480</v>
      </c>
      <c r="E93" s="51" t="s">
        <v>358</v>
      </c>
      <c r="F93" s="51">
        <v>11</v>
      </c>
      <c r="G93" s="51" t="s">
        <v>13</v>
      </c>
      <c r="H93" s="51">
        <v>13</v>
      </c>
      <c r="I93" s="51">
        <f t="shared" si="35"/>
        <v>143</v>
      </c>
      <c r="J93" s="51">
        <f t="shared" si="36"/>
        <v>88</v>
      </c>
      <c r="K93" s="51">
        <f t="shared" si="39"/>
        <v>71</v>
      </c>
      <c r="L93" s="51">
        <f t="shared" si="37"/>
        <v>2079.5</v>
      </c>
      <c r="M93" s="51">
        <f t="shared" si="38"/>
        <v>107</v>
      </c>
      <c r="N93" s="53" t="b">
        <f t="shared" si="40"/>
        <v>0</v>
      </c>
      <c r="O93" s="53" t="b">
        <f t="shared" si="41"/>
        <v>1</v>
      </c>
      <c r="P93" s="53" t="str">
        <f t="shared" si="42"/>
        <v>ct11</v>
      </c>
      <c r="Q93" s="68" t="str">
        <f t="shared" si="43"/>
        <v>88
C003272</v>
      </c>
      <c r="R93" s="53" t="b">
        <f t="shared" si="44"/>
        <v>0</v>
      </c>
      <c r="S93" s="53"/>
      <c r="T93" s="53" t="str">
        <f t="shared" si="45"/>
        <v>CT</v>
      </c>
      <c r="U93" s="53" t="str">
        <f t="shared" si="46"/>
        <v>ct</v>
      </c>
      <c r="V93" s="53">
        <f t="shared" si="47"/>
        <v>1</v>
      </c>
      <c r="W93" s="53" t="str">
        <f t="shared" si="48"/>
        <v>ct 11</v>
      </c>
      <c r="X93" s="53" t="str">
        <f t="shared" si="49"/>
        <v>2879.5</v>
      </c>
      <c r="Y93" s="53" t="str">
        <f t="shared" si="50"/>
        <v>88
C</v>
      </c>
      <c r="Z93" s="53" t="str">
        <f t="shared" si="51"/>
        <v>3272</v>
      </c>
      <c r="AA93" s="53">
        <f t="shared" si="52"/>
        <v>4</v>
      </c>
      <c r="AB93" s="53">
        <f t="shared" si="53"/>
        <v>7</v>
      </c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</row>
    <row r="94" spans="1:41" ht="30" x14ac:dyDescent="0.25">
      <c r="A94" s="51" t="s">
        <v>82</v>
      </c>
      <c r="B94" s="51" t="s">
        <v>2942</v>
      </c>
      <c r="C94" s="51" t="s">
        <v>2943</v>
      </c>
      <c r="D94" s="51" t="s">
        <v>1738</v>
      </c>
      <c r="E94" s="51" t="s">
        <v>1871</v>
      </c>
      <c r="F94" s="51">
        <v>8</v>
      </c>
      <c r="G94" s="51" t="s">
        <v>60</v>
      </c>
      <c r="H94" s="51">
        <v>24</v>
      </c>
      <c r="I94" s="51">
        <f t="shared" si="35"/>
        <v>192</v>
      </c>
      <c r="J94" s="51">
        <f t="shared" si="36"/>
        <v>37</v>
      </c>
      <c r="K94" s="51">
        <f t="shared" si="39"/>
        <v>31</v>
      </c>
      <c r="L94" s="51">
        <f t="shared" si="37"/>
        <v>908</v>
      </c>
      <c r="M94" s="51">
        <f t="shared" si="38"/>
        <v>50</v>
      </c>
      <c r="N94" s="53" t="b">
        <f t="shared" si="40"/>
        <v>0</v>
      </c>
      <c r="O94" s="53" t="b">
        <f t="shared" si="41"/>
        <v>1</v>
      </c>
      <c r="P94" s="53" t="str">
        <f t="shared" si="42"/>
        <v>bottles8</v>
      </c>
      <c r="Q94" s="68" t="str">
        <f t="shared" si="43"/>
        <v>37
C002480</v>
      </c>
      <c r="R94" s="53" t="b">
        <f t="shared" si="44"/>
        <v>0</v>
      </c>
      <c r="S94" s="53"/>
      <c r="T94" s="53" t="str">
        <f t="shared" si="45"/>
        <v>BOTTLES</v>
      </c>
      <c r="U94" s="53" t="str">
        <f t="shared" si="46"/>
        <v>bottles</v>
      </c>
      <c r="V94" s="53">
        <f t="shared" si="47"/>
        <v>1</v>
      </c>
      <c r="W94" s="53" t="str">
        <f t="shared" si="48"/>
        <v>bottles 8</v>
      </c>
      <c r="X94" s="53" t="str">
        <f t="shared" si="49"/>
        <v>988</v>
      </c>
      <c r="Y94" s="53" t="str">
        <f t="shared" si="50"/>
        <v>37
C</v>
      </c>
      <c r="Z94" s="53" t="str">
        <f t="shared" si="51"/>
        <v>2480</v>
      </c>
      <c r="AA94" s="53">
        <f t="shared" si="52"/>
        <v>4</v>
      </c>
      <c r="AB94" s="53">
        <f t="shared" si="53"/>
        <v>2</v>
      </c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</row>
    <row r="95" spans="1:41" ht="30" x14ac:dyDescent="0.25">
      <c r="A95" s="51" t="s">
        <v>66</v>
      </c>
      <c r="B95" s="51" t="s">
        <v>520</v>
      </c>
      <c r="C95" s="51" t="s">
        <v>2944</v>
      </c>
      <c r="D95" s="51" t="s">
        <v>85</v>
      </c>
      <c r="E95" s="51" t="s">
        <v>315</v>
      </c>
      <c r="F95" s="51">
        <v>3</v>
      </c>
      <c r="G95" s="51" t="s">
        <v>60</v>
      </c>
      <c r="H95" s="51">
        <v>20</v>
      </c>
      <c r="I95" s="51">
        <f t="shared" si="35"/>
        <v>60</v>
      </c>
      <c r="J95" s="51">
        <f t="shared" si="36"/>
        <v>205.5</v>
      </c>
      <c r="K95" s="51">
        <f t="shared" si="39"/>
        <v>156</v>
      </c>
      <c r="L95" s="51">
        <f t="shared" si="37"/>
        <v>908</v>
      </c>
      <c r="M95" s="51">
        <f t="shared" si="38"/>
        <v>50</v>
      </c>
      <c r="N95" s="53" t="b">
        <f t="shared" si="40"/>
        <v>0</v>
      </c>
      <c r="O95" s="53" t="b">
        <f t="shared" si="41"/>
        <v>1</v>
      </c>
      <c r="P95" s="53" t="str">
        <f t="shared" si="42"/>
        <v>bottles3</v>
      </c>
      <c r="Q95" s="68" t="str">
        <f t="shared" si="43"/>
        <v>205.5
C002529</v>
      </c>
      <c r="R95" s="53" t="b">
        <f t="shared" si="44"/>
        <v>0</v>
      </c>
      <c r="S95" s="53"/>
      <c r="T95" s="53" t="str">
        <f t="shared" si="45"/>
        <v>BOTTLES</v>
      </c>
      <c r="U95" s="53" t="str">
        <f t="shared" si="46"/>
        <v>bottles</v>
      </c>
      <c r="V95" s="53">
        <f t="shared" si="47"/>
        <v>1</v>
      </c>
      <c r="W95" s="53" t="str">
        <f t="shared" si="48"/>
        <v>bottles 3</v>
      </c>
      <c r="X95" s="53" t="str">
        <f t="shared" si="49"/>
        <v>988</v>
      </c>
      <c r="Y95" s="53" t="str">
        <f t="shared" si="50"/>
        <v>205.</v>
      </c>
      <c r="Z95" s="53" t="str">
        <f t="shared" si="51"/>
        <v>2529</v>
      </c>
      <c r="AA95" s="53">
        <f t="shared" si="52"/>
        <v>7</v>
      </c>
      <c r="AB95" s="53">
        <f t="shared" si="53"/>
        <v>2</v>
      </c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</row>
    <row r="96" spans="1:41" ht="30" x14ac:dyDescent="0.25">
      <c r="A96" s="51" t="s">
        <v>339</v>
      </c>
      <c r="B96" s="51" t="s">
        <v>2945</v>
      </c>
      <c r="C96" s="51" t="s">
        <v>2946</v>
      </c>
      <c r="D96" s="51" t="s">
        <v>428</v>
      </c>
      <c r="E96" s="51" t="s">
        <v>2947</v>
      </c>
      <c r="F96" s="51">
        <v>5</v>
      </c>
      <c r="G96" s="51" t="s">
        <v>13</v>
      </c>
      <c r="H96" s="51">
        <v>14</v>
      </c>
      <c r="I96" s="51">
        <f t="shared" si="35"/>
        <v>70</v>
      </c>
      <c r="J96" s="51">
        <f t="shared" si="36"/>
        <v>186.5</v>
      </c>
      <c r="K96" s="51">
        <f t="shared" si="39"/>
        <v>141</v>
      </c>
      <c r="L96" s="51">
        <f t="shared" si="37"/>
        <v>2079.5</v>
      </c>
      <c r="M96" s="51">
        <f t="shared" si="38"/>
        <v>107</v>
      </c>
      <c r="N96" s="53" t="b">
        <f t="shared" si="40"/>
        <v>0</v>
      </c>
      <c r="O96" s="53" t="b">
        <f t="shared" si="41"/>
        <v>1</v>
      </c>
      <c r="P96" s="53" t="str">
        <f t="shared" si="42"/>
        <v>ct5</v>
      </c>
      <c r="Q96" s="68" t="str">
        <f t="shared" si="43"/>
        <v>186.5
C008969</v>
      </c>
      <c r="R96" s="53" t="b">
        <f t="shared" si="44"/>
        <v>0</v>
      </c>
      <c r="S96" s="53"/>
      <c r="T96" s="53" t="str">
        <f t="shared" si="45"/>
        <v>CT</v>
      </c>
      <c r="U96" s="53" t="str">
        <f t="shared" si="46"/>
        <v>ct</v>
      </c>
      <c r="V96" s="53">
        <f t="shared" si="47"/>
        <v>1</v>
      </c>
      <c r="W96" s="53" t="str">
        <f t="shared" si="48"/>
        <v>ct 5</v>
      </c>
      <c r="X96" s="53" t="str">
        <f t="shared" si="49"/>
        <v>2879.5</v>
      </c>
      <c r="Y96" s="53" t="str">
        <f t="shared" si="50"/>
        <v>186.</v>
      </c>
      <c r="Z96" s="53" t="str">
        <f t="shared" si="51"/>
        <v>8969</v>
      </c>
      <c r="AA96" s="53">
        <f t="shared" si="52"/>
        <v>7</v>
      </c>
      <c r="AB96" s="53">
        <f t="shared" si="53"/>
        <v>4</v>
      </c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</row>
    <row r="97" spans="1:41" ht="30" x14ac:dyDescent="0.25">
      <c r="A97" s="51" t="s">
        <v>76</v>
      </c>
      <c r="B97" s="51" t="s">
        <v>2948</v>
      </c>
      <c r="C97" s="51" t="s">
        <v>2949</v>
      </c>
      <c r="D97" s="51" t="s">
        <v>99</v>
      </c>
      <c r="E97" s="51" t="s">
        <v>1804</v>
      </c>
      <c r="F97" s="51">
        <v>11</v>
      </c>
      <c r="G97" s="51" t="s">
        <v>13</v>
      </c>
      <c r="H97" s="51">
        <v>15</v>
      </c>
      <c r="I97" s="51">
        <f t="shared" si="35"/>
        <v>165</v>
      </c>
      <c r="J97" s="51">
        <f t="shared" si="36"/>
        <v>58</v>
      </c>
      <c r="K97" s="51">
        <f t="shared" si="39"/>
        <v>43</v>
      </c>
      <c r="L97" s="51">
        <f t="shared" si="37"/>
        <v>2079.5</v>
      </c>
      <c r="M97" s="51">
        <f t="shared" si="38"/>
        <v>107</v>
      </c>
      <c r="N97" s="53" t="b">
        <f t="shared" si="40"/>
        <v>0</v>
      </c>
      <c r="O97" s="53" t="b">
        <f t="shared" si="41"/>
        <v>1</v>
      </c>
      <c r="P97" s="53" t="str">
        <f t="shared" si="42"/>
        <v>ct11</v>
      </c>
      <c r="Q97" s="68" t="str">
        <f t="shared" si="43"/>
        <v>58
C002228</v>
      </c>
      <c r="R97" s="53" t="b">
        <f t="shared" si="44"/>
        <v>0</v>
      </c>
      <c r="S97" s="53"/>
      <c r="T97" s="53" t="str">
        <f t="shared" si="45"/>
        <v>CT</v>
      </c>
      <c r="U97" s="53" t="str">
        <f t="shared" si="46"/>
        <v>ct</v>
      </c>
      <c r="V97" s="53">
        <f t="shared" si="47"/>
        <v>1</v>
      </c>
      <c r="W97" s="53" t="str">
        <f t="shared" si="48"/>
        <v>ct 11</v>
      </c>
      <c r="X97" s="53" t="str">
        <f t="shared" si="49"/>
        <v>2879.5</v>
      </c>
      <c r="Y97" s="53" t="str">
        <f t="shared" si="50"/>
        <v>58
C</v>
      </c>
      <c r="Z97" s="53" t="str">
        <f t="shared" si="51"/>
        <v>2228</v>
      </c>
      <c r="AA97" s="53">
        <f t="shared" si="52"/>
        <v>4</v>
      </c>
      <c r="AB97" s="53">
        <f t="shared" si="53"/>
        <v>4</v>
      </c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</row>
    <row r="98" spans="1:41" ht="30" x14ac:dyDescent="0.25">
      <c r="A98" s="51" t="s">
        <v>224</v>
      </c>
      <c r="B98" s="51" t="s">
        <v>2950</v>
      </c>
      <c r="C98" s="51" t="s">
        <v>2951</v>
      </c>
      <c r="D98" s="51" t="s">
        <v>465</v>
      </c>
      <c r="E98" s="51" t="s">
        <v>2952</v>
      </c>
      <c r="F98" s="51">
        <v>9</v>
      </c>
      <c r="G98" s="51" t="s">
        <v>167</v>
      </c>
      <c r="H98" s="51">
        <v>20</v>
      </c>
      <c r="I98" s="51">
        <f t="shared" si="35"/>
        <v>180</v>
      </c>
      <c r="J98" s="51">
        <f t="shared" si="36"/>
        <v>43.5</v>
      </c>
      <c r="K98" s="51">
        <f t="shared" si="39"/>
        <v>33</v>
      </c>
      <c r="L98" s="51">
        <f t="shared" si="37"/>
        <v>307</v>
      </c>
      <c r="M98" s="51">
        <f t="shared" si="38"/>
        <v>19</v>
      </c>
      <c r="N98" s="53" t="b">
        <f t="shared" si="40"/>
        <v>0</v>
      </c>
      <c r="O98" s="53" t="b">
        <f t="shared" si="41"/>
        <v>1</v>
      </c>
      <c r="P98" s="53" t="str">
        <f t="shared" si="42"/>
        <v>oz9</v>
      </c>
      <c r="Q98" s="68" t="str">
        <f t="shared" si="43"/>
        <v>43.5
C005266</v>
      </c>
      <c r="R98" s="53" t="b">
        <f t="shared" si="44"/>
        <v>0</v>
      </c>
      <c r="S98" s="53"/>
      <c r="T98" s="53" t="str">
        <f t="shared" si="45"/>
        <v>OZ</v>
      </c>
      <c r="U98" s="53" t="str">
        <f t="shared" si="46"/>
        <v>oz</v>
      </c>
      <c r="V98" s="53">
        <f t="shared" si="47"/>
        <v>1</v>
      </c>
      <c r="W98" s="53" t="str">
        <f t="shared" si="48"/>
        <v>oz 9</v>
      </c>
      <c r="X98" s="53" t="str">
        <f t="shared" si="49"/>
        <v>387</v>
      </c>
      <c r="Y98" s="53" t="str">
        <f t="shared" si="50"/>
        <v>43.5</v>
      </c>
      <c r="Z98" s="53" t="str">
        <f t="shared" si="51"/>
        <v>5266</v>
      </c>
      <c r="AA98" s="53">
        <f t="shared" si="52"/>
        <v>6</v>
      </c>
      <c r="AB98" s="53">
        <f t="shared" si="53"/>
        <v>7</v>
      </c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</row>
    <row r="99" spans="1:41" ht="30" x14ac:dyDescent="0.25">
      <c r="A99" s="51" t="s">
        <v>125</v>
      </c>
      <c r="B99" s="51" t="s">
        <v>2953</v>
      </c>
      <c r="C99" s="51" t="s">
        <v>2954</v>
      </c>
      <c r="D99" s="51" t="s">
        <v>1139</v>
      </c>
      <c r="E99" s="51" t="s">
        <v>1071</v>
      </c>
      <c r="F99" s="51">
        <v>1</v>
      </c>
      <c r="G99" s="51" t="s">
        <v>13</v>
      </c>
      <c r="H99" s="51">
        <v>16</v>
      </c>
      <c r="I99" s="51">
        <f t="shared" si="35"/>
        <v>16</v>
      </c>
      <c r="J99" s="51">
        <f t="shared" si="36"/>
        <v>288</v>
      </c>
      <c r="K99" s="51">
        <f t="shared" si="39"/>
        <v>214</v>
      </c>
      <c r="L99" s="51">
        <f t="shared" si="37"/>
        <v>2079.5</v>
      </c>
      <c r="M99" s="51">
        <f t="shared" si="38"/>
        <v>107</v>
      </c>
      <c r="N99" s="53" t="b">
        <f t="shared" si="40"/>
        <v>0</v>
      </c>
      <c r="O99" s="53" t="b">
        <f t="shared" si="41"/>
        <v>1</v>
      </c>
      <c r="P99" s="53" t="str">
        <f t="shared" si="42"/>
        <v>ct1</v>
      </c>
      <c r="Q99" s="68" t="str">
        <f t="shared" si="43"/>
        <v>288
C008379</v>
      </c>
      <c r="R99" s="53" t="b">
        <f t="shared" si="44"/>
        <v>0</v>
      </c>
      <c r="S99" s="53"/>
      <c r="T99" s="53" t="str">
        <f t="shared" si="45"/>
        <v>CT</v>
      </c>
      <c r="U99" s="53" t="str">
        <f t="shared" si="46"/>
        <v>ct</v>
      </c>
      <c r="V99" s="53">
        <f t="shared" si="47"/>
        <v>1</v>
      </c>
      <c r="W99" s="53" t="str">
        <f t="shared" si="48"/>
        <v>ct 1</v>
      </c>
      <c r="X99" s="53" t="str">
        <f t="shared" si="49"/>
        <v>2879.5</v>
      </c>
      <c r="Y99" s="53" t="str">
        <f t="shared" si="50"/>
        <v xml:space="preserve">288
</v>
      </c>
      <c r="Z99" s="53" t="str">
        <f t="shared" si="51"/>
        <v>8379</v>
      </c>
      <c r="AA99" s="53">
        <f t="shared" si="52"/>
        <v>5</v>
      </c>
      <c r="AB99" s="53">
        <f t="shared" si="53"/>
        <v>2</v>
      </c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</row>
    <row r="100" spans="1:41" ht="30" x14ac:dyDescent="0.25">
      <c r="A100" s="51" t="s">
        <v>8</v>
      </c>
      <c r="B100" s="51" t="s">
        <v>2810</v>
      </c>
      <c r="C100" s="51" t="s">
        <v>2955</v>
      </c>
      <c r="D100" s="51" t="s">
        <v>294</v>
      </c>
      <c r="E100" s="51" t="s">
        <v>2956</v>
      </c>
      <c r="F100" s="51">
        <v>9</v>
      </c>
      <c r="G100" s="51" t="s">
        <v>13</v>
      </c>
      <c r="H100" s="51">
        <v>12</v>
      </c>
      <c r="I100" s="51">
        <f t="shared" si="35"/>
        <v>108</v>
      </c>
      <c r="J100" s="51">
        <f t="shared" si="36"/>
        <v>129</v>
      </c>
      <c r="K100" s="51">
        <f t="shared" si="39"/>
        <v>98</v>
      </c>
      <c r="L100" s="51">
        <f t="shared" si="37"/>
        <v>2079.5</v>
      </c>
      <c r="M100" s="51">
        <f t="shared" si="38"/>
        <v>107</v>
      </c>
      <c r="N100" s="53" t="b">
        <f t="shared" si="40"/>
        <v>0</v>
      </c>
      <c r="O100" s="53" t="b">
        <f t="shared" si="41"/>
        <v>0</v>
      </c>
      <c r="P100" s="53" t="str">
        <f t="shared" si="42"/>
        <v>ct9</v>
      </c>
      <c r="Q100" s="68" t="str">
        <f t="shared" si="43"/>
        <v>129
C004341</v>
      </c>
      <c r="R100" s="53" t="b">
        <f t="shared" si="44"/>
        <v>0</v>
      </c>
      <c r="S100" s="53"/>
      <c r="T100" s="53" t="str">
        <f t="shared" si="45"/>
        <v>CT</v>
      </c>
      <c r="U100" s="53" t="str">
        <f t="shared" si="46"/>
        <v>ct</v>
      </c>
      <c r="V100" s="53">
        <f t="shared" si="47"/>
        <v>1</v>
      </c>
      <c r="W100" s="53" t="str">
        <f t="shared" si="48"/>
        <v>ct 9</v>
      </c>
      <c r="X100" s="53" t="str">
        <f t="shared" si="49"/>
        <v>2879.5</v>
      </c>
      <c r="Y100" s="53" t="str">
        <f t="shared" si="50"/>
        <v xml:space="preserve">129
</v>
      </c>
      <c r="Z100" s="53" t="str">
        <f t="shared" si="51"/>
        <v>4341</v>
      </c>
      <c r="AA100" s="53">
        <f t="shared" si="52"/>
        <v>5</v>
      </c>
      <c r="AB100" s="53">
        <f t="shared" si="53"/>
        <v>4</v>
      </c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</row>
    <row r="101" spans="1:41" ht="30" x14ac:dyDescent="0.25">
      <c r="A101" s="51" t="s">
        <v>274</v>
      </c>
      <c r="B101" s="51" t="s">
        <v>2957</v>
      </c>
      <c r="C101" s="51" t="s">
        <v>2958</v>
      </c>
      <c r="D101" s="51" t="s">
        <v>140</v>
      </c>
      <c r="E101" s="51" t="s">
        <v>2689</v>
      </c>
      <c r="F101" s="51">
        <v>9</v>
      </c>
      <c r="G101" s="51" t="s">
        <v>60</v>
      </c>
      <c r="H101" s="51">
        <v>17</v>
      </c>
      <c r="I101" s="51">
        <f t="shared" si="35"/>
        <v>153</v>
      </c>
      <c r="J101" s="51">
        <f t="shared" si="36"/>
        <v>78</v>
      </c>
      <c r="K101" s="51">
        <f t="shared" si="39"/>
        <v>58</v>
      </c>
      <c r="L101" s="51">
        <f t="shared" si="37"/>
        <v>908</v>
      </c>
      <c r="M101" s="51">
        <f t="shared" si="38"/>
        <v>50</v>
      </c>
      <c r="N101" s="53" t="b">
        <f t="shared" si="40"/>
        <v>0</v>
      </c>
      <c r="O101" s="53" t="b">
        <f t="shared" si="41"/>
        <v>1</v>
      </c>
      <c r="P101" s="53" t="str">
        <f t="shared" si="42"/>
        <v>bottles9</v>
      </c>
      <c r="Q101" s="68" t="str">
        <f t="shared" si="43"/>
        <v>78
C007953</v>
      </c>
      <c r="R101" s="53" t="b">
        <f t="shared" si="44"/>
        <v>0</v>
      </c>
      <c r="S101" s="53"/>
      <c r="T101" s="53" t="str">
        <f t="shared" si="45"/>
        <v>BOTTLES</v>
      </c>
      <c r="U101" s="53" t="str">
        <f t="shared" si="46"/>
        <v>bottles</v>
      </c>
      <c r="V101" s="53">
        <f t="shared" si="47"/>
        <v>1</v>
      </c>
      <c r="W101" s="53" t="str">
        <f t="shared" si="48"/>
        <v>bottles 9</v>
      </c>
      <c r="X101" s="53" t="str">
        <f t="shared" si="49"/>
        <v>988</v>
      </c>
      <c r="Y101" s="53" t="str">
        <f t="shared" si="50"/>
        <v>78
C</v>
      </c>
      <c r="Z101" s="53" t="str">
        <f t="shared" si="51"/>
        <v>7953</v>
      </c>
      <c r="AA101" s="53">
        <f t="shared" si="52"/>
        <v>4</v>
      </c>
      <c r="AB101" s="53">
        <f t="shared" si="53"/>
        <v>4</v>
      </c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</row>
    <row r="102" spans="1:41" ht="30" x14ac:dyDescent="0.25">
      <c r="A102" s="51" t="s">
        <v>66</v>
      </c>
      <c r="B102" s="51" t="s">
        <v>2959</v>
      </c>
      <c r="C102" s="51" t="s">
        <v>2960</v>
      </c>
      <c r="D102" s="51" t="s">
        <v>414</v>
      </c>
      <c r="E102" s="51" t="s">
        <v>1128</v>
      </c>
      <c r="F102" s="51">
        <v>11</v>
      </c>
      <c r="G102" s="51" t="s">
        <v>407</v>
      </c>
      <c r="H102" s="51">
        <v>15</v>
      </c>
      <c r="I102" s="51">
        <f t="shared" si="35"/>
        <v>165</v>
      </c>
      <c r="J102" s="51">
        <f t="shared" si="36"/>
        <v>58</v>
      </c>
      <c r="K102" s="51">
        <f t="shared" si="39"/>
        <v>42</v>
      </c>
      <c r="L102" s="51">
        <f t="shared" si="37"/>
        <v>182</v>
      </c>
      <c r="M102" s="51">
        <f t="shared" si="38"/>
        <v>12</v>
      </c>
      <c r="N102" s="53" t="b">
        <f t="shared" si="40"/>
        <v>0</v>
      </c>
      <c r="O102" s="53" t="b">
        <f t="shared" si="41"/>
        <v>1</v>
      </c>
      <c r="P102" s="53" t="str">
        <f t="shared" si="42"/>
        <v>pk11</v>
      </c>
      <c r="Q102" s="68" t="str">
        <f t="shared" si="43"/>
        <v>58
C002056</v>
      </c>
      <c r="R102" s="53" t="b">
        <f t="shared" si="44"/>
        <v>0</v>
      </c>
      <c r="S102" s="53"/>
      <c r="T102" s="53" t="str">
        <f t="shared" si="45"/>
        <v>PK</v>
      </c>
      <c r="U102" s="53" t="str">
        <f t="shared" si="46"/>
        <v>pk</v>
      </c>
      <c r="V102" s="53">
        <f t="shared" si="47"/>
        <v>1</v>
      </c>
      <c r="W102" s="53" t="str">
        <f t="shared" si="48"/>
        <v>pk 11</v>
      </c>
      <c r="X102" s="53" t="str">
        <f t="shared" si="49"/>
        <v>182</v>
      </c>
      <c r="Y102" s="53" t="str">
        <f t="shared" si="50"/>
        <v>58
C</v>
      </c>
      <c r="Z102" s="53" t="str">
        <f t="shared" si="51"/>
        <v>2056</v>
      </c>
      <c r="AA102" s="53">
        <f t="shared" si="52"/>
        <v>4</v>
      </c>
      <c r="AB102" s="53">
        <f t="shared" si="53"/>
        <v>2</v>
      </c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</row>
    <row r="103" spans="1:41" ht="30" x14ac:dyDescent="0.25">
      <c r="A103" s="51" t="s">
        <v>162</v>
      </c>
      <c r="B103" s="51" t="s">
        <v>2961</v>
      </c>
      <c r="C103" s="51" t="s">
        <v>2962</v>
      </c>
      <c r="D103" s="51" t="s">
        <v>603</v>
      </c>
      <c r="E103" s="51" t="s">
        <v>2963</v>
      </c>
      <c r="F103" s="51">
        <v>1</v>
      </c>
      <c r="G103" s="51" t="s">
        <v>407</v>
      </c>
      <c r="H103" s="51">
        <v>21</v>
      </c>
      <c r="I103" s="51">
        <f t="shared" si="35"/>
        <v>21</v>
      </c>
      <c r="J103" s="51">
        <f t="shared" si="36"/>
        <v>282</v>
      </c>
      <c r="K103" s="51">
        <f t="shared" si="39"/>
        <v>206</v>
      </c>
      <c r="L103" s="51">
        <f t="shared" si="37"/>
        <v>182</v>
      </c>
      <c r="M103" s="51">
        <f t="shared" si="38"/>
        <v>12</v>
      </c>
      <c r="N103" s="53" t="b">
        <f t="shared" si="40"/>
        <v>0</v>
      </c>
      <c r="O103" s="53" t="b">
        <f t="shared" si="41"/>
        <v>1</v>
      </c>
      <c r="P103" s="53" t="str">
        <f t="shared" si="42"/>
        <v>pk1</v>
      </c>
      <c r="Q103" s="68" t="str">
        <f t="shared" si="43"/>
        <v>282
C002755</v>
      </c>
      <c r="R103" s="53" t="b">
        <f t="shared" si="44"/>
        <v>0</v>
      </c>
      <c r="S103" s="53"/>
      <c r="T103" s="53" t="str">
        <f t="shared" si="45"/>
        <v>PK</v>
      </c>
      <c r="U103" s="53" t="str">
        <f t="shared" si="46"/>
        <v>pk</v>
      </c>
      <c r="V103" s="53">
        <f t="shared" si="47"/>
        <v>1</v>
      </c>
      <c r="W103" s="53" t="str">
        <f t="shared" si="48"/>
        <v>pk 1</v>
      </c>
      <c r="X103" s="53" t="str">
        <f t="shared" si="49"/>
        <v>182</v>
      </c>
      <c r="Y103" s="53" t="str">
        <f t="shared" si="50"/>
        <v xml:space="preserve">282
</v>
      </c>
      <c r="Z103" s="53" t="str">
        <f t="shared" si="51"/>
        <v>2755</v>
      </c>
      <c r="AA103" s="53">
        <f t="shared" si="52"/>
        <v>5</v>
      </c>
      <c r="AB103" s="53">
        <f t="shared" si="53"/>
        <v>4</v>
      </c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</row>
    <row r="104" spans="1:41" ht="30" x14ac:dyDescent="0.25">
      <c r="A104" s="51" t="s">
        <v>224</v>
      </c>
      <c r="B104" s="51" t="s">
        <v>2964</v>
      </c>
      <c r="C104" s="51" t="s">
        <v>2965</v>
      </c>
      <c r="D104" s="51" t="s">
        <v>33</v>
      </c>
      <c r="E104" s="51" t="s">
        <v>998</v>
      </c>
      <c r="F104" s="51">
        <v>4</v>
      </c>
      <c r="G104" s="51" t="s">
        <v>35</v>
      </c>
      <c r="H104" s="51">
        <v>8</v>
      </c>
      <c r="I104" s="51">
        <f t="shared" si="35"/>
        <v>32</v>
      </c>
      <c r="J104" s="51">
        <f t="shared" si="36"/>
        <v>261</v>
      </c>
      <c r="K104" s="51">
        <f t="shared" si="39"/>
        <v>187</v>
      </c>
      <c r="L104" s="51">
        <f t="shared" si="37"/>
        <v>1010.75</v>
      </c>
      <c r="M104" s="51">
        <f t="shared" si="38"/>
        <v>59</v>
      </c>
      <c r="N104" s="53" t="b">
        <f t="shared" si="40"/>
        <v>0</v>
      </c>
      <c r="O104" s="53" t="b">
        <f t="shared" si="41"/>
        <v>1</v>
      </c>
      <c r="P104" s="53" t="str">
        <f t="shared" si="42"/>
        <v>cans4</v>
      </c>
      <c r="Q104" s="68" t="str">
        <f t="shared" si="43"/>
        <v>261
C002912</v>
      </c>
      <c r="R104" s="53" t="b">
        <f t="shared" si="44"/>
        <v>0</v>
      </c>
      <c r="S104" s="53"/>
      <c r="T104" s="53" t="str">
        <f t="shared" si="45"/>
        <v>CANS</v>
      </c>
      <c r="U104" s="53" t="str">
        <f t="shared" si="46"/>
        <v>cans</v>
      </c>
      <c r="V104" s="53">
        <f t="shared" si="47"/>
        <v>1</v>
      </c>
      <c r="W104" s="53" t="str">
        <f t="shared" si="48"/>
        <v>cans 4</v>
      </c>
      <c r="X104" s="53" t="str">
        <f t="shared" si="49"/>
        <v>1818.75</v>
      </c>
      <c r="Y104" s="53" t="str">
        <f t="shared" si="50"/>
        <v xml:space="preserve">261
</v>
      </c>
      <c r="Z104" s="53" t="str">
        <f t="shared" si="51"/>
        <v>2912</v>
      </c>
      <c r="AA104" s="53">
        <f t="shared" si="52"/>
        <v>5</v>
      </c>
      <c r="AB104" s="53">
        <f t="shared" si="53"/>
        <v>4</v>
      </c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</row>
    <row r="105" spans="1:41" ht="30" x14ac:dyDescent="0.25">
      <c r="A105" s="51" t="s">
        <v>8</v>
      </c>
      <c r="B105" s="51" t="s">
        <v>2966</v>
      </c>
      <c r="C105" s="51" t="s">
        <v>2967</v>
      </c>
      <c r="D105" s="51" t="s">
        <v>1697</v>
      </c>
      <c r="E105" s="51" t="s">
        <v>2968</v>
      </c>
      <c r="F105" s="51">
        <v>5</v>
      </c>
      <c r="G105" s="51" t="s">
        <v>35</v>
      </c>
      <c r="H105" s="51">
        <v>16.25</v>
      </c>
      <c r="I105" s="51">
        <f t="shared" si="35"/>
        <v>81.25</v>
      </c>
      <c r="J105" s="51">
        <f t="shared" si="36"/>
        <v>162.5</v>
      </c>
      <c r="K105" s="51">
        <f t="shared" si="39"/>
        <v>118</v>
      </c>
      <c r="L105" s="51">
        <f t="shared" si="37"/>
        <v>1010.75</v>
      </c>
      <c r="M105" s="51">
        <f t="shared" si="38"/>
        <v>59</v>
      </c>
      <c r="N105" s="53" t="b">
        <f t="shared" si="40"/>
        <v>0</v>
      </c>
      <c r="O105" s="53" t="b">
        <f t="shared" si="41"/>
        <v>1</v>
      </c>
      <c r="P105" s="53" t="str">
        <f t="shared" si="42"/>
        <v>cans5</v>
      </c>
      <c r="Q105" s="68" t="str">
        <f t="shared" si="43"/>
        <v>162.5
C005733</v>
      </c>
      <c r="R105" s="53" t="b">
        <f t="shared" si="44"/>
        <v>0</v>
      </c>
      <c r="S105" s="53"/>
      <c r="T105" s="53" t="str">
        <f t="shared" si="45"/>
        <v>CANS</v>
      </c>
      <c r="U105" s="53" t="str">
        <f t="shared" si="46"/>
        <v>cans</v>
      </c>
      <c r="V105" s="53">
        <f t="shared" si="47"/>
        <v>1</v>
      </c>
      <c r="W105" s="53" t="str">
        <f t="shared" si="48"/>
        <v>cans 5</v>
      </c>
      <c r="X105" s="53" t="str">
        <f t="shared" si="49"/>
        <v>1818.75</v>
      </c>
      <c r="Y105" s="53" t="str">
        <f t="shared" si="50"/>
        <v>162.</v>
      </c>
      <c r="Z105" s="53" t="str">
        <f t="shared" si="51"/>
        <v>5733</v>
      </c>
      <c r="AA105" s="53">
        <f t="shared" si="52"/>
        <v>7</v>
      </c>
      <c r="AB105" s="53">
        <f t="shared" si="53"/>
        <v>4</v>
      </c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</row>
    <row r="106" spans="1:41" ht="30" x14ac:dyDescent="0.25">
      <c r="A106" s="51" t="s">
        <v>101</v>
      </c>
      <c r="B106" s="51" t="s">
        <v>2969</v>
      </c>
      <c r="C106" s="51" t="s">
        <v>2970</v>
      </c>
      <c r="D106" s="51" t="s">
        <v>1611</v>
      </c>
      <c r="E106" s="51" t="s">
        <v>2971</v>
      </c>
      <c r="F106" s="51">
        <v>5</v>
      </c>
      <c r="G106" s="51" t="s">
        <v>60</v>
      </c>
      <c r="H106" s="51">
        <v>9</v>
      </c>
      <c r="I106" s="51">
        <f t="shared" si="35"/>
        <v>45</v>
      </c>
      <c r="J106" s="51">
        <f t="shared" si="36"/>
        <v>231.5</v>
      </c>
      <c r="K106" s="51">
        <f t="shared" si="39"/>
        <v>165</v>
      </c>
      <c r="L106" s="51">
        <f t="shared" si="37"/>
        <v>908</v>
      </c>
      <c r="M106" s="51">
        <f t="shared" si="38"/>
        <v>50</v>
      </c>
      <c r="N106" s="53" t="b">
        <f t="shared" si="40"/>
        <v>0</v>
      </c>
      <c r="O106" s="53" t="b">
        <f t="shared" si="41"/>
        <v>1</v>
      </c>
      <c r="P106" s="53" t="str">
        <f t="shared" si="42"/>
        <v>bottles5</v>
      </c>
      <c r="Q106" s="68" t="str">
        <f t="shared" si="43"/>
        <v>231.5
C005580</v>
      </c>
      <c r="R106" s="53" t="b">
        <f t="shared" si="44"/>
        <v>0</v>
      </c>
      <c r="S106" s="53"/>
      <c r="T106" s="53" t="str">
        <f t="shared" si="45"/>
        <v>BOTTLES</v>
      </c>
      <c r="U106" s="53" t="str">
        <f t="shared" si="46"/>
        <v>bottles</v>
      </c>
      <c r="V106" s="53">
        <f t="shared" si="47"/>
        <v>1</v>
      </c>
      <c r="W106" s="53" t="str">
        <f t="shared" si="48"/>
        <v>bottles 5</v>
      </c>
      <c r="X106" s="53" t="str">
        <f t="shared" si="49"/>
        <v>988</v>
      </c>
      <c r="Y106" s="53" t="str">
        <f t="shared" si="50"/>
        <v>231.</v>
      </c>
      <c r="Z106" s="53" t="str">
        <f t="shared" si="51"/>
        <v>5580</v>
      </c>
      <c r="AA106" s="53">
        <f t="shared" si="52"/>
        <v>7</v>
      </c>
      <c r="AB106" s="53">
        <f t="shared" si="53"/>
        <v>2</v>
      </c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</row>
    <row r="107" spans="1:41" ht="30" x14ac:dyDescent="0.25">
      <c r="A107" s="51" t="s">
        <v>743</v>
      </c>
      <c r="B107" s="51" t="s">
        <v>2972</v>
      </c>
      <c r="C107" s="51" t="s">
        <v>2973</v>
      </c>
      <c r="D107" s="51" t="s">
        <v>840</v>
      </c>
      <c r="E107" s="51" t="s">
        <v>150</v>
      </c>
      <c r="F107" s="51">
        <v>8</v>
      </c>
      <c r="G107" s="51" t="s">
        <v>13</v>
      </c>
      <c r="H107" s="51">
        <v>14</v>
      </c>
      <c r="I107" s="51">
        <f t="shared" si="35"/>
        <v>112</v>
      </c>
      <c r="J107" s="51">
        <f t="shared" si="36"/>
        <v>124.5</v>
      </c>
      <c r="K107" s="51">
        <f t="shared" si="39"/>
        <v>91</v>
      </c>
      <c r="L107" s="51">
        <f t="shared" si="37"/>
        <v>2079.5</v>
      </c>
      <c r="M107" s="51">
        <f t="shared" si="38"/>
        <v>107</v>
      </c>
      <c r="N107" s="53" t="b">
        <f t="shared" si="40"/>
        <v>0</v>
      </c>
      <c r="O107" s="53" t="b">
        <f t="shared" si="41"/>
        <v>0</v>
      </c>
      <c r="P107" s="53" t="str">
        <f t="shared" si="42"/>
        <v>ct8</v>
      </c>
      <c r="Q107" s="68" t="str">
        <f t="shared" si="43"/>
        <v>124.5
C002409</v>
      </c>
      <c r="R107" s="53" t="b">
        <f t="shared" si="44"/>
        <v>0</v>
      </c>
      <c r="S107" s="53"/>
      <c r="T107" s="53" t="str">
        <f t="shared" si="45"/>
        <v>CT</v>
      </c>
      <c r="U107" s="53" t="str">
        <f t="shared" si="46"/>
        <v>ct</v>
      </c>
      <c r="V107" s="53">
        <f t="shared" si="47"/>
        <v>1</v>
      </c>
      <c r="W107" s="53" t="str">
        <f t="shared" si="48"/>
        <v>ct 8</v>
      </c>
      <c r="X107" s="53" t="str">
        <f t="shared" si="49"/>
        <v>2879.5</v>
      </c>
      <c r="Y107" s="53" t="str">
        <f t="shared" si="50"/>
        <v>124.</v>
      </c>
      <c r="Z107" s="53" t="str">
        <f t="shared" si="51"/>
        <v>2409</v>
      </c>
      <c r="AA107" s="53">
        <f t="shared" si="52"/>
        <v>7</v>
      </c>
      <c r="AB107" s="53">
        <f t="shared" si="53"/>
        <v>4</v>
      </c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</row>
    <row r="108" spans="1:41" ht="30" x14ac:dyDescent="0.25">
      <c r="A108" s="51" t="s">
        <v>209</v>
      </c>
      <c r="B108" s="51" t="s">
        <v>2974</v>
      </c>
      <c r="C108" s="51" t="s">
        <v>2975</v>
      </c>
      <c r="D108" s="51" t="s">
        <v>2310</v>
      </c>
      <c r="E108" s="51" t="s">
        <v>1302</v>
      </c>
      <c r="F108" s="51">
        <v>2</v>
      </c>
      <c r="G108" s="51" t="s">
        <v>13</v>
      </c>
      <c r="H108" s="51">
        <v>16</v>
      </c>
      <c r="I108" s="51">
        <f t="shared" si="35"/>
        <v>32</v>
      </c>
      <c r="J108" s="51">
        <f t="shared" si="36"/>
        <v>261</v>
      </c>
      <c r="K108" s="51">
        <f t="shared" si="39"/>
        <v>184</v>
      </c>
      <c r="L108" s="51">
        <f t="shared" si="37"/>
        <v>2079.5</v>
      </c>
      <c r="M108" s="51">
        <f t="shared" si="38"/>
        <v>107</v>
      </c>
      <c r="N108" s="53" t="b">
        <f t="shared" si="40"/>
        <v>0</v>
      </c>
      <c r="O108" s="53" t="b">
        <f t="shared" si="41"/>
        <v>1</v>
      </c>
      <c r="P108" s="53" t="str">
        <f t="shared" si="42"/>
        <v>ct2</v>
      </c>
      <c r="Q108" s="68" t="str">
        <f t="shared" si="43"/>
        <v>261
C003553</v>
      </c>
      <c r="R108" s="53" t="b">
        <f t="shared" si="44"/>
        <v>0</v>
      </c>
      <c r="S108" s="53"/>
      <c r="T108" s="53" t="str">
        <f t="shared" si="45"/>
        <v>CT</v>
      </c>
      <c r="U108" s="53" t="str">
        <f t="shared" si="46"/>
        <v>ct</v>
      </c>
      <c r="V108" s="53">
        <f t="shared" si="47"/>
        <v>1</v>
      </c>
      <c r="W108" s="53" t="str">
        <f t="shared" si="48"/>
        <v>ct 2</v>
      </c>
      <c r="X108" s="53" t="str">
        <f t="shared" si="49"/>
        <v>2879.5</v>
      </c>
      <c r="Y108" s="53" t="str">
        <f t="shared" si="50"/>
        <v xml:space="preserve">261
</v>
      </c>
      <c r="Z108" s="53" t="str">
        <f t="shared" si="51"/>
        <v>3553</v>
      </c>
      <c r="AA108" s="53">
        <f t="shared" si="52"/>
        <v>5</v>
      </c>
      <c r="AB108" s="53">
        <f t="shared" si="53"/>
        <v>5</v>
      </c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</row>
    <row r="109" spans="1:41" ht="30" x14ac:dyDescent="0.25">
      <c r="A109" s="51" t="s">
        <v>523</v>
      </c>
      <c r="B109" s="51" t="s">
        <v>1576</v>
      </c>
      <c r="C109" s="51" t="s">
        <v>2976</v>
      </c>
      <c r="D109" s="51" t="s">
        <v>272</v>
      </c>
      <c r="E109" s="51" t="s">
        <v>2275</v>
      </c>
      <c r="F109" s="51">
        <v>6</v>
      </c>
      <c r="G109" s="51" t="s">
        <v>35</v>
      </c>
      <c r="H109" s="51">
        <v>6.75</v>
      </c>
      <c r="I109" s="51">
        <f t="shared" si="35"/>
        <v>40.5</v>
      </c>
      <c r="J109" s="51">
        <f t="shared" si="36"/>
        <v>239</v>
      </c>
      <c r="K109" s="51">
        <f t="shared" si="39"/>
        <v>170</v>
      </c>
      <c r="L109" s="51">
        <f t="shared" si="37"/>
        <v>1010.75</v>
      </c>
      <c r="M109" s="51">
        <f t="shared" si="38"/>
        <v>59</v>
      </c>
      <c r="N109" s="53" t="b">
        <f t="shared" si="40"/>
        <v>0</v>
      </c>
      <c r="O109" s="53" t="b">
        <f t="shared" si="41"/>
        <v>1</v>
      </c>
      <c r="P109" s="53" t="str">
        <f t="shared" si="42"/>
        <v>cans6</v>
      </c>
      <c r="Q109" s="68" t="str">
        <f t="shared" si="43"/>
        <v>239
C001914</v>
      </c>
      <c r="R109" s="53" t="b">
        <f t="shared" si="44"/>
        <v>0</v>
      </c>
      <c r="S109" s="53"/>
      <c r="T109" s="53" t="str">
        <f t="shared" si="45"/>
        <v>CANS</v>
      </c>
      <c r="U109" s="53" t="str">
        <f t="shared" si="46"/>
        <v>cans</v>
      </c>
      <c r="V109" s="53">
        <f t="shared" si="47"/>
        <v>1</v>
      </c>
      <c r="W109" s="53" t="str">
        <f t="shared" si="48"/>
        <v>cans 6</v>
      </c>
      <c r="X109" s="53" t="str">
        <f t="shared" si="49"/>
        <v>1818.75</v>
      </c>
      <c r="Y109" s="53" t="str">
        <f t="shared" si="50"/>
        <v xml:space="preserve">239
</v>
      </c>
      <c r="Z109" s="53" t="str">
        <f t="shared" si="51"/>
        <v>1914</v>
      </c>
      <c r="AA109" s="53">
        <f t="shared" si="52"/>
        <v>5</v>
      </c>
      <c r="AB109" s="53">
        <f t="shared" si="53"/>
        <v>4</v>
      </c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</row>
    <row r="110" spans="1:41" ht="30" x14ac:dyDescent="0.25">
      <c r="A110" s="51" t="s">
        <v>519</v>
      </c>
      <c r="B110" s="51" t="s">
        <v>2977</v>
      </c>
      <c r="C110" s="51" t="s">
        <v>2978</v>
      </c>
      <c r="D110" s="51" t="s">
        <v>171</v>
      </c>
      <c r="E110" s="51" t="s">
        <v>1493</v>
      </c>
      <c r="F110" s="51">
        <v>5</v>
      </c>
      <c r="G110" s="51" t="s">
        <v>35</v>
      </c>
      <c r="H110" s="51">
        <v>6.75</v>
      </c>
      <c r="I110" s="51">
        <f t="shared" si="35"/>
        <v>33.75</v>
      </c>
      <c r="J110" s="51">
        <f t="shared" si="36"/>
        <v>254</v>
      </c>
      <c r="K110" s="51">
        <f t="shared" si="39"/>
        <v>178</v>
      </c>
      <c r="L110" s="51">
        <f t="shared" si="37"/>
        <v>1010.75</v>
      </c>
      <c r="M110" s="51">
        <f t="shared" si="38"/>
        <v>59</v>
      </c>
      <c r="N110" s="53" t="b">
        <f t="shared" si="40"/>
        <v>0</v>
      </c>
      <c r="O110" s="53" t="b">
        <f t="shared" si="41"/>
        <v>1</v>
      </c>
      <c r="P110" s="53" t="str">
        <f t="shared" si="42"/>
        <v>cans5</v>
      </c>
      <c r="Q110" s="68" t="str">
        <f t="shared" si="43"/>
        <v>254
C001504</v>
      </c>
      <c r="R110" s="53" t="b">
        <f t="shared" si="44"/>
        <v>0</v>
      </c>
      <c r="S110" s="53"/>
      <c r="T110" s="53" t="str">
        <f t="shared" si="45"/>
        <v>CANS</v>
      </c>
      <c r="U110" s="53" t="str">
        <f t="shared" si="46"/>
        <v>cans</v>
      </c>
      <c r="V110" s="53">
        <f t="shared" si="47"/>
        <v>1</v>
      </c>
      <c r="W110" s="53" t="str">
        <f t="shared" si="48"/>
        <v>cans 5</v>
      </c>
      <c r="X110" s="53" t="str">
        <f t="shared" si="49"/>
        <v>1818.75</v>
      </c>
      <c r="Y110" s="53" t="str">
        <f t="shared" si="50"/>
        <v xml:space="preserve">254
</v>
      </c>
      <c r="Z110" s="53" t="str">
        <f t="shared" si="51"/>
        <v>1504</v>
      </c>
      <c r="AA110" s="53">
        <f t="shared" si="52"/>
        <v>5</v>
      </c>
      <c r="AB110" s="53">
        <f t="shared" si="53"/>
        <v>2</v>
      </c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</row>
    <row r="111" spans="1:41" ht="30" x14ac:dyDescent="0.25">
      <c r="A111" s="51" t="s">
        <v>71</v>
      </c>
      <c r="B111" s="51" t="s">
        <v>2979</v>
      </c>
      <c r="C111" s="51" t="s">
        <v>2980</v>
      </c>
      <c r="D111" s="51" t="s">
        <v>677</v>
      </c>
      <c r="E111" s="51" t="s">
        <v>847</v>
      </c>
      <c r="F111" s="51">
        <v>8</v>
      </c>
      <c r="G111" s="51" t="s">
        <v>60</v>
      </c>
      <c r="H111" s="51">
        <v>20</v>
      </c>
      <c r="I111" s="51">
        <f t="shared" si="35"/>
        <v>160</v>
      </c>
      <c r="J111" s="51">
        <f t="shared" si="36"/>
        <v>67.5</v>
      </c>
      <c r="K111" s="51">
        <f t="shared" si="39"/>
        <v>46</v>
      </c>
      <c r="L111" s="51">
        <f t="shared" si="37"/>
        <v>908</v>
      </c>
      <c r="M111" s="51">
        <f t="shared" si="38"/>
        <v>50</v>
      </c>
      <c r="N111" s="53" t="b">
        <f t="shared" si="40"/>
        <v>0</v>
      </c>
      <c r="O111" s="53" t="b">
        <f t="shared" si="41"/>
        <v>1</v>
      </c>
      <c r="P111" s="53" t="str">
        <f t="shared" si="42"/>
        <v>bottles8</v>
      </c>
      <c r="Q111" s="68" t="str">
        <f t="shared" si="43"/>
        <v>67.5
C000099</v>
      </c>
      <c r="R111" s="53" t="b">
        <f t="shared" si="44"/>
        <v>0</v>
      </c>
      <c r="S111" s="53"/>
      <c r="T111" s="53" t="str">
        <f t="shared" si="45"/>
        <v>BOTTLES</v>
      </c>
      <c r="U111" s="53" t="str">
        <f t="shared" si="46"/>
        <v>bottles</v>
      </c>
      <c r="V111" s="53">
        <f t="shared" si="47"/>
        <v>1</v>
      </c>
      <c r="W111" s="53" t="str">
        <f t="shared" si="48"/>
        <v>bottles 8</v>
      </c>
      <c r="X111" s="53" t="str">
        <f t="shared" si="49"/>
        <v>988</v>
      </c>
      <c r="Y111" s="53" t="str">
        <f t="shared" si="50"/>
        <v>67.5</v>
      </c>
      <c r="Z111" s="53" t="str">
        <f t="shared" si="51"/>
        <v>0099</v>
      </c>
      <c r="AA111" s="53">
        <f t="shared" si="52"/>
        <v>6</v>
      </c>
      <c r="AB111" s="53">
        <f t="shared" si="53"/>
        <v>4</v>
      </c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</row>
    <row r="112" spans="1:41" ht="30" x14ac:dyDescent="0.25">
      <c r="A112" s="51" t="s">
        <v>107</v>
      </c>
      <c r="B112" s="51" t="s">
        <v>2981</v>
      </c>
      <c r="C112" s="51" t="s">
        <v>2982</v>
      </c>
      <c r="D112" s="51" t="s">
        <v>181</v>
      </c>
      <c r="E112" s="51" t="s">
        <v>1963</v>
      </c>
      <c r="F112" s="51">
        <v>11</v>
      </c>
      <c r="G112" s="51" t="s">
        <v>13</v>
      </c>
      <c r="H112" s="51">
        <v>6</v>
      </c>
      <c r="I112" s="51">
        <f t="shared" si="35"/>
        <v>66</v>
      </c>
      <c r="J112" s="51">
        <f t="shared" si="36"/>
        <v>194.5</v>
      </c>
      <c r="K112" s="51">
        <f t="shared" si="39"/>
        <v>139</v>
      </c>
      <c r="L112" s="51">
        <f t="shared" si="37"/>
        <v>2079.5</v>
      </c>
      <c r="M112" s="51">
        <f t="shared" si="38"/>
        <v>107</v>
      </c>
      <c r="N112" s="53" t="b">
        <f t="shared" si="40"/>
        <v>0</v>
      </c>
      <c r="O112" s="53" t="b">
        <f t="shared" si="41"/>
        <v>1</v>
      </c>
      <c r="P112" s="53" t="str">
        <f t="shared" si="42"/>
        <v>ct11</v>
      </c>
      <c r="Q112" s="68" t="str">
        <f t="shared" si="43"/>
        <v>194.5
C003137</v>
      </c>
      <c r="R112" s="53" t="b">
        <f t="shared" si="44"/>
        <v>0</v>
      </c>
      <c r="S112" s="53"/>
      <c r="T112" s="53" t="str">
        <f t="shared" si="45"/>
        <v>CT</v>
      </c>
      <c r="U112" s="53" t="str">
        <f t="shared" si="46"/>
        <v>ct</v>
      </c>
      <c r="V112" s="53">
        <f t="shared" si="47"/>
        <v>1</v>
      </c>
      <c r="W112" s="53" t="str">
        <f t="shared" si="48"/>
        <v>ct 11</v>
      </c>
      <c r="X112" s="53" t="str">
        <f t="shared" si="49"/>
        <v>2879.5</v>
      </c>
      <c r="Y112" s="53" t="str">
        <f t="shared" si="50"/>
        <v>194.</v>
      </c>
      <c r="Z112" s="53" t="str">
        <f t="shared" si="51"/>
        <v>3137</v>
      </c>
      <c r="AA112" s="53">
        <f t="shared" si="52"/>
        <v>7</v>
      </c>
      <c r="AB112" s="53">
        <f t="shared" si="53"/>
        <v>4</v>
      </c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</row>
    <row r="113" spans="1:41" ht="30" x14ac:dyDescent="0.25">
      <c r="A113" s="51" t="s">
        <v>339</v>
      </c>
      <c r="B113" s="51" t="s">
        <v>2983</v>
      </c>
      <c r="C113" s="51" t="s">
        <v>2984</v>
      </c>
      <c r="D113" s="51" t="s">
        <v>588</v>
      </c>
      <c r="E113" s="51" t="s">
        <v>2499</v>
      </c>
      <c r="F113" s="51">
        <v>10</v>
      </c>
      <c r="G113" s="51" t="s">
        <v>106</v>
      </c>
      <c r="H113" s="51">
        <v>16</v>
      </c>
      <c r="I113" s="51">
        <f t="shared" si="35"/>
        <v>160</v>
      </c>
      <c r="J113" s="51">
        <f t="shared" si="36"/>
        <v>67.5</v>
      </c>
      <c r="K113" s="51">
        <f t="shared" si="39"/>
        <v>46</v>
      </c>
      <c r="L113" s="51">
        <f t="shared" si="37"/>
        <v>285</v>
      </c>
      <c r="M113" s="51">
        <f t="shared" si="38"/>
        <v>17</v>
      </c>
      <c r="N113" s="53" t="b">
        <f t="shared" si="40"/>
        <v>0</v>
      </c>
      <c r="O113" s="53" t="b">
        <f t="shared" si="41"/>
        <v>1</v>
      </c>
      <c r="P113" s="53" t="str">
        <f t="shared" si="42"/>
        <v>bags10</v>
      </c>
      <c r="Q113" s="68" t="str">
        <f t="shared" si="43"/>
        <v>67.5
C002189</v>
      </c>
      <c r="R113" s="53" t="b">
        <f t="shared" si="44"/>
        <v>0</v>
      </c>
      <c r="S113" s="53"/>
      <c r="T113" s="53" t="str">
        <f t="shared" si="45"/>
        <v>BAGS</v>
      </c>
      <c r="U113" s="53" t="str">
        <f t="shared" si="46"/>
        <v>bags</v>
      </c>
      <c r="V113" s="53">
        <f t="shared" si="47"/>
        <v>1</v>
      </c>
      <c r="W113" s="53" t="str">
        <f t="shared" si="48"/>
        <v>bags 10</v>
      </c>
      <c r="X113" s="53" t="str">
        <f t="shared" si="49"/>
        <v>285</v>
      </c>
      <c r="Y113" s="53" t="str">
        <f t="shared" si="50"/>
        <v>67.5</v>
      </c>
      <c r="Z113" s="53" t="str">
        <f t="shared" si="51"/>
        <v>2189</v>
      </c>
      <c r="AA113" s="53">
        <f t="shared" si="52"/>
        <v>6</v>
      </c>
      <c r="AB113" s="53">
        <f t="shared" si="53"/>
        <v>4</v>
      </c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</row>
    <row r="114" spans="1:41" ht="30" x14ac:dyDescent="0.25">
      <c r="A114" s="51" t="s">
        <v>71</v>
      </c>
      <c r="B114" s="51" t="s">
        <v>2985</v>
      </c>
      <c r="C114" s="51" t="s">
        <v>2986</v>
      </c>
      <c r="D114" s="51" t="s">
        <v>64</v>
      </c>
      <c r="E114" s="51" t="s">
        <v>2987</v>
      </c>
      <c r="F114" s="51">
        <v>2</v>
      </c>
      <c r="G114" s="51" t="s">
        <v>35</v>
      </c>
      <c r="H114" s="51">
        <v>15.5</v>
      </c>
      <c r="I114" s="51">
        <f t="shared" si="35"/>
        <v>31</v>
      </c>
      <c r="J114" s="51">
        <f t="shared" si="36"/>
        <v>265</v>
      </c>
      <c r="K114" s="51">
        <f t="shared" si="39"/>
        <v>182</v>
      </c>
      <c r="L114" s="51">
        <f t="shared" si="37"/>
        <v>1010.75</v>
      </c>
      <c r="M114" s="51">
        <f t="shared" si="38"/>
        <v>59</v>
      </c>
      <c r="N114" s="53" t="b">
        <f t="shared" si="40"/>
        <v>0</v>
      </c>
      <c r="O114" s="53" t="b">
        <f t="shared" si="41"/>
        <v>1</v>
      </c>
      <c r="P114" s="53" t="str">
        <f t="shared" si="42"/>
        <v>cans2</v>
      </c>
      <c r="Q114" s="68" t="str">
        <f t="shared" si="43"/>
        <v>265
C003766</v>
      </c>
      <c r="R114" s="53" t="b">
        <f t="shared" si="44"/>
        <v>0</v>
      </c>
      <c r="S114" s="53"/>
      <c r="T114" s="53" t="str">
        <f t="shared" si="45"/>
        <v>CANS</v>
      </c>
      <c r="U114" s="53" t="str">
        <f t="shared" si="46"/>
        <v>cans</v>
      </c>
      <c r="V114" s="53">
        <f t="shared" si="47"/>
        <v>1</v>
      </c>
      <c r="W114" s="53" t="str">
        <f t="shared" si="48"/>
        <v>cans 2</v>
      </c>
      <c r="X114" s="53" t="str">
        <f t="shared" si="49"/>
        <v>1818.75</v>
      </c>
      <c r="Y114" s="53" t="str">
        <f t="shared" si="50"/>
        <v xml:space="preserve">265
</v>
      </c>
      <c r="Z114" s="53" t="str">
        <f t="shared" si="51"/>
        <v>3766</v>
      </c>
      <c r="AA114" s="53">
        <f t="shared" si="52"/>
        <v>5</v>
      </c>
      <c r="AB114" s="53">
        <f t="shared" si="53"/>
        <v>2</v>
      </c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</row>
    <row r="115" spans="1:41" ht="30" x14ac:dyDescent="0.25">
      <c r="A115" s="51" t="s">
        <v>25</v>
      </c>
      <c r="B115" s="51" t="s">
        <v>2988</v>
      </c>
      <c r="C115" s="51" t="s">
        <v>2989</v>
      </c>
      <c r="D115" s="51" t="s">
        <v>393</v>
      </c>
      <c r="E115" s="51" t="s">
        <v>2990</v>
      </c>
      <c r="F115" s="51">
        <v>8</v>
      </c>
      <c r="G115" s="51" t="s">
        <v>167</v>
      </c>
      <c r="H115" s="51">
        <v>15</v>
      </c>
      <c r="I115" s="51">
        <f t="shared" si="35"/>
        <v>120</v>
      </c>
      <c r="J115" s="51">
        <f t="shared" si="36"/>
        <v>112</v>
      </c>
      <c r="K115" s="51">
        <f t="shared" si="39"/>
        <v>76</v>
      </c>
      <c r="L115" s="51">
        <f t="shared" si="37"/>
        <v>307</v>
      </c>
      <c r="M115" s="51">
        <f t="shared" si="38"/>
        <v>19</v>
      </c>
      <c r="N115" s="53" t="b">
        <f t="shared" si="40"/>
        <v>0</v>
      </c>
      <c r="O115" s="53" t="b">
        <f t="shared" si="41"/>
        <v>0</v>
      </c>
      <c r="P115" s="53" t="str">
        <f t="shared" si="42"/>
        <v>oz8</v>
      </c>
      <c r="Q115" s="68" t="str">
        <f t="shared" si="43"/>
        <v>112
C003034</v>
      </c>
      <c r="R115" s="53" t="b">
        <f t="shared" si="44"/>
        <v>0</v>
      </c>
      <c r="S115" s="53"/>
      <c r="T115" s="53" t="str">
        <f t="shared" si="45"/>
        <v>OZ</v>
      </c>
      <c r="U115" s="53" t="str">
        <f t="shared" si="46"/>
        <v>oz</v>
      </c>
      <c r="V115" s="53">
        <f t="shared" si="47"/>
        <v>1</v>
      </c>
      <c r="W115" s="53" t="str">
        <f t="shared" si="48"/>
        <v>oz 8</v>
      </c>
      <c r="X115" s="53" t="str">
        <f t="shared" si="49"/>
        <v>387</v>
      </c>
      <c r="Y115" s="53" t="str">
        <f t="shared" si="50"/>
        <v xml:space="preserve">112
</v>
      </c>
      <c r="Z115" s="53" t="str">
        <f t="shared" si="51"/>
        <v>3034</v>
      </c>
      <c r="AA115" s="53">
        <f t="shared" si="52"/>
        <v>5</v>
      </c>
      <c r="AB115" s="53">
        <f t="shared" si="53"/>
        <v>7</v>
      </c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</row>
    <row r="116" spans="1:41" ht="30" x14ac:dyDescent="0.25">
      <c r="A116" s="51" t="s">
        <v>125</v>
      </c>
      <c r="B116" s="51" t="s">
        <v>2991</v>
      </c>
      <c r="C116" s="51" t="s">
        <v>2992</v>
      </c>
      <c r="D116" s="51" t="s">
        <v>453</v>
      </c>
      <c r="E116" s="51" t="s">
        <v>2993</v>
      </c>
      <c r="F116" s="51">
        <v>8</v>
      </c>
      <c r="G116" s="51" t="s">
        <v>35</v>
      </c>
      <c r="H116" s="51">
        <v>40</v>
      </c>
      <c r="I116" s="51">
        <f t="shared" si="35"/>
        <v>320</v>
      </c>
      <c r="J116" s="51">
        <f t="shared" si="36"/>
        <v>11.5</v>
      </c>
      <c r="K116" s="51">
        <f t="shared" si="39"/>
        <v>9</v>
      </c>
      <c r="L116" s="51">
        <f t="shared" si="37"/>
        <v>1010.75</v>
      </c>
      <c r="M116" s="51">
        <f t="shared" si="38"/>
        <v>59</v>
      </c>
      <c r="N116" s="53" t="b">
        <f t="shared" si="40"/>
        <v>0</v>
      </c>
      <c r="O116" s="53" t="b">
        <f t="shared" si="41"/>
        <v>1</v>
      </c>
      <c r="P116" s="53" t="str">
        <f t="shared" si="42"/>
        <v>cans8</v>
      </c>
      <c r="Q116" s="68" t="str">
        <f t="shared" si="43"/>
        <v>11.5
C008817</v>
      </c>
      <c r="R116" s="53" t="b">
        <f t="shared" si="44"/>
        <v>0</v>
      </c>
      <c r="S116" s="53"/>
      <c r="T116" s="53" t="str">
        <f t="shared" si="45"/>
        <v>CANS</v>
      </c>
      <c r="U116" s="53" t="str">
        <f t="shared" si="46"/>
        <v>cans</v>
      </c>
      <c r="V116" s="53">
        <f t="shared" si="47"/>
        <v>1</v>
      </c>
      <c r="W116" s="53" t="str">
        <f t="shared" si="48"/>
        <v>cans 8</v>
      </c>
      <c r="X116" s="53" t="str">
        <f t="shared" si="49"/>
        <v>1818.75</v>
      </c>
      <c r="Y116" s="53" t="str">
        <f t="shared" si="50"/>
        <v>11.5</v>
      </c>
      <c r="Z116" s="53" t="str">
        <f t="shared" si="51"/>
        <v>8817</v>
      </c>
      <c r="AA116" s="53">
        <f t="shared" si="52"/>
        <v>6</v>
      </c>
      <c r="AB116" s="53">
        <f t="shared" si="53"/>
        <v>2</v>
      </c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</row>
    <row r="117" spans="1:41" ht="30" x14ac:dyDescent="0.25">
      <c r="A117" s="51" t="s">
        <v>91</v>
      </c>
      <c r="B117" s="51" t="s">
        <v>2994</v>
      </c>
      <c r="C117" s="51" t="s">
        <v>2995</v>
      </c>
      <c r="D117" s="51" t="s">
        <v>171</v>
      </c>
      <c r="E117" s="51" t="s">
        <v>2996</v>
      </c>
      <c r="F117" s="51">
        <v>4</v>
      </c>
      <c r="G117" s="51" t="s">
        <v>35</v>
      </c>
      <c r="H117" s="51">
        <v>6.75</v>
      </c>
      <c r="I117" s="51">
        <f t="shared" si="35"/>
        <v>27</v>
      </c>
      <c r="J117" s="51">
        <f t="shared" si="36"/>
        <v>273.5</v>
      </c>
      <c r="K117" s="51">
        <f t="shared" si="39"/>
        <v>184</v>
      </c>
      <c r="L117" s="51">
        <f t="shared" si="37"/>
        <v>1010.75</v>
      </c>
      <c r="M117" s="51">
        <f t="shared" si="38"/>
        <v>59</v>
      </c>
      <c r="N117" s="53" t="b">
        <f t="shared" si="40"/>
        <v>0</v>
      </c>
      <c r="O117" s="53" t="b">
        <f t="shared" si="41"/>
        <v>1</v>
      </c>
      <c r="P117" s="53" t="str">
        <f t="shared" si="42"/>
        <v>cans4</v>
      </c>
      <c r="Q117" s="68" t="str">
        <f t="shared" si="43"/>
        <v>273.5
C009030</v>
      </c>
      <c r="R117" s="53" t="b">
        <f t="shared" si="44"/>
        <v>0</v>
      </c>
      <c r="S117" s="53"/>
      <c r="T117" s="53" t="str">
        <f t="shared" si="45"/>
        <v>CANS</v>
      </c>
      <c r="U117" s="53" t="str">
        <f t="shared" si="46"/>
        <v>cans</v>
      </c>
      <c r="V117" s="53">
        <f t="shared" si="47"/>
        <v>1</v>
      </c>
      <c r="W117" s="53" t="str">
        <f t="shared" si="48"/>
        <v>cans 4</v>
      </c>
      <c r="X117" s="53" t="str">
        <f t="shared" si="49"/>
        <v>1818.75</v>
      </c>
      <c r="Y117" s="53" t="str">
        <f t="shared" si="50"/>
        <v>273.</v>
      </c>
      <c r="Z117" s="53" t="str">
        <f t="shared" si="51"/>
        <v>9030</v>
      </c>
      <c r="AA117" s="53">
        <f t="shared" si="52"/>
        <v>7</v>
      </c>
      <c r="AB117" s="53">
        <f t="shared" si="53"/>
        <v>2</v>
      </c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</row>
    <row r="118" spans="1:41" ht="30" x14ac:dyDescent="0.25">
      <c r="A118" s="51" t="s">
        <v>61</v>
      </c>
      <c r="B118" s="51" t="s">
        <v>2997</v>
      </c>
      <c r="C118" s="51" t="s">
        <v>2998</v>
      </c>
      <c r="D118" s="51" t="s">
        <v>623</v>
      </c>
      <c r="E118" s="51" t="s">
        <v>514</v>
      </c>
      <c r="F118" s="51">
        <v>4</v>
      </c>
      <c r="G118" s="51" t="s">
        <v>35</v>
      </c>
      <c r="H118" s="51">
        <v>16.25</v>
      </c>
      <c r="I118" s="51">
        <f t="shared" si="35"/>
        <v>65</v>
      </c>
      <c r="J118" s="51">
        <f t="shared" si="36"/>
        <v>198</v>
      </c>
      <c r="K118" s="51">
        <f t="shared" si="39"/>
        <v>137</v>
      </c>
      <c r="L118" s="51">
        <f t="shared" si="37"/>
        <v>1010.75</v>
      </c>
      <c r="M118" s="51">
        <f t="shared" si="38"/>
        <v>59</v>
      </c>
      <c r="N118" s="53" t="b">
        <f t="shared" si="40"/>
        <v>0</v>
      </c>
      <c r="O118" s="53" t="b">
        <f t="shared" si="41"/>
        <v>1</v>
      </c>
      <c r="P118" s="53" t="str">
        <f t="shared" si="42"/>
        <v>cans4</v>
      </c>
      <c r="Q118" s="68" t="str">
        <f t="shared" si="43"/>
        <v>198
C000456</v>
      </c>
      <c r="R118" s="53" t="b">
        <f t="shared" si="44"/>
        <v>0</v>
      </c>
      <c r="S118" s="53"/>
      <c r="T118" s="53" t="str">
        <f t="shared" si="45"/>
        <v>CANS</v>
      </c>
      <c r="U118" s="53" t="str">
        <f t="shared" si="46"/>
        <v>cans</v>
      </c>
      <c r="V118" s="53">
        <f t="shared" si="47"/>
        <v>1</v>
      </c>
      <c r="W118" s="53" t="str">
        <f t="shared" si="48"/>
        <v>cans 4</v>
      </c>
      <c r="X118" s="53" t="str">
        <f t="shared" si="49"/>
        <v>1818.75</v>
      </c>
      <c r="Y118" s="53" t="str">
        <f t="shared" si="50"/>
        <v xml:space="preserve">198
</v>
      </c>
      <c r="Z118" s="53" t="str">
        <f t="shared" si="51"/>
        <v>0456</v>
      </c>
      <c r="AA118" s="53">
        <f t="shared" si="52"/>
        <v>5</v>
      </c>
      <c r="AB118" s="53">
        <f t="shared" si="53"/>
        <v>4</v>
      </c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</row>
    <row r="119" spans="1:41" ht="30" x14ac:dyDescent="0.25">
      <c r="A119" s="51" t="s">
        <v>137</v>
      </c>
      <c r="B119" s="51" t="s">
        <v>2999</v>
      </c>
      <c r="C119" s="51" t="s">
        <v>3000</v>
      </c>
      <c r="D119" s="51" t="s">
        <v>1879</v>
      </c>
      <c r="E119" s="51" t="s">
        <v>1634</v>
      </c>
      <c r="F119" s="51">
        <v>10</v>
      </c>
      <c r="G119" s="51" t="s">
        <v>13</v>
      </c>
      <c r="H119" s="51">
        <v>15</v>
      </c>
      <c r="I119" s="51">
        <f t="shared" si="35"/>
        <v>150</v>
      </c>
      <c r="J119" s="51">
        <f t="shared" si="36"/>
        <v>82</v>
      </c>
      <c r="K119" s="51">
        <f t="shared" si="39"/>
        <v>56</v>
      </c>
      <c r="L119" s="51">
        <f t="shared" si="37"/>
        <v>2079.5</v>
      </c>
      <c r="M119" s="51">
        <f t="shared" si="38"/>
        <v>107</v>
      </c>
      <c r="N119" s="53" t="b">
        <f t="shared" si="40"/>
        <v>0</v>
      </c>
      <c r="O119" s="53" t="b">
        <f t="shared" si="41"/>
        <v>1</v>
      </c>
      <c r="P119" s="53" t="str">
        <f t="shared" si="42"/>
        <v>ct10</v>
      </c>
      <c r="Q119" s="68" t="str">
        <f t="shared" si="43"/>
        <v>82
C008423</v>
      </c>
      <c r="R119" s="53" t="b">
        <f t="shared" si="44"/>
        <v>0</v>
      </c>
      <c r="S119" s="53"/>
      <c r="T119" s="53" t="str">
        <f t="shared" si="45"/>
        <v>CT</v>
      </c>
      <c r="U119" s="53" t="str">
        <f t="shared" si="46"/>
        <v>ct</v>
      </c>
      <c r="V119" s="53">
        <f t="shared" si="47"/>
        <v>1</v>
      </c>
      <c r="W119" s="53" t="str">
        <f t="shared" si="48"/>
        <v>ct 10</v>
      </c>
      <c r="X119" s="53" t="str">
        <f t="shared" si="49"/>
        <v>2879.5</v>
      </c>
      <c r="Y119" s="53" t="str">
        <f t="shared" si="50"/>
        <v>82
C</v>
      </c>
      <c r="Z119" s="53" t="str">
        <f t="shared" si="51"/>
        <v>8423</v>
      </c>
      <c r="AA119" s="53">
        <f t="shared" si="52"/>
        <v>4</v>
      </c>
      <c r="AB119" s="53">
        <f t="shared" si="53"/>
        <v>2</v>
      </c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</row>
    <row r="120" spans="1:41" ht="30" x14ac:dyDescent="0.25">
      <c r="A120" s="51" t="s">
        <v>96</v>
      </c>
      <c r="B120" s="51" t="s">
        <v>2427</v>
      </c>
      <c r="C120" s="51" t="s">
        <v>3001</v>
      </c>
      <c r="D120" s="51" t="s">
        <v>746</v>
      </c>
      <c r="E120" s="51" t="s">
        <v>3002</v>
      </c>
      <c r="F120" s="51">
        <v>7</v>
      </c>
      <c r="G120" s="51" t="s">
        <v>35</v>
      </c>
      <c r="H120" s="51">
        <v>16</v>
      </c>
      <c r="I120" s="51">
        <f t="shared" si="35"/>
        <v>112</v>
      </c>
      <c r="J120" s="51">
        <f t="shared" si="36"/>
        <v>124.5</v>
      </c>
      <c r="K120" s="51">
        <f t="shared" si="39"/>
        <v>86</v>
      </c>
      <c r="L120" s="51">
        <f t="shared" si="37"/>
        <v>1010.75</v>
      </c>
      <c r="M120" s="51">
        <f t="shared" si="38"/>
        <v>59</v>
      </c>
      <c r="N120" s="53" t="b">
        <f t="shared" si="40"/>
        <v>0</v>
      </c>
      <c r="O120" s="53" t="b">
        <f t="shared" si="41"/>
        <v>0</v>
      </c>
      <c r="P120" s="53" t="str">
        <f t="shared" si="42"/>
        <v>cans7</v>
      </c>
      <c r="Q120" s="68" t="str">
        <f t="shared" si="43"/>
        <v>124.5
C006886</v>
      </c>
      <c r="R120" s="53" t="b">
        <f t="shared" si="44"/>
        <v>0</v>
      </c>
      <c r="S120" s="53"/>
      <c r="T120" s="53" t="str">
        <f t="shared" si="45"/>
        <v>CANS</v>
      </c>
      <c r="U120" s="53" t="str">
        <f t="shared" si="46"/>
        <v>cans</v>
      </c>
      <c r="V120" s="53">
        <f t="shared" si="47"/>
        <v>1</v>
      </c>
      <c r="W120" s="53" t="str">
        <f t="shared" si="48"/>
        <v>cans 7</v>
      </c>
      <c r="X120" s="53" t="str">
        <f t="shared" si="49"/>
        <v>1818.75</v>
      </c>
      <c r="Y120" s="53" t="str">
        <f t="shared" si="50"/>
        <v>124.</v>
      </c>
      <c r="Z120" s="53" t="str">
        <f t="shared" si="51"/>
        <v>6886</v>
      </c>
      <c r="AA120" s="53">
        <f t="shared" si="52"/>
        <v>7</v>
      </c>
      <c r="AB120" s="53">
        <f t="shared" si="53"/>
        <v>5</v>
      </c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</row>
    <row r="121" spans="1:41" ht="30" x14ac:dyDescent="0.25">
      <c r="A121" s="51" t="s">
        <v>14</v>
      </c>
      <c r="B121" s="51" t="s">
        <v>3003</v>
      </c>
      <c r="C121" s="51" t="s">
        <v>3004</v>
      </c>
      <c r="D121" s="51" t="s">
        <v>668</v>
      </c>
      <c r="E121" s="51" t="s">
        <v>1925</v>
      </c>
      <c r="F121" s="51">
        <v>7</v>
      </c>
      <c r="G121" s="51" t="s">
        <v>19</v>
      </c>
      <c r="H121" s="51">
        <v>26</v>
      </c>
      <c r="I121" s="51">
        <f t="shared" si="35"/>
        <v>182</v>
      </c>
      <c r="J121" s="51">
        <f t="shared" si="36"/>
        <v>41</v>
      </c>
      <c r="K121" s="51">
        <f t="shared" si="39"/>
        <v>31</v>
      </c>
      <c r="L121" s="51">
        <f t="shared" si="37"/>
        <v>182</v>
      </c>
      <c r="M121" s="51">
        <f t="shared" si="38"/>
        <v>7</v>
      </c>
      <c r="N121" s="53" t="b">
        <f t="shared" si="40"/>
        <v>0</v>
      </c>
      <c r="O121" s="53" t="b">
        <f t="shared" si="41"/>
        <v>1</v>
      </c>
      <c r="P121" s="53" t="str">
        <f t="shared" si="42"/>
        <v>rolls7</v>
      </c>
      <c r="Q121" s="68" t="str">
        <f t="shared" si="43"/>
        <v>41
C005346</v>
      </c>
      <c r="R121" s="53" t="b">
        <f t="shared" si="44"/>
        <v>0</v>
      </c>
      <c r="S121" s="53"/>
      <c r="T121" s="53" t="str">
        <f t="shared" si="45"/>
        <v>ROLLS</v>
      </c>
      <c r="U121" s="53" t="str">
        <f t="shared" si="46"/>
        <v>rolls</v>
      </c>
      <c r="V121" s="53">
        <f t="shared" si="47"/>
        <v>1</v>
      </c>
      <c r="W121" s="53" t="str">
        <f t="shared" si="48"/>
        <v>rolls 7</v>
      </c>
      <c r="X121" s="53" t="str">
        <f t="shared" si="49"/>
        <v>182</v>
      </c>
      <c r="Y121" s="53" t="str">
        <f t="shared" si="50"/>
        <v>41
C</v>
      </c>
      <c r="Z121" s="53" t="str">
        <f t="shared" si="51"/>
        <v>5346</v>
      </c>
      <c r="AA121" s="53">
        <f t="shared" si="52"/>
        <v>4</v>
      </c>
      <c r="AB121" s="53">
        <f t="shared" si="53"/>
        <v>2</v>
      </c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</row>
    <row r="122" spans="1:41" ht="30" x14ac:dyDescent="0.25">
      <c r="A122" s="51" t="s">
        <v>96</v>
      </c>
      <c r="B122" s="51" t="s">
        <v>2458</v>
      </c>
      <c r="C122" s="51" t="s">
        <v>3005</v>
      </c>
      <c r="D122" s="51" t="s">
        <v>1544</v>
      </c>
      <c r="E122" s="51" t="s">
        <v>629</v>
      </c>
      <c r="F122" s="51">
        <v>10</v>
      </c>
      <c r="G122" s="51" t="s">
        <v>35</v>
      </c>
      <c r="H122" s="51">
        <v>6.75</v>
      </c>
      <c r="I122" s="51">
        <f t="shared" si="35"/>
        <v>67.5</v>
      </c>
      <c r="J122" s="51">
        <f t="shared" si="36"/>
        <v>191</v>
      </c>
      <c r="K122" s="51">
        <f t="shared" si="39"/>
        <v>128</v>
      </c>
      <c r="L122" s="51">
        <f t="shared" si="37"/>
        <v>1010.75</v>
      </c>
      <c r="M122" s="51">
        <f t="shared" si="38"/>
        <v>59</v>
      </c>
      <c r="N122" s="53" t="b">
        <f t="shared" si="40"/>
        <v>0</v>
      </c>
      <c r="O122" s="53" t="b">
        <f t="shared" si="41"/>
        <v>1</v>
      </c>
      <c r="P122" s="53" t="str">
        <f t="shared" si="42"/>
        <v>cans10</v>
      </c>
      <c r="Q122" s="68" t="str">
        <f t="shared" si="43"/>
        <v>191
C008589</v>
      </c>
      <c r="R122" s="53" t="b">
        <f t="shared" si="44"/>
        <v>0</v>
      </c>
      <c r="S122" s="53"/>
      <c r="T122" s="53" t="str">
        <f t="shared" si="45"/>
        <v>CANS</v>
      </c>
      <c r="U122" s="53" t="str">
        <f t="shared" si="46"/>
        <v>cans</v>
      </c>
      <c r="V122" s="53">
        <f t="shared" si="47"/>
        <v>1</v>
      </c>
      <c r="W122" s="53" t="str">
        <f t="shared" si="48"/>
        <v>cans 10</v>
      </c>
      <c r="X122" s="53" t="str">
        <f t="shared" si="49"/>
        <v>1818.75</v>
      </c>
      <c r="Y122" s="53" t="str">
        <f t="shared" si="50"/>
        <v xml:space="preserve">191
</v>
      </c>
      <c r="Z122" s="53" t="str">
        <f t="shared" si="51"/>
        <v>8589</v>
      </c>
      <c r="AA122" s="53">
        <f t="shared" si="52"/>
        <v>5</v>
      </c>
      <c r="AB122" s="53">
        <f t="shared" si="53"/>
        <v>4</v>
      </c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</row>
    <row r="123" spans="1:41" ht="30" x14ac:dyDescent="0.25">
      <c r="A123" s="51" t="s">
        <v>101</v>
      </c>
      <c r="B123" s="51" t="s">
        <v>3006</v>
      </c>
      <c r="C123" s="51" t="s">
        <v>3007</v>
      </c>
      <c r="D123" s="51" t="s">
        <v>495</v>
      </c>
      <c r="E123" s="51" t="s">
        <v>940</v>
      </c>
      <c r="F123" s="51">
        <v>1</v>
      </c>
      <c r="G123" s="51" t="s">
        <v>167</v>
      </c>
      <c r="H123" s="51">
        <v>16</v>
      </c>
      <c r="I123" s="51">
        <f t="shared" si="35"/>
        <v>16</v>
      </c>
      <c r="J123" s="51">
        <f t="shared" si="36"/>
        <v>288</v>
      </c>
      <c r="K123" s="51">
        <f t="shared" si="39"/>
        <v>191</v>
      </c>
      <c r="L123" s="51">
        <f t="shared" si="37"/>
        <v>307</v>
      </c>
      <c r="M123" s="51">
        <f t="shared" si="38"/>
        <v>19</v>
      </c>
      <c r="N123" s="53" t="b">
        <f t="shared" si="40"/>
        <v>0</v>
      </c>
      <c r="O123" s="53" t="b">
        <f t="shared" si="41"/>
        <v>1</v>
      </c>
      <c r="P123" s="53" t="str">
        <f t="shared" si="42"/>
        <v>oz1</v>
      </c>
      <c r="Q123" s="68" t="str">
        <f t="shared" si="43"/>
        <v>288
C006476</v>
      </c>
      <c r="R123" s="53" t="b">
        <f t="shared" si="44"/>
        <v>0</v>
      </c>
      <c r="S123" s="53"/>
      <c r="T123" s="53" t="str">
        <f t="shared" si="45"/>
        <v>OZ</v>
      </c>
      <c r="U123" s="53" t="str">
        <f t="shared" si="46"/>
        <v>oz</v>
      </c>
      <c r="V123" s="53">
        <f t="shared" si="47"/>
        <v>1</v>
      </c>
      <c r="W123" s="53" t="str">
        <f t="shared" si="48"/>
        <v>oz 1</v>
      </c>
      <c r="X123" s="53" t="str">
        <f t="shared" si="49"/>
        <v>387</v>
      </c>
      <c r="Y123" s="53" t="str">
        <f t="shared" si="50"/>
        <v xml:space="preserve">288
</v>
      </c>
      <c r="Z123" s="53" t="str">
        <f t="shared" si="51"/>
        <v>6476</v>
      </c>
      <c r="AA123" s="53">
        <f t="shared" si="52"/>
        <v>5</v>
      </c>
      <c r="AB123" s="53">
        <f t="shared" si="53"/>
        <v>4</v>
      </c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</row>
    <row r="124" spans="1:41" ht="30" x14ac:dyDescent="0.25">
      <c r="A124" s="51" t="s">
        <v>25</v>
      </c>
      <c r="B124" s="51" t="s">
        <v>3008</v>
      </c>
      <c r="C124" s="51" t="s">
        <v>3009</v>
      </c>
      <c r="D124" s="51" t="s">
        <v>171</v>
      </c>
      <c r="E124" s="51" t="s">
        <v>253</v>
      </c>
      <c r="F124" s="51">
        <v>4</v>
      </c>
      <c r="G124" s="51" t="s">
        <v>35</v>
      </c>
      <c r="H124" s="51">
        <v>6.75</v>
      </c>
      <c r="I124" s="51">
        <f t="shared" si="35"/>
        <v>27</v>
      </c>
      <c r="J124" s="51">
        <f t="shared" si="36"/>
        <v>273.5</v>
      </c>
      <c r="K124" s="51">
        <f t="shared" si="39"/>
        <v>179</v>
      </c>
      <c r="L124" s="51">
        <f t="shared" si="37"/>
        <v>1010.75</v>
      </c>
      <c r="M124" s="51">
        <f t="shared" si="38"/>
        <v>59</v>
      </c>
      <c r="N124" s="53" t="b">
        <f t="shared" si="40"/>
        <v>0</v>
      </c>
      <c r="O124" s="53" t="b">
        <f t="shared" si="41"/>
        <v>1</v>
      </c>
      <c r="P124" s="53" t="str">
        <f t="shared" si="42"/>
        <v>cans4</v>
      </c>
      <c r="Q124" s="68" t="str">
        <f t="shared" si="43"/>
        <v>273.5
C005644</v>
      </c>
      <c r="R124" s="53" t="b">
        <f t="shared" si="44"/>
        <v>0</v>
      </c>
      <c r="S124" s="53"/>
      <c r="T124" s="53" t="str">
        <f t="shared" si="45"/>
        <v>CANS</v>
      </c>
      <c r="U124" s="53" t="str">
        <f t="shared" si="46"/>
        <v>cans</v>
      </c>
      <c r="V124" s="53">
        <f t="shared" si="47"/>
        <v>1</v>
      </c>
      <c r="W124" s="53" t="str">
        <f t="shared" si="48"/>
        <v>cans 4</v>
      </c>
      <c r="X124" s="53" t="str">
        <f t="shared" si="49"/>
        <v>1818.75</v>
      </c>
      <c r="Y124" s="53" t="str">
        <f t="shared" si="50"/>
        <v>273.</v>
      </c>
      <c r="Z124" s="53" t="str">
        <f t="shared" si="51"/>
        <v>5644</v>
      </c>
      <c r="AA124" s="53">
        <f t="shared" si="52"/>
        <v>7</v>
      </c>
      <c r="AB124" s="53">
        <f t="shared" si="53"/>
        <v>2</v>
      </c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</row>
    <row r="125" spans="1:41" ht="30" x14ac:dyDescent="0.25">
      <c r="A125" s="51" t="s">
        <v>743</v>
      </c>
      <c r="B125" s="51" t="s">
        <v>3010</v>
      </c>
      <c r="C125" s="51" t="s">
        <v>3011</v>
      </c>
      <c r="D125" s="51" t="s">
        <v>596</v>
      </c>
      <c r="E125" s="51" t="s">
        <v>1834</v>
      </c>
      <c r="F125" s="51">
        <v>10</v>
      </c>
      <c r="G125" s="51" t="s">
        <v>178</v>
      </c>
      <c r="H125" s="51">
        <v>16</v>
      </c>
      <c r="I125" s="51">
        <f t="shared" si="35"/>
        <v>160</v>
      </c>
      <c r="J125" s="51">
        <f t="shared" si="36"/>
        <v>67.5</v>
      </c>
      <c r="K125" s="51">
        <f t="shared" si="39"/>
        <v>44</v>
      </c>
      <c r="L125" s="51">
        <f t="shared" si="37"/>
        <v>32</v>
      </c>
      <c r="M125" s="51">
        <f t="shared" si="38"/>
        <v>2</v>
      </c>
      <c r="N125" s="53" t="b">
        <f t="shared" si="40"/>
        <v>0</v>
      </c>
      <c r="O125" s="53" t="b">
        <f t="shared" si="41"/>
        <v>1</v>
      </c>
      <c r="P125" s="53" t="str">
        <f t="shared" si="42"/>
        <v>tubs10</v>
      </c>
      <c r="Q125" s="68" t="str">
        <f t="shared" si="43"/>
        <v>67.5
C008415</v>
      </c>
      <c r="R125" s="53" t="b">
        <f t="shared" si="44"/>
        <v>0</v>
      </c>
      <c r="S125" s="53"/>
      <c r="T125" s="53" t="str">
        <f t="shared" si="45"/>
        <v>TUBS</v>
      </c>
      <c r="U125" s="53" t="str">
        <f t="shared" si="46"/>
        <v>tubs</v>
      </c>
      <c r="V125" s="53">
        <f t="shared" si="47"/>
        <v>1</v>
      </c>
      <c r="W125" s="53" t="str">
        <f t="shared" si="48"/>
        <v>tubs 10</v>
      </c>
      <c r="X125" s="53" t="str">
        <f t="shared" si="49"/>
        <v>32</v>
      </c>
      <c r="Y125" s="53" t="str">
        <f t="shared" si="50"/>
        <v>67.5</v>
      </c>
      <c r="Z125" s="53" t="str">
        <f t="shared" si="51"/>
        <v>8415</v>
      </c>
      <c r="AA125" s="53">
        <f t="shared" si="52"/>
        <v>6</v>
      </c>
      <c r="AB125" s="53">
        <f t="shared" si="53"/>
        <v>4</v>
      </c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</row>
    <row r="126" spans="1:41" ht="30" x14ac:dyDescent="0.25">
      <c r="A126" s="51" t="s">
        <v>91</v>
      </c>
      <c r="B126" s="51" t="s">
        <v>3012</v>
      </c>
      <c r="C126" s="51" t="s">
        <v>3013</v>
      </c>
      <c r="D126" s="51" t="s">
        <v>2840</v>
      </c>
      <c r="E126" s="51" t="s">
        <v>3014</v>
      </c>
      <c r="F126" s="51">
        <v>7</v>
      </c>
      <c r="G126" s="51" t="s">
        <v>904</v>
      </c>
      <c r="H126" s="51">
        <v>24</v>
      </c>
      <c r="I126" s="51">
        <f t="shared" si="35"/>
        <v>168</v>
      </c>
      <c r="J126" s="51">
        <f t="shared" si="36"/>
        <v>55</v>
      </c>
      <c r="K126" s="51">
        <f t="shared" si="39"/>
        <v>39</v>
      </c>
      <c r="L126" s="51">
        <f t="shared" si="37"/>
        <v>223</v>
      </c>
      <c r="M126" s="51">
        <f t="shared" si="38"/>
        <v>10</v>
      </c>
      <c r="N126" s="53" t="b">
        <f t="shared" si="40"/>
        <v>0</v>
      </c>
      <c r="O126" s="53" t="b">
        <f t="shared" si="41"/>
        <v>1</v>
      </c>
      <c r="P126" s="53" t="str">
        <f t="shared" si="42"/>
        <v>bars7</v>
      </c>
      <c r="Q126" s="68" t="str">
        <f t="shared" si="43"/>
        <v>55
C001242</v>
      </c>
      <c r="R126" s="53" t="b">
        <f t="shared" si="44"/>
        <v>0</v>
      </c>
      <c r="S126" s="53"/>
      <c r="T126" s="53" t="str">
        <f t="shared" si="45"/>
        <v>BARS</v>
      </c>
      <c r="U126" s="53" t="str">
        <f t="shared" si="46"/>
        <v>bars</v>
      </c>
      <c r="V126" s="53">
        <f t="shared" si="47"/>
        <v>1</v>
      </c>
      <c r="W126" s="53" t="str">
        <f t="shared" si="48"/>
        <v>bars 7</v>
      </c>
      <c r="X126" s="53" t="str">
        <f t="shared" si="49"/>
        <v>223</v>
      </c>
      <c r="Y126" s="53" t="str">
        <f t="shared" si="50"/>
        <v>55
C</v>
      </c>
      <c r="Z126" s="53" t="str">
        <f t="shared" si="51"/>
        <v>1242</v>
      </c>
      <c r="AA126" s="53">
        <f t="shared" si="52"/>
        <v>4</v>
      </c>
      <c r="AB126" s="53">
        <f t="shared" si="53"/>
        <v>2</v>
      </c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</row>
    <row r="127" spans="1:41" ht="30" x14ac:dyDescent="0.25">
      <c r="A127" s="51" t="s">
        <v>121</v>
      </c>
      <c r="B127" s="51" t="s">
        <v>3015</v>
      </c>
      <c r="C127" s="51" t="s">
        <v>3016</v>
      </c>
      <c r="D127" s="51" t="s">
        <v>248</v>
      </c>
      <c r="E127" s="51" t="s">
        <v>418</v>
      </c>
      <c r="F127" s="51">
        <v>1</v>
      </c>
      <c r="G127" s="51" t="s">
        <v>13</v>
      </c>
      <c r="H127" s="51">
        <v>24</v>
      </c>
      <c r="I127" s="51">
        <f t="shared" si="35"/>
        <v>24</v>
      </c>
      <c r="J127" s="51">
        <f t="shared" si="36"/>
        <v>279</v>
      </c>
      <c r="K127" s="51">
        <f t="shared" si="39"/>
        <v>179</v>
      </c>
      <c r="L127" s="51">
        <f t="shared" si="37"/>
        <v>2079.5</v>
      </c>
      <c r="M127" s="51">
        <f t="shared" si="38"/>
        <v>107</v>
      </c>
      <c r="N127" s="53" t="b">
        <f t="shared" si="40"/>
        <v>0</v>
      </c>
      <c r="O127" s="53" t="b">
        <f t="shared" si="41"/>
        <v>1</v>
      </c>
      <c r="P127" s="53" t="str">
        <f t="shared" si="42"/>
        <v>ct1</v>
      </c>
      <c r="Q127" s="68" t="str">
        <f t="shared" si="43"/>
        <v>279
C003850</v>
      </c>
      <c r="R127" s="53" t="b">
        <f t="shared" si="44"/>
        <v>0</v>
      </c>
      <c r="S127" s="53"/>
      <c r="T127" s="53" t="str">
        <f t="shared" si="45"/>
        <v>CT</v>
      </c>
      <c r="U127" s="53" t="str">
        <f t="shared" si="46"/>
        <v>ct</v>
      </c>
      <c r="V127" s="53">
        <f t="shared" si="47"/>
        <v>1</v>
      </c>
      <c r="W127" s="53" t="str">
        <f t="shared" si="48"/>
        <v>ct 1</v>
      </c>
      <c r="X127" s="53" t="str">
        <f t="shared" si="49"/>
        <v>2879.5</v>
      </c>
      <c r="Y127" s="53" t="str">
        <f t="shared" si="50"/>
        <v xml:space="preserve">279
</v>
      </c>
      <c r="Z127" s="53" t="str">
        <f t="shared" si="51"/>
        <v>3850</v>
      </c>
      <c r="AA127" s="53">
        <f t="shared" si="52"/>
        <v>5</v>
      </c>
      <c r="AB127" s="53">
        <f t="shared" si="53"/>
        <v>4</v>
      </c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</row>
    <row r="128" spans="1:41" ht="30" x14ac:dyDescent="0.25">
      <c r="A128" s="51" t="s">
        <v>82</v>
      </c>
      <c r="B128" s="51" t="s">
        <v>3017</v>
      </c>
      <c r="C128" s="51" t="s">
        <v>3018</v>
      </c>
      <c r="D128" s="51" t="s">
        <v>85</v>
      </c>
      <c r="E128" s="51" t="s">
        <v>3019</v>
      </c>
      <c r="F128" s="51">
        <v>10</v>
      </c>
      <c r="G128" s="51" t="s">
        <v>60</v>
      </c>
      <c r="H128" s="51">
        <v>20</v>
      </c>
      <c r="I128" s="51">
        <f t="shared" si="35"/>
        <v>200</v>
      </c>
      <c r="J128" s="51">
        <f t="shared" si="36"/>
        <v>30</v>
      </c>
      <c r="K128" s="51">
        <f t="shared" si="39"/>
        <v>23</v>
      </c>
      <c r="L128" s="51">
        <f t="shared" si="37"/>
        <v>908</v>
      </c>
      <c r="M128" s="51">
        <f t="shared" si="38"/>
        <v>50</v>
      </c>
      <c r="N128" s="53" t="b">
        <f t="shared" si="40"/>
        <v>0</v>
      </c>
      <c r="O128" s="53" t="b">
        <f t="shared" si="41"/>
        <v>1</v>
      </c>
      <c r="P128" s="53" t="str">
        <f t="shared" si="42"/>
        <v>bottles10</v>
      </c>
      <c r="Q128" s="68" t="str">
        <f t="shared" si="43"/>
        <v>30
C000229</v>
      </c>
      <c r="R128" s="53" t="b">
        <f t="shared" si="44"/>
        <v>0</v>
      </c>
      <c r="S128" s="53"/>
      <c r="T128" s="53" t="str">
        <f t="shared" si="45"/>
        <v>BOTTLES</v>
      </c>
      <c r="U128" s="53" t="str">
        <f t="shared" si="46"/>
        <v>bottles</v>
      </c>
      <c r="V128" s="53">
        <f t="shared" si="47"/>
        <v>1</v>
      </c>
      <c r="W128" s="53" t="str">
        <f t="shared" si="48"/>
        <v>bottles 10</v>
      </c>
      <c r="X128" s="53" t="str">
        <f t="shared" si="49"/>
        <v>988</v>
      </c>
      <c r="Y128" s="53" t="str">
        <f t="shared" si="50"/>
        <v>30
C</v>
      </c>
      <c r="Z128" s="53" t="str">
        <f t="shared" si="51"/>
        <v>0229</v>
      </c>
      <c r="AA128" s="53">
        <f t="shared" si="52"/>
        <v>4</v>
      </c>
      <c r="AB128" s="53">
        <f t="shared" si="53"/>
        <v>4</v>
      </c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</row>
    <row r="129" spans="1:41" ht="30" x14ac:dyDescent="0.25">
      <c r="A129" s="51" t="s">
        <v>66</v>
      </c>
      <c r="B129" s="51" t="s">
        <v>3020</v>
      </c>
      <c r="C129" s="51" t="s">
        <v>3021</v>
      </c>
      <c r="D129" s="51" t="s">
        <v>378</v>
      </c>
      <c r="E129" s="51" t="s">
        <v>786</v>
      </c>
      <c r="F129" s="51">
        <v>6</v>
      </c>
      <c r="G129" s="51" t="s">
        <v>13</v>
      </c>
      <c r="H129" s="51">
        <v>33</v>
      </c>
      <c r="I129" s="51">
        <f t="shared" si="35"/>
        <v>198</v>
      </c>
      <c r="J129" s="51">
        <f t="shared" si="36"/>
        <v>34.5</v>
      </c>
      <c r="K129" s="51">
        <f t="shared" si="39"/>
        <v>26</v>
      </c>
      <c r="L129" s="51">
        <f t="shared" si="37"/>
        <v>2079.5</v>
      </c>
      <c r="M129" s="51">
        <f t="shared" si="38"/>
        <v>107</v>
      </c>
      <c r="N129" s="53" t="b">
        <f t="shared" si="40"/>
        <v>0</v>
      </c>
      <c r="O129" s="53" t="b">
        <f t="shared" si="41"/>
        <v>1</v>
      </c>
      <c r="P129" s="53" t="str">
        <f t="shared" si="42"/>
        <v>ct6</v>
      </c>
      <c r="Q129" s="68" t="str">
        <f t="shared" si="43"/>
        <v>34.5
C000083</v>
      </c>
      <c r="R129" s="53" t="b">
        <f t="shared" si="44"/>
        <v>0</v>
      </c>
      <c r="S129" s="53"/>
      <c r="T129" s="53" t="str">
        <f t="shared" si="45"/>
        <v>CT</v>
      </c>
      <c r="U129" s="53" t="str">
        <f t="shared" si="46"/>
        <v>ct</v>
      </c>
      <c r="V129" s="53">
        <f t="shared" si="47"/>
        <v>1</v>
      </c>
      <c r="W129" s="53" t="str">
        <f t="shared" si="48"/>
        <v>ct 6</v>
      </c>
      <c r="X129" s="53" t="str">
        <f t="shared" si="49"/>
        <v>2879.5</v>
      </c>
      <c r="Y129" s="53" t="str">
        <f t="shared" si="50"/>
        <v>34.5</v>
      </c>
      <c r="Z129" s="53" t="str">
        <f t="shared" si="51"/>
        <v>0083</v>
      </c>
      <c r="AA129" s="53">
        <f t="shared" si="52"/>
        <v>6</v>
      </c>
      <c r="AB129" s="53">
        <f t="shared" si="53"/>
        <v>2</v>
      </c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</row>
    <row r="130" spans="1:41" ht="30" x14ac:dyDescent="0.25">
      <c r="A130" s="51" t="s">
        <v>66</v>
      </c>
      <c r="B130" s="51" t="s">
        <v>3022</v>
      </c>
      <c r="C130" s="51" t="s">
        <v>3023</v>
      </c>
      <c r="D130" s="51" t="s">
        <v>294</v>
      </c>
      <c r="E130" s="51" t="s">
        <v>1870</v>
      </c>
      <c r="F130" s="51">
        <v>2</v>
      </c>
      <c r="G130" s="51" t="s">
        <v>13</v>
      </c>
      <c r="H130" s="51">
        <v>12</v>
      </c>
      <c r="I130" s="51">
        <f t="shared" si="35"/>
        <v>24</v>
      </c>
      <c r="J130" s="51">
        <f t="shared" si="36"/>
        <v>279</v>
      </c>
      <c r="K130" s="51">
        <f t="shared" si="39"/>
        <v>177</v>
      </c>
      <c r="L130" s="51">
        <f t="shared" si="37"/>
        <v>2079.5</v>
      </c>
      <c r="M130" s="51">
        <f t="shared" si="38"/>
        <v>107</v>
      </c>
      <c r="N130" s="53" t="b">
        <f t="shared" si="40"/>
        <v>0</v>
      </c>
      <c r="O130" s="53" t="b">
        <f t="shared" si="41"/>
        <v>1</v>
      </c>
      <c r="P130" s="53" t="str">
        <f t="shared" si="42"/>
        <v>ct2</v>
      </c>
      <c r="Q130" s="68" t="str">
        <f t="shared" si="43"/>
        <v>279
C008084</v>
      </c>
      <c r="R130" s="53" t="b">
        <f t="shared" si="44"/>
        <v>0</v>
      </c>
      <c r="S130" s="53"/>
      <c r="T130" s="53" t="str">
        <f t="shared" si="45"/>
        <v>CT</v>
      </c>
      <c r="U130" s="53" t="str">
        <f t="shared" si="46"/>
        <v>ct</v>
      </c>
      <c r="V130" s="53">
        <f t="shared" si="47"/>
        <v>1</v>
      </c>
      <c r="W130" s="53" t="str">
        <f t="shared" si="48"/>
        <v>ct 2</v>
      </c>
      <c r="X130" s="53" t="str">
        <f t="shared" si="49"/>
        <v>2879.5</v>
      </c>
      <c r="Y130" s="53" t="str">
        <f t="shared" si="50"/>
        <v xml:space="preserve">279
</v>
      </c>
      <c r="Z130" s="53" t="str">
        <f t="shared" si="51"/>
        <v>8084</v>
      </c>
      <c r="AA130" s="53">
        <f t="shared" si="52"/>
        <v>5</v>
      </c>
      <c r="AB130" s="53">
        <f t="shared" si="53"/>
        <v>2</v>
      </c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</row>
    <row r="131" spans="1:41" ht="30" x14ac:dyDescent="0.25">
      <c r="A131" s="51" t="s">
        <v>76</v>
      </c>
      <c r="B131" s="51" t="s">
        <v>3024</v>
      </c>
      <c r="C131" s="51" t="s">
        <v>3025</v>
      </c>
      <c r="D131" s="51" t="s">
        <v>703</v>
      </c>
      <c r="E131" s="51" t="s">
        <v>3026</v>
      </c>
      <c r="F131" s="51">
        <v>4</v>
      </c>
      <c r="G131" s="51" t="s">
        <v>35</v>
      </c>
      <c r="H131" s="51">
        <v>16.25</v>
      </c>
      <c r="I131" s="51">
        <f t="shared" si="35"/>
        <v>65</v>
      </c>
      <c r="J131" s="51">
        <f t="shared" si="36"/>
        <v>198</v>
      </c>
      <c r="K131" s="51">
        <f t="shared" si="39"/>
        <v>129</v>
      </c>
      <c r="L131" s="51">
        <f t="shared" si="37"/>
        <v>1010.75</v>
      </c>
      <c r="M131" s="51">
        <f t="shared" si="38"/>
        <v>59</v>
      </c>
      <c r="N131" s="53" t="b">
        <f t="shared" si="40"/>
        <v>0</v>
      </c>
      <c r="O131" s="53" t="b">
        <f t="shared" si="41"/>
        <v>1</v>
      </c>
      <c r="P131" s="53" t="str">
        <f t="shared" si="42"/>
        <v>cans4</v>
      </c>
      <c r="Q131" s="68" t="str">
        <f t="shared" si="43"/>
        <v>198
C003180</v>
      </c>
      <c r="R131" s="53" t="b">
        <f t="shared" si="44"/>
        <v>0</v>
      </c>
      <c r="S131" s="53"/>
      <c r="T131" s="53" t="str">
        <f t="shared" si="45"/>
        <v>CANS</v>
      </c>
      <c r="U131" s="53" t="str">
        <f t="shared" si="46"/>
        <v>cans</v>
      </c>
      <c r="V131" s="53">
        <f t="shared" si="47"/>
        <v>1</v>
      </c>
      <c r="W131" s="53" t="str">
        <f t="shared" si="48"/>
        <v>cans 4</v>
      </c>
      <c r="X131" s="53" t="str">
        <f t="shared" si="49"/>
        <v>1818.75</v>
      </c>
      <c r="Y131" s="53" t="str">
        <f t="shared" si="50"/>
        <v xml:space="preserve">198
</v>
      </c>
      <c r="Z131" s="53" t="str">
        <f t="shared" si="51"/>
        <v>3180</v>
      </c>
      <c r="AA131" s="53">
        <f t="shared" si="52"/>
        <v>5</v>
      </c>
      <c r="AB131" s="53">
        <f t="shared" si="53"/>
        <v>4</v>
      </c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</row>
    <row r="132" spans="1:41" ht="30" x14ac:dyDescent="0.25">
      <c r="A132" s="51" t="s">
        <v>173</v>
      </c>
      <c r="B132" s="51" t="s">
        <v>3027</v>
      </c>
      <c r="C132" s="51" t="s">
        <v>3028</v>
      </c>
      <c r="D132" s="51" t="s">
        <v>185</v>
      </c>
      <c r="E132" s="51" t="s">
        <v>1575</v>
      </c>
      <c r="F132" s="51">
        <v>6</v>
      </c>
      <c r="G132" s="51" t="s">
        <v>13</v>
      </c>
      <c r="H132" s="51">
        <v>14</v>
      </c>
      <c r="I132" s="51">
        <f t="shared" ref="I132:I195" si="54">H132*F132</f>
        <v>84</v>
      </c>
      <c r="J132" s="51">
        <f t="shared" ref="J132:J195" si="55">_xlfn.RANK.AVG(I132,$I$3:$I$304)</f>
        <v>158</v>
      </c>
      <c r="K132" s="51">
        <f t="shared" si="39"/>
        <v>102</v>
      </c>
      <c r="L132" s="51">
        <f t="shared" ref="L132:L195" si="56">SUMIF(G$3:G$304,G132,H$3:H$304)</f>
        <v>2079.5</v>
      </c>
      <c r="M132" s="51">
        <f t="shared" ref="M132:M195" si="57">COUNTIF(G$3:G$304,G132)</f>
        <v>107</v>
      </c>
      <c r="N132" s="53" t="b">
        <f t="shared" si="40"/>
        <v>0</v>
      </c>
      <c r="O132" s="53" t="b">
        <f t="shared" si="41"/>
        <v>1</v>
      </c>
      <c r="P132" s="53" t="str">
        <f t="shared" si="42"/>
        <v>ct6</v>
      </c>
      <c r="Q132" s="68" t="str">
        <f t="shared" si="43"/>
        <v>158
C006197</v>
      </c>
      <c r="R132" s="53" t="b">
        <f t="shared" si="44"/>
        <v>0</v>
      </c>
      <c r="S132" s="53"/>
      <c r="T132" s="53" t="str">
        <f t="shared" si="45"/>
        <v>CT</v>
      </c>
      <c r="U132" s="53" t="str">
        <f t="shared" si="46"/>
        <v>ct</v>
      </c>
      <c r="V132" s="53">
        <f t="shared" si="47"/>
        <v>1</v>
      </c>
      <c r="W132" s="53" t="str">
        <f t="shared" si="48"/>
        <v>ct 6</v>
      </c>
      <c r="X132" s="53" t="str">
        <f t="shared" si="49"/>
        <v>2879.5</v>
      </c>
      <c r="Y132" s="53" t="str">
        <f t="shared" si="50"/>
        <v xml:space="preserve">158
</v>
      </c>
      <c r="Z132" s="53" t="str">
        <f t="shared" si="51"/>
        <v>6197</v>
      </c>
      <c r="AA132" s="53">
        <f t="shared" si="52"/>
        <v>5</v>
      </c>
      <c r="AB132" s="53">
        <f t="shared" si="53"/>
        <v>7</v>
      </c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</row>
    <row r="133" spans="1:41" ht="30" x14ac:dyDescent="0.25">
      <c r="A133" s="51" t="s">
        <v>91</v>
      </c>
      <c r="B133" s="51" t="s">
        <v>3029</v>
      </c>
      <c r="C133" s="51" t="s">
        <v>3030</v>
      </c>
      <c r="D133" s="51" t="s">
        <v>668</v>
      </c>
      <c r="E133" s="51" t="s">
        <v>1867</v>
      </c>
      <c r="F133" s="51">
        <v>2</v>
      </c>
      <c r="G133" s="51" t="s">
        <v>19</v>
      </c>
      <c r="H133" s="51">
        <v>26</v>
      </c>
      <c r="I133" s="51">
        <f t="shared" si="54"/>
        <v>52</v>
      </c>
      <c r="J133" s="51">
        <f t="shared" si="55"/>
        <v>214.5</v>
      </c>
      <c r="K133" s="51">
        <f t="shared" si="39"/>
        <v>136</v>
      </c>
      <c r="L133" s="51">
        <f t="shared" si="56"/>
        <v>182</v>
      </c>
      <c r="M133" s="51">
        <f t="shared" si="57"/>
        <v>7</v>
      </c>
      <c r="N133" s="53" t="b">
        <f t="shared" si="40"/>
        <v>0</v>
      </c>
      <c r="O133" s="53" t="b">
        <f t="shared" si="41"/>
        <v>1</v>
      </c>
      <c r="P133" s="53" t="str">
        <f t="shared" si="42"/>
        <v>rolls2</v>
      </c>
      <c r="Q133" s="68" t="str">
        <f t="shared" si="43"/>
        <v>214.5
C003446</v>
      </c>
      <c r="R133" s="53" t="b">
        <f t="shared" si="44"/>
        <v>0</v>
      </c>
      <c r="S133" s="53"/>
      <c r="T133" s="53" t="str">
        <f t="shared" si="45"/>
        <v>ROLLS</v>
      </c>
      <c r="U133" s="53" t="str">
        <f t="shared" si="46"/>
        <v>rolls</v>
      </c>
      <c r="V133" s="53">
        <f t="shared" si="47"/>
        <v>1</v>
      </c>
      <c r="W133" s="53" t="str">
        <f t="shared" si="48"/>
        <v>rolls 2</v>
      </c>
      <c r="X133" s="53" t="str">
        <f t="shared" si="49"/>
        <v>182</v>
      </c>
      <c r="Y133" s="53" t="str">
        <f t="shared" si="50"/>
        <v>214.</v>
      </c>
      <c r="Z133" s="53" t="str">
        <f t="shared" si="51"/>
        <v>3446</v>
      </c>
      <c r="AA133" s="53">
        <f t="shared" si="52"/>
        <v>7</v>
      </c>
      <c r="AB133" s="53">
        <f t="shared" si="53"/>
        <v>2</v>
      </c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</row>
    <row r="134" spans="1:41" ht="30" x14ac:dyDescent="0.25">
      <c r="A134" s="51" t="s">
        <v>101</v>
      </c>
      <c r="B134" s="51" t="s">
        <v>3031</v>
      </c>
      <c r="C134" s="51" t="s">
        <v>3032</v>
      </c>
      <c r="D134" s="51" t="s">
        <v>1332</v>
      </c>
      <c r="E134" s="51" t="s">
        <v>3033</v>
      </c>
      <c r="F134" s="51">
        <v>7</v>
      </c>
      <c r="G134" s="51" t="s">
        <v>13</v>
      </c>
      <c r="H134" s="51">
        <v>15</v>
      </c>
      <c r="I134" s="51">
        <f t="shared" si="54"/>
        <v>105</v>
      </c>
      <c r="J134" s="51">
        <f t="shared" si="55"/>
        <v>131.5</v>
      </c>
      <c r="K134" s="51">
        <f t="shared" si="39"/>
        <v>84</v>
      </c>
      <c r="L134" s="51">
        <f t="shared" si="56"/>
        <v>2079.5</v>
      </c>
      <c r="M134" s="51">
        <f t="shared" si="57"/>
        <v>107</v>
      </c>
      <c r="N134" s="53" t="b">
        <f t="shared" si="40"/>
        <v>0</v>
      </c>
      <c r="O134" s="53" t="b">
        <f t="shared" si="41"/>
        <v>0</v>
      </c>
      <c r="P134" s="53" t="str">
        <f t="shared" si="42"/>
        <v>ct7</v>
      </c>
      <c r="Q134" s="68" t="str">
        <f t="shared" si="43"/>
        <v>131.5
C007586</v>
      </c>
      <c r="R134" s="53" t="b">
        <f t="shared" si="44"/>
        <v>0</v>
      </c>
      <c r="S134" s="53"/>
      <c r="T134" s="53" t="str">
        <f t="shared" si="45"/>
        <v>CT</v>
      </c>
      <c r="U134" s="53" t="str">
        <f t="shared" si="46"/>
        <v>ct</v>
      </c>
      <c r="V134" s="53">
        <f t="shared" si="47"/>
        <v>1</v>
      </c>
      <c r="W134" s="53" t="str">
        <f t="shared" si="48"/>
        <v>ct 7</v>
      </c>
      <c r="X134" s="53" t="str">
        <f t="shared" si="49"/>
        <v>2879.5</v>
      </c>
      <c r="Y134" s="53" t="str">
        <f t="shared" si="50"/>
        <v>131.</v>
      </c>
      <c r="Z134" s="53" t="str">
        <f t="shared" si="51"/>
        <v>7586</v>
      </c>
      <c r="AA134" s="53">
        <f t="shared" si="52"/>
        <v>7</v>
      </c>
      <c r="AB134" s="53">
        <f t="shared" si="53"/>
        <v>4</v>
      </c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</row>
    <row r="135" spans="1:41" ht="30" x14ac:dyDescent="0.25">
      <c r="A135" s="51" t="s">
        <v>240</v>
      </c>
      <c r="B135" s="51" t="s">
        <v>3034</v>
      </c>
      <c r="C135" s="51" t="s">
        <v>3035</v>
      </c>
      <c r="D135" s="51" t="s">
        <v>588</v>
      </c>
      <c r="E135" s="51" t="s">
        <v>2137</v>
      </c>
      <c r="F135" s="51">
        <v>3</v>
      </c>
      <c r="G135" s="51" t="s">
        <v>106</v>
      </c>
      <c r="H135" s="51">
        <v>16</v>
      </c>
      <c r="I135" s="51">
        <f t="shared" si="54"/>
        <v>48</v>
      </c>
      <c r="J135" s="51">
        <f t="shared" si="55"/>
        <v>223.5</v>
      </c>
      <c r="K135" s="51">
        <f t="shared" ref="K135:K198" si="58">_xlfn.RANK.EQ(I135,I135:I437)</f>
        <v>138</v>
      </c>
      <c r="L135" s="51">
        <f t="shared" si="56"/>
        <v>285</v>
      </c>
      <c r="M135" s="51">
        <f t="shared" si="57"/>
        <v>17</v>
      </c>
      <c r="N135" s="53" t="b">
        <f t="shared" si="40"/>
        <v>0</v>
      </c>
      <c r="O135" s="53" t="b">
        <f t="shared" si="41"/>
        <v>1</v>
      </c>
      <c r="P135" s="53" t="str">
        <f t="shared" si="42"/>
        <v>bags3</v>
      </c>
      <c r="Q135" s="68" t="str">
        <f t="shared" si="43"/>
        <v>223.5
C000525</v>
      </c>
      <c r="R135" s="53" t="b">
        <f t="shared" si="44"/>
        <v>0</v>
      </c>
      <c r="S135" s="53"/>
      <c r="T135" s="53" t="str">
        <f t="shared" si="45"/>
        <v>BAGS</v>
      </c>
      <c r="U135" s="53" t="str">
        <f t="shared" si="46"/>
        <v>bags</v>
      </c>
      <c r="V135" s="53">
        <f t="shared" si="47"/>
        <v>1</v>
      </c>
      <c r="W135" s="53" t="str">
        <f t="shared" si="48"/>
        <v>bags 3</v>
      </c>
      <c r="X135" s="53" t="str">
        <f t="shared" si="49"/>
        <v>285</v>
      </c>
      <c r="Y135" s="53" t="str">
        <f t="shared" si="50"/>
        <v>223.</v>
      </c>
      <c r="Z135" s="53" t="str">
        <f t="shared" si="51"/>
        <v>0525</v>
      </c>
      <c r="AA135" s="53">
        <f t="shared" si="52"/>
        <v>7</v>
      </c>
      <c r="AB135" s="53">
        <f t="shared" si="53"/>
        <v>7</v>
      </c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</row>
    <row r="136" spans="1:41" ht="30" x14ac:dyDescent="0.25">
      <c r="A136" s="51" t="s">
        <v>209</v>
      </c>
      <c r="B136" s="51" t="s">
        <v>3036</v>
      </c>
      <c r="C136" s="51" t="s">
        <v>3037</v>
      </c>
      <c r="D136" s="51" t="s">
        <v>703</v>
      </c>
      <c r="E136" s="51" t="s">
        <v>3038</v>
      </c>
      <c r="F136" s="51">
        <v>11</v>
      </c>
      <c r="G136" s="51" t="s">
        <v>35</v>
      </c>
      <c r="H136" s="51">
        <v>16.25</v>
      </c>
      <c r="I136" s="51">
        <f t="shared" si="54"/>
        <v>178.75</v>
      </c>
      <c r="J136" s="51">
        <f t="shared" si="55"/>
        <v>46</v>
      </c>
      <c r="K136" s="51">
        <f t="shared" si="58"/>
        <v>30</v>
      </c>
      <c r="L136" s="51">
        <f t="shared" si="56"/>
        <v>1010.75</v>
      </c>
      <c r="M136" s="51">
        <f t="shared" si="57"/>
        <v>59</v>
      </c>
      <c r="N136" s="53" t="b">
        <f t="shared" si="40"/>
        <v>0</v>
      </c>
      <c r="O136" s="53" t="b">
        <f t="shared" si="41"/>
        <v>1</v>
      </c>
      <c r="P136" s="53" t="str">
        <f t="shared" si="42"/>
        <v>cans11</v>
      </c>
      <c r="Q136" s="68" t="str">
        <f t="shared" si="43"/>
        <v>46
C001543</v>
      </c>
      <c r="R136" s="53" t="b">
        <f t="shared" si="44"/>
        <v>0</v>
      </c>
      <c r="S136" s="53"/>
      <c r="T136" s="53" t="str">
        <f t="shared" si="45"/>
        <v>CANS</v>
      </c>
      <c r="U136" s="53" t="str">
        <f t="shared" si="46"/>
        <v>cans</v>
      </c>
      <c r="V136" s="53">
        <f t="shared" si="47"/>
        <v>1</v>
      </c>
      <c r="W136" s="53" t="str">
        <f t="shared" si="48"/>
        <v>cans 11</v>
      </c>
      <c r="X136" s="53" t="str">
        <f t="shared" si="49"/>
        <v>1818.75</v>
      </c>
      <c r="Y136" s="53" t="str">
        <f t="shared" si="50"/>
        <v>46
C</v>
      </c>
      <c r="Z136" s="53" t="str">
        <f t="shared" si="51"/>
        <v>1543</v>
      </c>
      <c r="AA136" s="53">
        <f t="shared" si="52"/>
        <v>4</v>
      </c>
      <c r="AB136" s="53">
        <f t="shared" si="53"/>
        <v>7</v>
      </c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</row>
    <row r="137" spans="1:41" ht="30" x14ac:dyDescent="0.25">
      <c r="A137" s="51" t="s">
        <v>91</v>
      </c>
      <c r="B137" s="51" t="s">
        <v>3039</v>
      </c>
      <c r="C137" s="51" t="s">
        <v>3040</v>
      </c>
      <c r="D137" s="51" t="s">
        <v>476</v>
      </c>
      <c r="E137" s="51" t="s">
        <v>924</v>
      </c>
      <c r="F137" s="51">
        <v>10</v>
      </c>
      <c r="G137" s="51" t="s">
        <v>13</v>
      </c>
      <c r="H137" s="51">
        <v>32</v>
      </c>
      <c r="I137" s="51">
        <f t="shared" si="54"/>
        <v>320</v>
      </c>
      <c r="J137" s="51">
        <f t="shared" si="55"/>
        <v>11.5</v>
      </c>
      <c r="K137" s="51">
        <f t="shared" si="58"/>
        <v>9</v>
      </c>
      <c r="L137" s="51">
        <f t="shared" si="56"/>
        <v>2079.5</v>
      </c>
      <c r="M137" s="51">
        <f t="shared" si="57"/>
        <v>107</v>
      </c>
      <c r="N137" s="53" t="b">
        <f t="shared" si="40"/>
        <v>0</v>
      </c>
      <c r="O137" s="53" t="b">
        <f t="shared" si="41"/>
        <v>1</v>
      </c>
      <c r="P137" s="53" t="str">
        <f t="shared" si="42"/>
        <v>ct10</v>
      </c>
      <c r="Q137" s="68" t="str">
        <f t="shared" si="43"/>
        <v>11.5
C001244</v>
      </c>
      <c r="R137" s="53" t="b">
        <f t="shared" si="44"/>
        <v>0</v>
      </c>
      <c r="S137" s="53"/>
      <c r="T137" s="53" t="str">
        <f t="shared" si="45"/>
        <v>CT</v>
      </c>
      <c r="U137" s="53" t="str">
        <f t="shared" si="46"/>
        <v>ct</v>
      </c>
      <c r="V137" s="53">
        <f t="shared" si="47"/>
        <v>1</v>
      </c>
      <c r="W137" s="53" t="str">
        <f t="shared" si="48"/>
        <v>ct 10</v>
      </c>
      <c r="X137" s="53" t="str">
        <f t="shared" si="49"/>
        <v>2879.5</v>
      </c>
      <c r="Y137" s="53" t="str">
        <f t="shared" si="50"/>
        <v>11.5</v>
      </c>
      <c r="Z137" s="53" t="str">
        <f t="shared" si="51"/>
        <v>1244</v>
      </c>
      <c r="AA137" s="53">
        <f t="shared" si="52"/>
        <v>6</v>
      </c>
      <c r="AB137" s="53">
        <f t="shared" si="53"/>
        <v>4</v>
      </c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</row>
    <row r="138" spans="1:41" ht="30" x14ac:dyDescent="0.25">
      <c r="A138" s="51" t="s">
        <v>283</v>
      </c>
      <c r="B138" s="51" t="s">
        <v>3041</v>
      </c>
      <c r="C138" s="51" t="s">
        <v>3042</v>
      </c>
      <c r="D138" s="51" t="s">
        <v>753</v>
      </c>
      <c r="E138" s="51" t="s">
        <v>3043</v>
      </c>
      <c r="F138" s="51">
        <v>8</v>
      </c>
      <c r="G138" s="51" t="s">
        <v>35</v>
      </c>
      <c r="H138" s="51">
        <v>11.5</v>
      </c>
      <c r="I138" s="51">
        <f t="shared" si="54"/>
        <v>92</v>
      </c>
      <c r="J138" s="51">
        <f t="shared" si="55"/>
        <v>151</v>
      </c>
      <c r="K138" s="51">
        <f t="shared" si="58"/>
        <v>95</v>
      </c>
      <c r="L138" s="51">
        <f t="shared" si="56"/>
        <v>1010.75</v>
      </c>
      <c r="M138" s="51">
        <f t="shared" si="57"/>
        <v>59</v>
      </c>
      <c r="N138" s="53" t="b">
        <f t="shared" si="40"/>
        <v>0</v>
      </c>
      <c r="O138" s="53" t="b">
        <f t="shared" si="41"/>
        <v>1</v>
      </c>
      <c r="P138" s="53" t="str">
        <f t="shared" si="42"/>
        <v>cans8</v>
      </c>
      <c r="Q138" s="68" t="str">
        <f t="shared" si="43"/>
        <v>151
C000159</v>
      </c>
      <c r="R138" s="53" t="b">
        <f t="shared" si="44"/>
        <v>0</v>
      </c>
      <c r="S138" s="53"/>
      <c r="T138" s="53" t="str">
        <f t="shared" si="45"/>
        <v>CANS</v>
      </c>
      <c r="U138" s="53" t="str">
        <f t="shared" si="46"/>
        <v>cans</v>
      </c>
      <c r="V138" s="53">
        <f t="shared" si="47"/>
        <v>1</v>
      </c>
      <c r="W138" s="53" t="str">
        <f t="shared" si="48"/>
        <v>cans 8</v>
      </c>
      <c r="X138" s="53" t="str">
        <f t="shared" si="49"/>
        <v>1818.75</v>
      </c>
      <c r="Y138" s="53" t="str">
        <f t="shared" si="50"/>
        <v xml:space="preserve">151
</v>
      </c>
      <c r="Z138" s="53" t="str">
        <f t="shared" si="51"/>
        <v>0159</v>
      </c>
      <c r="AA138" s="53">
        <f t="shared" si="52"/>
        <v>5</v>
      </c>
      <c r="AB138" s="53">
        <f t="shared" si="53"/>
        <v>2</v>
      </c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</row>
    <row r="139" spans="1:41" ht="30" x14ac:dyDescent="0.25">
      <c r="A139" s="51" t="s">
        <v>162</v>
      </c>
      <c r="B139" s="51" t="s">
        <v>3044</v>
      </c>
      <c r="C139" s="51" t="s">
        <v>3045</v>
      </c>
      <c r="D139" s="51" t="s">
        <v>495</v>
      </c>
      <c r="E139" s="51" t="s">
        <v>306</v>
      </c>
      <c r="F139" s="51">
        <v>11</v>
      </c>
      <c r="G139" s="51" t="s">
        <v>167</v>
      </c>
      <c r="H139" s="51">
        <v>16</v>
      </c>
      <c r="I139" s="51">
        <f t="shared" si="54"/>
        <v>176</v>
      </c>
      <c r="J139" s="51">
        <f t="shared" si="55"/>
        <v>48.5</v>
      </c>
      <c r="K139" s="51">
        <f t="shared" si="58"/>
        <v>31</v>
      </c>
      <c r="L139" s="51">
        <f t="shared" si="56"/>
        <v>307</v>
      </c>
      <c r="M139" s="51">
        <f t="shared" si="57"/>
        <v>19</v>
      </c>
      <c r="N139" s="53" t="b">
        <f t="shared" si="40"/>
        <v>0</v>
      </c>
      <c r="O139" s="53" t="b">
        <f t="shared" si="41"/>
        <v>1</v>
      </c>
      <c r="P139" s="53" t="str">
        <f t="shared" si="42"/>
        <v>oz11</v>
      </c>
      <c r="Q139" s="68" t="str">
        <f t="shared" si="43"/>
        <v>48.5
C005301</v>
      </c>
      <c r="R139" s="53" t="b">
        <f t="shared" si="44"/>
        <v>0</v>
      </c>
      <c r="S139" s="53"/>
      <c r="T139" s="53" t="str">
        <f t="shared" si="45"/>
        <v>OZ</v>
      </c>
      <c r="U139" s="53" t="str">
        <f t="shared" si="46"/>
        <v>oz</v>
      </c>
      <c r="V139" s="53">
        <f t="shared" si="47"/>
        <v>1</v>
      </c>
      <c r="W139" s="53" t="str">
        <f t="shared" si="48"/>
        <v>oz 11</v>
      </c>
      <c r="X139" s="53" t="str">
        <f t="shared" si="49"/>
        <v>387</v>
      </c>
      <c r="Y139" s="53" t="str">
        <f t="shared" si="50"/>
        <v>48.5</v>
      </c>
      <c r="Z139" s="53" t="str">
        <f t="shared" si="51"/>
        <v>5301</v>
      </c>
      <c r="AA139" s="53">
        <f t="shared" si="52"/>
        <v>6</v>
      </c>
      <c r="AB139" s="53">
        <f t="shared" si="53"/>
        <v>4</v>
      </c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</row>
    <row r="140" spans="1:41" ht="30" x14ac:dyDescent="0.25">
      <c r="A140" s="51" t="s">
        <v>743</v>
      </c>
      <c r="B140" s="51" t="s">
        <v>3046</v>
      </c>
      <c r="C140" s="51" t="s">
        <v>3047</v>
      </c>
      <c r="D140" s="51" t="s">
        <v>789</v>
      </c>
      <c r="E140" s="51" t="s">
        <v>2816</v>
      </c>
      <c r="F140" s="51">
        <v>5</v>
      </c>
      <c r="G140" s="51" t="s">
        <v>35</v>
      </c>
      <c r="H140" s="51">
        <v>6.75</v>
      </c>
      <c r="I140" s="51">
        <f t="shared" si="54"/>
        <v>33.75</v>
      </c>
      <c r="J140" s="51">
        <f t="shared" si="55"/>
        <v>254</v>
      </c>
      <c r="K140" s="51">
        <f t="shared" si="58"/>
        <v>155</v>
      </c>
      <c r="L140" s="51">
        <f t="shared" si="56"/>
        <v>1010.75</v>
      </c>
      <c r="M140" s="51">
        <f t="shared" si="57"/>
        <v>59</v>
      </c>
      <c r="N140" s="53" t="b">
        <f t="shared" si="40"/>
        <v>0</v>
      </c>
      <c r="O140" s="53" t="b">
        <f t="shared" si="41"/>
        <v>1</v>
      </c>
      <c r="P140" s="53" t="str">
        <f t="shared" si="42"/>
        <v>cans5</v>
      </c>
      <c r="Q140" s="68" t="str">
        <f t="shared" si="43"/>
        <v>254
C008488</v>
      </c>
      <c r="R140" s="53" t="b">
        <f t="shared" si="44"/>
        <v>0</v>
      </c>
      <c r="S140" s="53"/>
      <c r="T140" s="53" t="str">
        <f t="shared" si="45"/>
        <v>CANS</v>
      </c>
      <c r="U140" s="53" t="str">
        <f t="shared" si="46"/>
        <v>cans</v>
      </c>
      <c r="V140" s="53">
        <f t="shared" si="47"/>
        <v>1</v>
      </c>
      <c r="W140" s="53" t="str">
        <f t="shared" si="48"/>
        <v>cans 5</v>
      </c>
      <c r="X140" s="53" t="str">
        <f t="shared" si="49"/>
        <v>1818.75</v>
      </c>
      <c r="Y140" s="53" t="str">
        <f t="shared" si="50"/>
        <v xml:space="preserve">254
</v>
      </c>
      <c r="Z140" s="53" t="str">
        <f t="shared" si="51"/>
        <v>8488</v>
      </c>
      <c r="AA140" s="53">
        <f t="shared" si="52"/>
        <v>5</v>
      </c>
      <c r="AB140" s="53">
        <f t="shared" si="53"/>
        <v>4</v>
      </c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</row>
    <row r="141" spans="1:41" ht="30" x14ac:dyDescent="0.25">
      <c r="A141" s="51" t="s">
        <v>307</v>
      </c>
      <c r="B141" s="51" t="s">
        <v>3048</v>
      </c>
      <c r="C141" s="51" t="s">
        <v>3049</v>
      </c>
      <c r="D141" s="51" t="s">
        <v>1385</v>
      </c>
      <c r="E141" s="51" t="s">
        <v>480</v>
      </c>
      <c r="F141" s="51">
        <v>10</v>
      </c>
      <c r="G141" s="51" t="s">
        <v>402</v>
      </c>
      <c r="H141" s="51">
        <v>16</v>
      </c>
      <c r="I141" s="51">
        <f t="shared" si="54"/>
        <v>160</v>
      </c>
      <c r="J141" s="51">
        <f t="shared" si="55"/>
        <v>67.5</v>
      </c>
      <c r="K141" s="51">
        <f t="shared" si="58"/>
        <v>38</v>
      </c>
      <c r="L141" s="51">
        <f t="shared" si="56"/>
        <v>82</v>
      </c>
      <c r="M141" s="51">
        <f t="shared" si="57"/>
        <v>4</v>
      </c>
      <c r="N141" s="53" t="b">
        <f t="shared" si="40"/>
        <v>0</v>
      </c>
      <c r="O141" s="53" t="b">
        <f t="shared" si="41"/>
        <v>1</v>
      </c>
      <c r="P141" s="53" t="str">
        <f t="shared" si="42"/>
        <v>pack10</v>
      </c>
      <c r="Q141" s="68" t="str">
        <f t="shared" si="43"/>
        <v>67.5
C001188</v>
      </c>
      <c r="R141" s="53" t="b">
        <f t="shared" si="44"/>
        <v>0</v>
      </c>
      <c r="S141" s="53"/>
      <c r="T141" s="53" t="str">
        <f t="shared" si="45"/>
        <v>PACK</v>
      </c>
      <c r="U141" s="53" t="str">
        <f t="shared" si="46"/>
        <v>pack</v>
      </c>
      <c r="V141" s="53">
        <f t="shared" si="47"/>
        <v>1</v>
      </c>
      <c r="W141" s="53" t="str">
        <f t="shared" si="48"/>
        <v>pack 10</v>
      </c>
      <c r="X141" s="53" t="str">
        <f t="shared" si="49"/>
        <v>82</v>
      </c>
      <c r="Y141" s="53" t="str">
        <f t="shared" si="50"/>
        <v>67.5</v>
      </c>
      <c r="Z141" s="53" t="str">
        <f t="shared" si="51"/>
        <v>1188</v>
      </c>
      <c r="AA141" s="53">
        <f t="shared" si="52"/>
        <v>6</v>
      </c>
      <c r="AB141" s="53">
        <f t="shared" si="53"/>
        <v>2</v>
      </c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</row>
    <row r="142" spans="1:41" ht="30" x14ac:dyDescent="0.25">
      <c r="A142" s="51" t="s">
        <v>173</v>
      </c>
      <c r="B142" s="51" t="s">
        <v>3050</v>
      </c>
      <c r="C142" s="51" t="s">
        <v>3051</v>
      </c>
      <c r="D142" s="51" t="s">
        <v>797</v>
      </c>
      <c r="E142" s="51" t="s">
        <v>553</v>
      </c>
      <c r="F142" s="51">
        <v>11</v>
      </c>
      <c r="G142" s="51" t="s">
        <v>13</v>
      </c>
      <c r="H142" s="51">
        <v>14</v>
      </c>
      <c r="I142" s="51">
        <f t="shared" si="54"/>
        <v>154</v>
      </c>
      <c r="J142" s="51">
        <f t="shared" si="55"/>
        <v>76.5</v>
      </c>
      <c r="K142" s="51">
        <f t="shared" si="58"/>
        <v>44</v>
      </c>
      <c r="L142" s="51">
        <f t="shared" si="56"/>
        <v>2079.5</v>
      </c>
      <c r="M142" s="51">
        <f t="shared" si="57"/>
        <v>107</v>
      </c>
      <c r="N142" s="53" t="b">
        <f t="shared" si="40"/>
        <v>0</v>
      </c>
      <c r="O142" s="53" t="b">
        <f t="shared" si="41"/>
        <v>1</v>
      </c>
      <c r="P142" s="53" t="str">
        <f t="shared" si="42"/>
        <v>ct11</v>
      </c>
      <c r="Q142" s="68" t="str">
        <f t="shared" si="43"/>
        <v>76.5
C000998</v>
      </c>
      <c r="R142" s="53" t="b">
        <f t="shared" si="44"/>
        <v>0</v>
      </c>
      <c r="S142" s="53"/>
      <c r="T142" s="53" t="str">
        <f t="shared" si="45"/>
        <v>CT</v>
      </c>
      <c r="U142" s="53" t="str">
        <f t="shared" si="46"/>
        <v>ct</v>
      </c>
      <c r="V142" s="53">
        <f t="shared" si="47"/>
        <v>1</v>
      </c>
      <c r="W142" s="53" t="str">
        <f t="shared" si="48"/>
        <v>ct 11</v>
      </c>
      <c r="X142" s="53" t="str">
        <f t="shared" si="49"/>
        <v>2879.5</v>
      </c>
      <c r="Y142" s="53" t="str">
        <f t="shared" si="50"/>
        <v>76.5</v>
      </c>
      <c r="Z142" s="53" t="str">
        <f t="shared" si="51"/>
        <v>0998</v>
      </c>
      <c r="AA142" s="53">
        <f t="shared" si="52"/>
        <v>6</v>
      </c>
      <c r="AB142" s="53">
        <f t="shared" si="53"/>
        <v>4</v>
      </c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</row>
    <row r="143" spans="1:41" ht="30" x14ac:dyDescent="0.25">
      <c r="A143" s="51" t="s">
        <v>146</v>
      </c>
      <c r="B143" s="51" t="s">
        <v>3052</v>
      </c>
      <c r="C143" s="51" t="s">
        <v>3053</v>
      </c>
      <c r="D143" s="51" t="s">
        <v>3054</v>
      </c>
      <c r="E143" s="51" t="s">
        <v>3055</v>
      </c>
      <c r="F143" s="51">
        <v>8</v>
      </c>
      <c r="G143" s="51" t="s">
        <v>13</v>
      </c>
      <c r="H143" s="51">
        <v>19</v>
      </c>
      <c r="I143" s="51">
        <f t="shared" si="54"/>
        <v>152</v>
      </c>
      <c r="J143" s="51">
        <f t="shared" si="55"/>
        <v>79.5</v>
      </c>
      <c r="K143" s="51">
        <f t="shared" si="58"/>
        <v>44</v>
      </c>
      <c r="L143" s="51">
        <f t="shared" si="56"/>
        <v>2079.5</v>
      </c>
      <c r="M143" s="51">
        <f t="shared" si="57"/>
        <v>107</v>
      </c>
      <c r="N143" s="53" t="b">
        <f t="shared" si="40"/>
        <v>0</v>
      </c>
      <c r="O143" s="53" t="b">
        <f t="shared" si="41"/>
        <v>1</v>
      </c>
      <c r="P143" s="53" t="str">
        <f t="shared" si="42"/>
        <v>ct8</v>
      </c>
      <c r="Q143" s="68" t="str">
        <f t="shared" si="43"/>
        <v>79.5
C001677</v>
      </c>
      <c r="R143" s="53" t="b">
        <f t="shared" si="44"/>
        <v>0</v>
      </c>
      <c r="S143" s="53"/>
      <c r="T143" s="53" t="str">
        <f t="shared" si="45"/>
        <v>CT</v>
      </c>
      <c r="U143" s="53" t="str">
        <f t="shared" si="46"/>
        <v>ct</v>
      </c>
      <c r="V143" s="53">
        <f t="shared" si="47"/>
        <v>1</v>
      </c>
      <c r="W143" s="53" t="str">
        <f t="shared" si="48"/>
        <v>ct 8</v>
      </c>
      <c r="X143" s="53" t="str">
        <f t="shared" si="49"/>
        <v>2879.5</v>
      </c>
      <c r="Y143" s="53" t="str">
        <f t="shared" si="50"/>
        <v>79.5</v>
      </c>
      <c r="Z143" s="53" t="str">
        <f t="shared" si="51"/>
        <v>1677</v>
      </c>
      <c r="AA143" s="53">
        <f t="shared" si="52"/>
        <v>6</v>
      </c>
      <c r="AB143" s="53">
        <f t="shared" si="53"/>
        <v>4</v>
      </c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</row>
    <row r="144" spans="1:41" ht="30" x14ac:dyDescent="0.25">
      <c r="A144" s="51" t="s">
        <v>146</v>
      </c>
      <c r="B144" s="51" t="s">
        <v>3056</v>
      </c>
      <c r="C144" s="51" t="s">
        <v>3057</v>
      </c>
      <c r="D144" s="51" t="s">
        <v>1954</v>
      </c>
      <c r="E144" s="51" t="s">
        <v>779</v>
      </c>
      <c r="F144" s="51">
        <v>8</v>
      </c>
      <c r="G144" s="51" t="s">
        <v>904</v>
      </c>
      <c r="H144" s="51">
        <v>20</v>
      </c>
      <c r="I144" s="51">
        <f t="shared" si="54"/>
        <v>160</v>
      </c>
      <c r="J144" s="51">
        <f t="shared" si="55"/>
        <v>67.5</v>
      </c>
      <c r="K144" s="51">
        <f t="shared" si="58"/>
        <v>38</v>
      </c>
      <c r="L144" s="51">
        <f t="shared" si="56"/>
        <v>223</v>
      </c>
      <c r="M144" s="51">
        <f t="shared" si="57"/>
        <v>10</v>
      </c>
      <c r="N144" s="53" t="b">
        <f t="shared" si="40"/>
        <v>0</v>
      </c>
      <c r="O144" s="53" t="b">
        <f t="shared" si="41"/>
        <v>1</v>
      </c>
      <c r="P144" s="53" t="str">
        <f t="shared" si="42"/>
        <v>bars8</v>
      </c>
      <c r="Q144" s="68" t="str">
        <f t="shared" si="43"/>
        <v>67.5
C001658</v>
      </c>
      <c r="R144" s="53" t="b">
        <f t="shared" si="44"/>
        <v>0</v>
      </c>
      <c r="S144" s="53"/>
      <c r="T144" s="53" t="str">
        <f t="shared" si="45"/>
        <v>BARS</v>
      </c>
      <c r="U144" s="53" t="str">
        <f t="shared" si="46"/>
        <v>bars</v>
      </c>
      <c r="V144" s="53">
        <f t="shared" si="47"/>
        <v>1</v>
      </c>
      <c r="W144" s="53" t="str">
        <f t="shared" si="48"/>
        <v>bars 8</v>
      </c>
      <c r="X144" s="53" t="str">
        <f t="shared" si="49"/>
        <v>223</v>
      </c>
      <c r="Y144" s="53" t="str">
        <f t="shared" si="50"/>
        <v>67.5</v>
      </c>
      <c r="Z144" s="53" t="str">
        <f t="shared" si="51"/>
        <v>1658</v>
      </c>
      <c r="AA144" s="53">
        <f t="shared" si="52"/>
        <v>6</v>
      </c>
      <c r="AB144" s="53">
        <f t="shared" si="53"/>
        <v>2</v>
      </c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</row>
    <row r="145" spans="1:41" ht="30" x14ac:dyDescent="0.25">
      <c r="A145" s="51" t="s">
        <v>8</v>
      </c>
      <c r="B145" s="51" t="s">
        <v>3058</v>
      </c>
      <c r="C145" s="51" t="s">
        <v>3059</v>
      </c>
      <c r="D145" s="51" t="s">
        <v>1766</v>
      </c>
      <c r="E145" s="51" t="s">
        <v>3060</v>
      </c>
      <c r="F145" s="51">
        <v>7</v>
      </c>
      <c r="G145" s="51" t="s">
        <v>60</v>
      </c>
      <c r="H145" s="51">
        <v>29</v>
      </c>
      <c r="I145" s="51">
        <f t="shared" si="54"/>
        <v>203</v>
      </c>
      <c r="J145" s="51">
        <f t="shared" si="55"/>
        <v>27</v>
      </c>
      <c r="K145" s="51">
        <f t="shared" si="58"/>
        <v>21</v>
      </c>
      <c r="L145" s="51">
        <f t="shared" si="56"/>
        <v>908</v>
      </c>
      <c r="M145" s="51">
        <f t="shared" si="57"/>
        <v>50</v>
      </c>
      <c r="N145" s="53" t="b">
        <f t="shared" si="40"/>
        <v>0</v>
      </c>
      <c r="O145" s="53" t="b">
        <f t="shared" si="41"/>
        <v>1</v>
      </c>
      <c r="P145" s="53" t="str">
        <f t="shared" si="42"/>
        <v>bottles7</v>
      </c>
      <c r="Q145" s="68" t="str">
        <f t="shared" si="43"/>
        <v>27
C002804</v>
      </c>
      <c r="R145" s="53" t="b">
        <f t="shared" si="44"/>
        <v>0</v>
      </c>
      <c r="S145" s="53"/>
      <c r="T145" s="53" t="str">
        <f t="shared" si="45"/>
        <v>BOTTLES</v>
      </c>
      <c r="U145" s="53" t="str">
        <f t="shared" si="46"/>
        <v>bottles</v>
      </c>
      <c r="V145" s="53">
        <f t="shared" si="47"/>
        <v>1</v>
      </c>
      <c r="W145" s="53" t="str">
        <f t="shared" si="48"/>
        <v>bottles 7</v>
      </c>
      <c r="X145" s="53" t="str">
        <f t="shared" si="49"/>
        <v>988</v>
      </c>
      <c r="Y145" s="53" t="str">
        <f t="shared" si="50"/>
        <v>27
C</v>
      </c>
      <c r="Z145" s="53" t="str">
        <f t="shared" si="51"/>
        <v>2804</v>
      </c>
      <c r="AA145" s="53">
        <f t="shared" si="52"/>
        <v>4</v>
      </c>
      <c r="AB145" s="53">
        <f t="shared" si="53"/>
        <v>4</v>
      </c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</row>
    <row r="146" spans="1:41" ht="30" x14ac:dyDescent="0.25">
      <c r="A146" s="51" t="s">
        <v>91</v>
      </c>
      <c r="B146" s="51" t="s">
        <v>3061</v>
      </c>
      <c r="C146" s="51" t="s">
        <v>3062</v>
      </c>
      <c r="D146" s="51" t="s">
        <v>1617</v>
      </c>
      <c r="E146" s="51" t="s">
        <v>1354</v>
      </c>
      <c r="F146" s="51">
        <v>11</v>
      </c>
      <c r="G146" s="51" t="s">
        <v>13</v>
      </c>
      <c r="H146" s="51">
        <v>12</v>
      </c>
      <c r="I146" s="51">
        <f t="shared" si="54"/>
        <v>132</v>
      </c>
      <c r="J146" s="51">
        <f t="shared" si="55"/>
        <v>97.5</v>
      </c>
      <c r="K146" s="51">
        <f t="shared" si="58"/>
        <v>55</v>
      </c>
      <c r="L146" s="51">
        <f t="shared" si="56"/>
        <v>2079.5</v>
      </c>
      <c r="M146" s="51">
        <f t="shared" si="57"/>
        <v>107</v>
      </c>
      <c r="N146" s="53" t="b">
        <f t="shared" si="40"/>
        <v>0</v>
      </c>
      <c r="O146" s="53" t="b">
        <f t="shared" si="41"/>
        <v>1</v>
      </c>
      <c r="P146" s="53" t="str">
        <f t="shared" si="42"/>
        <v>ct11</v>
      </c>
      <c r="Q146" s="68" t="str">
        <f t="shared" si="43"/>
        <v>97.5
C005429</v>
      </c>
      <c r="R146" s="53" t="b">
        <f t="shared" si="44"/>
        <v>0</v>
      </c>
      <c r="S146" s="53"/>
      <c r="T146" s="53" t="str">
        <f t="shared" si="45"/>
        <v>CT</v>
      </c>
      <c r="U146" s="53" t="str">
        <f t="shared" si="46"/>
        <v>ct</v>
      </c>
      <c r="V146" s="53">
        <f t="shared" si="47"/>
        <v>1</v>
      </c>
      <c r="W146" s="53" t="str">
        <f t="shared" si="48"/>
        <v>ct 11</v>
      </c>
      <c r="X146" s="53" t="str">
        <f t="shared" si="49"/>
        <v>2879.5</v>
      </c>
      <c r="Y146" s="53" t="str">
        <f t="shared" si="50"/>
        <v>97.5</v>
      </c>
      <c r="Z146" s="53" t="str">
        <f t="shared" si="51"/>
        <v>5429</v>
      </c>
      <c r="AA146" s="53">
        <f t="shared" si="52"/>
        <v>6</v>
      </c>
      <c r="AB146" s="53">
        <f t="shared" si="53"/>
        <v>4</v>
      </c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</row>
    <row r="147" spans="1:41" ht="30" x14ac:dyDescent="0.25">
      <c r="A147" s="51" t="s">
        <v>76</v>
      </c>
      <c r="B147" s="51" t="s">
        <v>3063</v>
      </c>
      <c r="C147" s="51" t="s">
        <v>3064</v>
      </c>
      <c r="D147" s="51" t="s">
        <v>128</v>
      </c>
      <c r="E147" s="51" t="s">
        <v>249</v>
      </c>
      <c r="F147" s="51">
        <v>9</v>
      </c>
      <c r="G147" s="51" t="s">
        <v>106</v>
      </c>
      <c r="H147" s="51">
        <v>15</v>
      </c>
      <c r="I147" s="51">
        <f t="shared" si="54"/>
        <v>135</v>
      </c>
      <c r="J147" s="51">
        <f t="shared" si="55"/>
        <v>95.5</v>
      </c>
      <c r="K147" s="51">
        <f t="shared" si="58"/>
        <v>54</v>
      </c>
      <c r="L147" s="51">
        <f t="shared" si="56"/>
        <v>285</v>
      </c>
      <c r="M147" s="51">
        <f t="shared" si="57"/>
        <v>17</v>
      </c>
      <c r="N147" s="53" t="b">
        <f t="shared" si="40"/>
        <v>0</v>
      </c>
      <c r="O147" s="53" t="b">
        <f t="shared" si="41"/>
        <v>1</v>
      </c>
      <c r="P147" s="53" t="str">
        <f t="shared" si="42"/>
        <v>bags9</v>
      </c>
      <c r="Q147" s="68" t="str">
        <f t="shared" si="43"/>
        <v>95.5
C002934</v>
      </c>
      <c r="R147" s="53" t="b">
        <f t="shared" si="44"/>
        <v>0</v>
      </c>
      <c r="S147" s="53"/>
      <c r="T147" s="53" t="str">
        <f t="shared" si="45"/>
        <v>BAGS</v>
      </c>
      <c r="U147" s="53" t="str">
        <f t="shared" si="46"/>
        <v>bags</v>
      </c>
      <c r="V147" s="53">
        <f t="shared" si="47"/>
        <v>1</v>
      </c>
      <c r="W147" s="53" t="str">
        <f t="shared" si="48"/>
        <v>bags 9</v>
      </c>
      <c r="X147" s="53" t="str">
        <f t="shared" si="49"/>
        <v>285</v>
      </c>
      <c r="Y147" s="53" t="str">
        <f t="shared" si="50"/>
        <v>95.5</v>
      </c>
      <c r="Z147" s="53" t="str">
        <f t="shared" si="51"/>
        <v>2934</v>
      </c>
      <c r="AA147" s="53">
        <f t="shared" si="52"/>
        <v>6</v>
      </c>
      <c r="AB147" s="53">
        <f t="shared" si="53"/>
        <v>4</v>
      </c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</row>
    <row r="148" spans="1:41" ht="30" x14ac:dyDescent="0.25">
      <c r="A148" s="51" t="s">
        <v>25</v>
      </c>
      <c r="B148" s="51" t="s">
        <v>3065</v>
      </c>
      <c r="C148" s="51" t="s">
        <v>3066</v>
      </c>
      <c r="D148" s="51" t="s">
        <v>1649</v>
      </c>
      <c r="E148" s="51" t="s">
        <v>358</v>
      </c>
      <c r="F148" s="51">
        <v>7</v>
      </c>
      <c r="G148" s="51" t="s">
        <v>60</v>
      </c>
      <c r="H148" s="51">
        <v>13</v>
      </c>
      <c r="I148" s="51">
        <f t="shared" si="54"/>
        <v>91</v>
      </c>
      <c r="J148" s="51">
        <f t="shared" si="55"/>
        <v>152.5</v>
      </c>
      <c r="K148" s="51">
        <f t="shared" si="58"/>
        <v>87</v>
      </c>
      <c r="L148" s="51">
        <f t="shared" si="56"/>
        <v>908</v>
      </c>
      <c r="M148" s="51">
        <f t="shared" si="57"/>
        <v>50</v>
      </c>
      <c r="N148" s="53" t="b">
        <f t="shared" si="40"/>
        <v>0</v>
      </c>
      <c r="O148" s="53" t="b">
        <f t="shared" si="41"/>
        <v>1</v>
      </c>
      <c r="P148" s="53" t="str">
        <f t="shared" si="42"/>
        <v>bottles7</v>
      </c>
      <c r="Q148" s="68" t="str">
        <f t="shared" si="43"/>
        <v>152.5
C002227</v>
      </c>
      <c r="R148" s="53" t="b">
        <f t="shared" si="44"/>
        <v>0</v>
      </c>
      <c r="S148" s="53"/>
      <c r="T148" s="53" t="str">
        <f t="shared" si="45"/>
        <v>BOTTLES</v>
      </c>
      <c r="U148" s="53" t="str">
        <f t="shared" si="46"/>
        <v>bottles</v>
      </c>
      <c r="V148" s="53">
        <f t="shared" si="47"/>
        <v>1</v>
      </c>
      <c r="W148" s="53" t="str">
        <f t="shared" si="48"/>
        <v>bottles 7</v>
      </c>
      <c r="X148" s="53" t="str">
        <f t="shared" si="49"/>
        <v>988</v>
      </c>
      <c r="Y148" s="53" t="str">
        <f t="shared" si="50"/>
        <v>152.</v>
      </c>
      <c r="Z148" s="53" t="str">
        <f t="shared" si="51"/>
        <v>2227</v>
      </c>
      <c r="AA148" s="53">
        <f t="shared" si="52"/>
        <v>7</v>
      </c>
      <c r="AB148" s="53">
        <f t="shared" si="53"/>
        <v>4</v>
      </c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</row>
    <row r="149" spans="1:41" ht="30" x14ac:dyDescent="0.25">
      <c r="A149" s="51" t="s">
        <v>107</v>
      </c>
      <c r="B149" s="51" t="s">
        <v>3067</v>
      </c>
      <c r="C149" s="51" t="s">
        <v>3068</v>
      </c>
      <c r="D149" s="51" t="s">
        <v>110</v>
      </c>
      <c r="E149" s="51" t="s">
        <v>3069</v>
      </c>
      <c r="F149" s="51">
        <v>9</v>
      </c>
      <c r="G149" s="51" t="s">
        <v>60</v>
      </c>
      <c r="H149" s="51">
        <v>7.5</v>
      </c>
      <c r="I149" s="51">
        <f t="shared" si="54"/>
        <v>67.5</v>
      </c>
      <c r="J149" s="51">
        <f t="shared" si="55"/>
        <v>191</v>
      </c>
      <c r="K149" s="51">
        <f t="shared" si="58"/>
        <v>110</v>
      </c>
      <c r="L149" s="51">
        <f t="shared" si="56"/>
        <v>908</v>
      </c>
      <c r="M149" s="51">
        <f t="shared" si="57"/>
        <v>50</v>
      </c>
      <c r="N149" s="53" t="b">
        <f t="shared" si="40"/>
        <v>0</v>
      </c>
      <c r="O149" s="53" t="b">
        <f t="shared" si="41"/>
        <v>1</v>
      </c>
      <c r="P149" s="53" t="str">
        <f t="shared" si="42"/>
        <v>bottles9</v>
      </c>
      <c r="Q149" s="68" t="str">
        <f t="shared" si="43"/>
        <v>191
C001029</v>
      </c>
      <c r="R149" s="53" t="b">
        <f t="shared" si="44"/>
        <v>0</v>
      </c>
      <c r="S149" s="53"/>
      <c r="T149" s="53" t="str">
        <f t="shared" si="45"/>
        <v>BOTTLES</v>
      </c>
      <c r="U149" s="53" t="str">
        <f t="shared" si="46"/>
        <v>bottles</v>
      </c>
      <c r="V149" s="53">
        <f t="shared" si="47"/>
        <v>1</v>
      </c>
      <c r="W149" s="53" t="str">
        <f t="shared" si="48"/>
        <v>bottles 9</v>
      </c>
      <c r="X149" s="53" t="str">
        <f t="shared" si="49"/>
        <v>988</v>
      </c>
      <c r="Y149" s="53" t="str">
        <f t="shared" si="50"/>
        <v xml:space="preserve">191
</v>
      </c>
      <c r="Z149" s="53" t="str">
        <f t="shared" si="51"/>
        <v>1029</v>
      </c>
      <c r="AA149" s="53">
        <f t="shared" si="52"/>
        <v>5</v>
      </c>
      <c r="AB149" s="53">
        <f t="shared" si="53"/>
        <v>2</v>
      </c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</row>
    <row r="150" spans="1:41" ht="30" x14ac:dyDescent="0.25">
      <c r="A150" s="51" t="s">
        <v>20</v>
      </c>
      <c r="B150" s="51" t="s">
        <v>3070</v>
      </c>
      <c r="C150" s="51" t="s">
        <v>3071</v>
      </c>
      <c r="D150" s="51" t="s">
        <v>1048</v>
      </c>
      <c r="E150" s="51" t="s">
        <v>1373</v>
      </c>
      <c r="F150" s="51">
        <v>3</v>
      </c>
      <c r="G150" s="51" t="s">
        <v>35</v>
      </c>
      <c r="H150" s="51">
        <v>16</v>
      </c>
      <c r="I150" s="51">
        <f t="shared" si="54"/>
        <v>48</v>
      </c>
      <c r="J150" s="51">
        <f t="shared" si="55"/>
        <v>223.5</v>
      </c>
      <c r="K150" s="51">
        <f t="shared" si="58"/>
        <v>125</v>
      </c>
      <c r="L150" s="51">
        <f t="shared" si="56"/>
        <v>1010.75</v>
      </c>
      <c r="M150" s="51">
        <f t="shared" si="57"/>
        <v>59</v>
      </c>
      <c r="N150" s="53" t="b">
        <f t="shared" ref="N150:N213" si="59">AND(J150&gt;150, J150&lt;60)</f>
        <v>0</v>
      </c>
      <c r="O150" s="53" t="b">
        <f t="shared" ref="O150:O213" si="60">OR(J150&gt;150,J150&lt;100)</f>
        <v>1</v>
      </c>
      <c r="P150" s="53" t="str">
        <f t="shared" ref="P150:P213" si="61">_xlfn.CONCAT(G150,F150)</f>
        <v>cans3</v>
      </c>
      <c r="Q150" s="68" t="str">
        <f t="shared" ref="Q150:Q213" si="62">_xlfn.CONCAT(J150,CHAR(10),B150)</f>
        <v>223.5
C002539</v>
      </c>
      <c r="R150" s="53" t="b">
        <f t="shared" ref="R150:R213" si="63">EXACT(J150,K150)</f>
        <v>0</v>
      </c>
      <c r="S150" s="53"/>
      <c r="T150" s="53" t="str">
        <f t="shared" ref="T150:T213" si="64">UPPER(G150)</f>
        <v>CANS</v>
      </c>
      <c r="U150" s="53" t="str">
        <f t="shared" ref="U150:U213" si="65">LOWER(G150)</f>
        <v>cans</v>
      </c>
      <c r="V150" s="53">
        <f t="shared" ref="V150:V213" si="66">SEARCH("T",C150)</f>
        <v>1</v>
      </c>
      <c r="W150" s="53" t="str">
        <f t="shared" ref="W150:W213" si="67">_xlfn.TEXTJOIN(" ",FALSE,G150,F150)</f>
        <v>cans 3</v>
      </c>
      <c r="X150" s="53" t="str">
        <f t="shared" ref="X150:X213" si="68">SUBSTITUTE(L150,"0",8)</f>
        <v>1818.75</v>
      </c>
      <c r="Y150" s="53" t="str">
        <f t="shared" ref="Y150:Y213" si="69">LEFT(Q150,4)</f>
        <v>223.</v>
      </c>
      <c r="Z150" s="53" t="str">
        <f t="shared" ref="Z150:Z213" si="70">RIGHT(Q150,4)</f>
        <v>2539</v>
      </c>
      <c r="AA150" s="53">
        <f t="shared" ref="AA150:AA213" si="71">FIND("C",Q150)</f>
        <v>7</v>
      </c>
      <c r="AB150" s="53">
        <f t="shared" ref="AB150:AB213" si="72">LEN(T163)</f>
        <v>2</v>
      </c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</row>
    <row r="151" spans="1:41" ht="30" x14ac:dyDescent="0.25">
      <c r="A151" s="51" t="s">
        <v>116</v>
      </c>
      <c r="B151" s="51" t="s">
        <v>3072</v>
      </c>
      <c r="C151" s="51" t="s">
        <v>3073</v>
      </c>
      <c r="D151" s="51" t="s">
        <v>393</v>
      </c>
      <c r="E151" s="51" t="s">
        <v>3074</v>
      </c>
      <c r="F151" s="51">
        <v>7</v>
      </c>
      <c r="G151" s="51" t="s">
        <v>167</v>
      </c>
      <c r="H151" s="51">
        <v>15</v>
      </c>
      <c r="I151" s="51">
        <f t="shared" si="54"/>
        <v>105</v>
      </c>
      <c r="J151" s="51">
        <f t="shared" si="55"/>
        <v>131.5</v>
      </c>
      <c r="K151" s="51">
        <f t="shared" si="58"/>
        <v>74</v>
      </c>
      <c r="L151" s="51">
        <f t="shared" si="56"/>
        <v>307</v>
      </c>
      <c r="M151" s="51">
        <f t="shared" si="57"/>
        <v>19</v>
      </c>
      <c r="N151" s="53" t="b">
        <f t="shared" si="59"/>
        <v>0</v>
      </c>
      <c r="O151" s="53" t="b">
        <f t="shared" si="60"/>
        <v>0</v>
      </c>
      <c r="P151" s="53" t="str">
        <f t="shared" si="61"/>
        <v>oz7</v>
      </c>
      <c r="Q151" s="68" t="str">
        <f t="shared" si="62"/>
        <v>131.5
C007647</v>
      </c>
      <c r="R151" s="53" t="b">
        <f t="shared" si="63"/>
        <v>0</v>
      </c>
      <c r="S151" s="53"/>
      <c r="T151" s="53" t="str">
        <f t="shared" si="64"/>
        <v>OZ</v>
      </c>
      <c r="U151" s="53" t="str">
        <f t="shared" si="65"/>
        <v>oz</v>
      </c>
      <c r="V151" s="53">
        <f t="shared" si="66"/>
        <v>1</v>
      </c>
      <c r="W151" s="53" t="str">
        <f t="shared" si="67"/>
        <v>oz 7</v>
      </c>
      <c r="X151" s="53" t="str">
        <f t="shared" si="68"/>
        <v>387</v>
      </c>
      <c r="Y151" s="53" t="str">
        <f t="shared" si="69"/>
        <v>131.</v>
      </c>
      <c r="Z151" s="53" t="str">
        <f t="shared" si="70"/>
        <v>7647</v>
      </c>
      <c r="AA151" s="53">
        <f t="shared" si="71"/>
        <v>7</v>
      </c>
      <c r="AB151" s="53">
        <f t="shared" si="72"/>
        <v>7</v>
      </c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</row>
    <row r="152" spans="1:41" ht="30" x14ac:dyDescent="0.25">
      <c r="A152" s="51" t="s">
        <v>218</v>
      </c>
      <c r="B152" s="51" t="s">
        <v>3075</v>
      </c>
      <c r="C152" s="51" t="s">
        <v>3076</v>
      </c>
      <c r="D152" s="51" t="s">
        <v>1242</v>
      </c>
      <c r="E152" s="51" t="s">
        <v>1041</v>
      </c>
      <c r="F152" s="51">
        <v>3</v>
      </c>
      <c r="G152" s="51" t="s">
        <v>35</v>
      </c>
      <c r="H152" s="51">
        <v>40</v>
      </c>
      <c r="I152" s="51">
        <f t="shared" si="54"/>
        <v>120</v>
      </c>
      <c r="J152" s="51">
        <f t="shared" si="55"/>
        <v>112</v>
      </c>
      <c r="K152" s="51">
        <f t="shared" si="58"/>
        <v>59</v>
      </c>
      <c r="L152" s="51">
        <f t="shared" si="56"/>
        <v>1010.75</v>
      </c>
      <c r="M152" s="51">
        <f t="shared" si="57"/>
        <v>59</v>
      </c>
      <c r="N152" s="53" t="b">
        <f t="shared" si="59"/>
        <v>0</v>
      </c>
      <c r="O152" s="53" t="b">
        <f t="shared" si="60"/>
        <v>0</v>
      </c>
      <c r="P152" s="53" t="str">
        <f t="shared" si="61"/>
        <v>cans3</v>
      </c>
      <c r="Q152" s="68" t="str">
        <f t="shared" si="62"/>
        <v>112
C000439</v>
      </c>
      <c r="R152" s="53" t="b">
        <f t="shared" si="63"/>
        <v>0</v>
      </c>
      <c r="S152" s="53"/>
      <c r="T152" s="53" t="str">
        <f t="shared" si="64"/>
        <v>CANS</v>
      </c>
      <c r="U152" s="53" t="str">
        <f t="shared" si="65"/>
        <v>cans</v>
      </c>
      <c r="V152" s="53">
        <f t="shared" si="66"/>
        <v>1</v>
      </c>
      <c r="W152" s="53" t="str">
        <f t="shared" si="67"/>
        <v>cans 3</v>
      </c>
      <c r="X152" s="53" t="str">
        <f t="shared" si="68"/>
        <v>1818.75</v>
      </c>
      <c r="Y152" s="53" t="str">
        <f t="shared" si="69"/>
        <v xml:space="preserve">112
</v>
      </c>
      <c r="Z152" s="53" t="str">
        <f t="shared" si="70"/>
        <v>0439</v>
      </c>
      <c r="AA152" s="53">
        <f t="shared" si="71"/>
        <v>5</v>
      </c>
      <c r="AB152" s="53">
        <f t="shared" si="72"/>
        <v>4</v>
      </c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</row>
    <row r="153" spans="1:41" ht="30" x14ac:dyDescent="0.25">
      <c r="A153" s="51" t="s">
        <v>288</v>
      </c>
      <c r="B153" s="51" t="s">
        <v>3077</v>
      </c>
      <c r="C153" s="51" t="s">
        <v>3078</v>
      </c>
      <c r="D153" s="51" t="s">
        <v>644</v>
      </c>
      <c r="E153" s="51" t="s">
        <v>3079</v>
      </c>
      <c r="F153" s="51">
        <v>4</v>
      </c>
      <c r="G153" s="51" t="s">
        <v>106</v>
      </c>
      <c r="H153" s="51">
        <v>21</v>
      </c>
      <c r="I153" s="51">
        <f t="shared" si="54"/>
        <v>84</v>
      </c>
      <c r="J153" s="51">
        <f t="shared" si="55"/>
        <v>158</v>
      </c>
      <c r="K153" s="51">
        <f t="shared" si="58"/>
        <v>87</v>
      </c>
      <c r="L153" s="51">
        <f t="shared" si="56"/>
        <v>285</v>
      </c>
      <c r="M153" s="51">
        <f t="shared" si="57"/>
        <v>17</v>
      </c>
      <c r="N153" s="53" t="b">
        <f t="shared" si="59"/>
        <v>0</v>
      </c>
      <c r="O153" s="53" t="b">
        <f t="shared" si="60"/>
        <v>1</v>
      </c>
      <c r="P153" s="53" t="str">
        <f t="shared" si="61"/>
        <v>bags4</v>
      </c>
      <c r="Q153" s="68" t="str">
        <f t="shared" si="62"/>
        <v>158
C005971</v>
      </c>
      <c r="R153" s="53" t="b">
        <f t="shared" si="63"/>
        <v>0</v>
      </c>
      <c r="S153" s="53"/>
      <c r="T153" s="53" t="str">
        <f t="shared" si="64"/>
        <v>BAGS</v>
      </c>
      <c r="U153" s="53" t="str">
        <f t="shared" si="65"/>
        <v>bags</v>
      </c>
      <c r="V153" s="53">
        <f t="shared" si="66"/>
        <v>1</v>
      </c>
      <c r="W153" s="53" t="str">
        <f t="shared" si="67"/>
        <v>bags 4</v>
      </c>
      <c r="X153" s="53" t="str">
        <f t="shared" si="68"/>
        <v>285</v>
      </c>
      <c r="Y153" s="53" t="str">
        <f t="shared" si="69"/>
        <v xml:space="preserve">158
</v>
      </c>
      <c r="Z153" s="53" t="str">
        <f t="shared" si="70"/>
        <v>5971</v>
      </c>
      <c r="AA153" s="53">
        <f t="shared" si="71"/>
        <v>5</v>
      </c>
      <c r="AB153" s="53">
        <f t="shared" si="72"/>
        <v>2</v>
      </c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</row>
    <row r="154" spans="1:41" ht="30" x14ac:dyDescent="0.25">
      <c r="A154" s="51" t="s">
        <v>168</v>
      </c>
      <c r="B154" s="51" t="s">
        <v>3080</v>
      </c>
      <c r="C154" s="51" t="s">
        <v>3081</v>
      </c>
      <c r="D154" s="51" t="s">
        <v>1372</v>
      </c>
      <c r="E154" s="51" t="s">
        <v>3082</v>
      </c>
      <c r="F154" s="51">
        <v>2</v>
      </c>
      <c r="G154" s="51" t="s">
        <v>13</v>
      </c>
      <c r="H154" s="51">
        <v>15</v>
      </c>
      <c r="I154" s="51">
        <f t="shared" si="54"/>
        <v>30</v>
      </c>
      <c r="J154" s="51">
        <f t="shared" si="55"/>
        <v>267.5</v>
      </c>
      <c r="K154" s="51">
        <f t="shared" si="58"/>
        <v>148</v>
      </c>
      <c r="L154" s="51">
        <f t="shared" si="56"/>
        <v>2079.5</v>
      </c>
      <c r="M154" s="51">
        <f t="shared" si="57"/>
        <v>107</v>
      </c>
      <c r="N154" s="53" t="b">
        <f t="shared" si="59"/>
        <v>0</v>
      </c>
      <c r="O154" s="53" t="b">
        <f t="shared" si="60"/>
        <v>1</v>
      </c>
      <c r="P154" s="53" t="str">
        <f t="shared" si="61"/>
        <v>ct2</v>
      </c>
      <c r="Q154" s="68" t="str">
        <f t="shared" si="62"/>
        <v>267.5
C004739</v>
      </c>
      <c r="R154" s="53" t="b">
        <f t="shared" si="63"/>
        <v>0</v>
      </c>
      <c r="S154" s="53"/>
      <c r="T154" s="53" t="str">
        <f t="shared" si="64"/>
        <v>CT</v>
      </c>
      <c r="U154" s="53" t="str">
        <f t="shared" si="65"/>
        <v>ct</v>
      </c>
      <c r="V154" s="53">
        <f t="shared" si="66"/>
        <v>1</v>
      </c>
      <c r="W154" s="53" t="str">
        <f t="shared" si="67"/>
        <v>ct 2</v>
      </c>
      <c r="X154" s="53" t="str">
        <f t="shared" si="68"/>
        <v>2879.5</v>
      </c>
      <c r="Y154" s="53" t="str">
        <f t="shared" si="69"/>
        <v>267.</v>
      </c>
      <c r="Z154" s="53" t="str">
        <f t="shared" si="70"/>
        <v>4739</v>
      </c>
      <c r="AA154" s="53">
        <f t="shared" si="71"/>
        <v>7</v>
      </c>
      <c r="AB154" s="53">
        <f t="shared" si="72"/>
        <v>2</v>
      </c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</row>
    <row r="155" spans="1:41" ht="30" x14ac:dyDescent="0.25">
      <c r="A155" s="51" t="s">
        <v>187</v>
      </c>
      <c r="B155" s="51" t="s">
        <v>3083</v>
      </c>
      <c r="C155" s="51" t="s">
        <v>3084</v>
      </c>
      <c r="D155" s="51" t="s">
        <v>1417</v>
      </c>
      <c r="E155" s="51" t="s">
        <v>1844</v>
      </c>
      <c r="F155" s="51">
        <v>4</v>
      </c>
      <c r="G155" s="51" t="s">
        <v>35</v>
      </c>
      <c r="H155" s="51">
        <v>6.75</v>
      </c>
      <c r="I155" s="51">
        <f t="shared" si="54"/>
        <v>27</v>
      </c>
      <c r="J155" s="51">
        <f t="shared" si="55"/>
        <v>273.5</v>
      </c>
      <c r="K155" s="51">
        <f t="shared" si="58"/>
        <v>151</v>
      </c>
      <c r="L155" s="51">
        <f t="shared" si="56"/>
        <v>1010.75</v>
      </c>
      <c r="M155" s="51">
        <f t="shared" si="57"/>
        <v>59</v>
      </c>
      <c r="N155" s="53" t="b">
        <f t="shared" si="59"/>
        <v>0</v>
      </c>
      <c r="O155" s="53" t="b">
        <f t="shared" si="60"/>
        <v>1</v>
      </c>
      <c r="P155" s="53" t="str">
        <f t="shared" si="61"/>
        <v>cans4</v>
      </c>
      <c r="Q155" s="68" t="str">
        <f t="shared" si="62"/>
        <v>273.5
C009014</v>
      </c>
      <c r="R155" s="53" t="b">
        <f t="shared" si="63"/>
        <v>0</v>
      </c>
      <c r="S155" s="53"/>
      <c r="T155" s="53" t="str">
        <f t="shared" si="64"/>
        <v>CANS</v>
      </c>
      <c r="U155" s="53" t="str">
        <f t="shared" si="65"/>
        <v>cans</v>
      </c>
      <c r="V155" s="53">
        <f t="shared" si="66"/>
        <v>1</v>
      </c>
      <c r="W155" s="53" t="str">
        <f t="shared" si="67"/>
        <v>cans 4</v>
      </c>
      <c r="X155" s="53" t="str">
        <f t="shared" si="68"/>
        <v>1818.75</v>
      </c>
      <c r="Y155" s="53" t="str">
        <f t="shared" si="69"/>
        <v>273.</v>
      </c>
      <c r="Z155" s="53" t="str">
        <f t="shared" si="70"/>
        <v>9014</v>
      </c>
      <c r="AA155" s="53">
        <f t="shared" si="71"/>
        <v>7</v>
      </c>
      <c r="AB155" s="53">
        <f t="shared" si="72"/>
        <v>2</v>
      </c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</row>
    <row r="156" spans="1:41" ht="30" x14ac:dyDescent="0.25">
      <c r="A156" s="51" t="s">
        <v>137</v>
      </c>
      <c r="B156" s="51" t="s">
        <v>3085</v>
      </c>
      <c r="C156" s="51" t="s">
        <v>3086</v>
      </c>
      <c r="D156" s="51" t="s">
        <v>2840</v>
      </c>
      <c r="E156" s="51" t="s">
        <v>2416</v>
      </c>
      <c r="F156" s="51">
        <v>9</v>
      </c>
      <c r="G156" s="51" t="s">
        <v>904</v>
      </c>
      <c r="H156" s="51">
        <v>24</v>
      </c>
      <c r="I156" s="51">
        <f t="shared" si="54"/>
        <v>216</v>
      </c>
      <c r="J156" s="51">
        <f t="shared" si="55"/>
        <v>24</v>
      </c>
      <c r="K156" s="51">
        <f t="shared" si="58"/>
        <v>19</v>
      </c>
      <c r="L156" s="51">
        <f t="shared" si="56"/>
        <v>223</v>
      </c>
      <c r="M156" s="51">
        <f t="shared" si="57"/>
        <v>10</v>
      </c>
      <c r="N156" s="53" t="b">
        <f t="shared" si="59"/>
        <v>0</v>
      </c>
      <c r="O156" s="53" t="b">
        <f t="shared" si="60"/>
        <v>1</v>
      </c>
      <c r="P156" s="53" t="str">
        <f t="shared" si="61"/>
        <v>bars9</v>
      </c>
      <c r="Q156" s="68" t="str">
        <f t="shared" si="62"/>
        <v>24
C002003</v>
      </c>
      <c r="R156" s="53" t="b">
        <f t="shared" si="63"/>
        <v>0</v>
      </c>
      <c r="S156" s="53"/>
      <c r="T156" s="53" t="str">
        <f t="shared" si="64"/>
        <v>BARS</v>
      </c>
      <c r="U156" s="53" t="str">
        <f t="shared" si="65"/>
        <v>bars</v>
      </c>
      <c r="V156" s="53">
        <f t="shared" si="66"/>
        <v>1</v>
      </c>
      <c r="W156" s="53" t="str">
        <f t="shared" si="67"/>
        <v>bars 9</v>
      </c>
      <c r="X156" s="53" t="str">
        <f t="shared" si="68"/>
        <v>223</v>
      </c>
      <c r="Y156" s="53" t="str">
        <f t="shared" si="69"/>
        <v>24
C</v>
      </c>
      <c r="Z156" s="53" t="str">
        <f t="shared" si="70"/>
        <v>2003</v>
      </c>
      <c r="AA156" s="53">
        <f t="shared" si="71"/>
        <v>4</v>
      </c>
      <c r="AB156" s="53">
        <f t="shared" si="72"/>
        <v>4</v>
      </c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</row>
    <row r="157" spans="1:41" ht="30" x14ac:dyDescent="0.25">
      <c r="A157" s="51" t="s">
        <v>218</v>
      </c>
      <c r="B157" s="51" t="s">
        <v>3087</v>
      </c>
      <c r="C157" s="51" t="s">
        <v>3088</v>
      </c>
      <c r="D157" s="51" t="s">
        <v>263</v>
      </c>
      <c r="E157" s="51" t="s">
        <v>1836</v>
      </c>
      <c r="F157" s="51">
        <v>6</v>
      </c>
      <c r="G157" s="51" t="s">
        <v>13</v>
      </c>
      <c r="H157" s="51">
        <v>14</v>
      </c>
      <c r="I157" s="51">
        <f t="shared" si="54"/>
        <v>84</v>
      </c>
      <c r="J157" s="51">
        <f t="shared" si="55"/>
        <v>158</v>
      </c>
      <c r="K157" s="51">
        <f t="shared" si="58"/>
        <v>86</v>
      </c>
      <c r="L157" s="51">
        <f t="shared" si="56"/>
        <v>2079.5</v>
      </c>
      <c r="M157" s="51">
        <f t="shared" si="57"/>
        <v>107</v>
      </c>
      <c r="N157" s="53" t="b">
        <f t="shared" si="59"/>
        <v>0</v>
      </c>
      <c r="O157" s="53" t="b">
        <f t="shared" si="60"/>
        <v>1</v>
      </c>
      <c r="P157" s="53" t="str">
        <f t="shared" si="61"/>
        <v>ct6</v>
      </c>
      <c r="Q157" s="68" t="str">
        <f t="shared" si="62"/>
        <v>158
C008582</v>
      </c>
      <c r="R157" s="53" t="b">
        <f t="shared" si="63"/>
        <v>0</v>
      </c>
      <c r="S157" s="53"/>
      <c r="T157" s="53" t="str">
        <f t="shared" si="64"/>
        <v>CT</v>
      </c>
      <c r="U157" s="53" t="str">
        <f t="shared" si="65"/>
        <v>ct</v>
      </c>
      <c r="V157" s="53">
        <f t="shared" si="66"/>
        <v>1</v>
      </c>
      <c r="W157" s="53" t="str">
        <f t="shared" si="67"/>
        <v>ct 6</v>
      </c>
      <c r="X157" s="53" t="str">
        <f t="shared" si="68"/>
        <v>2879.5</v>
      </c>
      <c r="Y157" s="53" t="str">
        <f t="shared" si="69"/>
        <v xml:space="preserve">158
</v>
      </c>
      <c r="Z157" s="53" t="str">
        <f t="shared" si="70"/>
        <v>8582</v>
      </c>
      <c r="AA157" s="53">
        <f t="shared" si="71"/>
        <v>5</v>
      </c>
      <c r="AB157" s="53">
        <f t="shared" si="72"/>
        <v>2</v>
      </c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</row>
    <row r="158" spans="1:41" ht="30" x14ac:dyDescent="0.25">
      <c r="A158" s="51" t="s">
        <v>137</v>
      </c>
      <c r="B158" s="51" t="s">
        <v>3089</v>
      </c>
      <c r="C158" s="51" t="s">
        <v>3090</v>
      </c>
      <c r="D158" s="51" t="s">
        <v>1242</v>
      </c>
      <c r="E158" s="51" t="s">
        <v>1253</v>
      </c>
      <c r="F158" s="51">
        <v>3</v>
      </c>
      <c r="G158" s="51" t="s">
        <v>35</v>
      </c>
      <c r="H158" s="51">
        <v>40</v>
      </c>
      <c r="I158" s="51">
        <f t="shared" si="54"/>
        <v>120</v>
      </c>
      <c r="J158" s="51">
        <f t="shared" si="55"/>
        <v>112</v>
      </c>
      <c r="K158" s="51">
        <f t="shared" si="58"/>
        <v>58</v>
      </c>
      <c r="L158" s="51">
        <f t="shared" si="56"/>
        <v>1010.75</v>
      </c>
      <c r="M158" s="51">
        <f t="shared" si="57"/>
        <v>59</v>
      </c>
      <c r="N158" s="53" t="b">
        <f t="shared" si="59"/>
        <v>0</v>
      </c>
      <c r="O158" s="53" t="b">
        <f t="shared" si="60"/>
        <v>0</v>
      </c>
      <c r="P158" s="53" t="str">
        <f t="shared" si="61"/>
        <v>cans3</v>
      </c>
      <c r="Q158" s="68" t="str">
        <f t="shared" si="62"/>
        <v>112
C005609</v>
      </c>
      <c r="R158" s="53" t="b">
        <f t="shared" si="63"/>
        <v>0</v>
      </c>
      <c r="S158" s="53"/>
      <c r="T158" s="53" t="str">
        <f t="shared" si="64"/>
        <v>CANS</v>
      </c>
      <c r="U158" s="53" t="str">
        <f t="shared" si="65"/>
        <v>cans</v>
      </c>
      <c r="V158" s="53">
        <f t="shared" si="66"/>
        <v>1</v>
      </c>
      <c r="W158" s="53" t="str">
        <f t="shared" si="67"/>
        <v>cans 3</v>
      </c>
      <c r="X158" s="53" t="str">
        <f t="shared" si="68"/>
        <v>1818.75</v>
      </c>
      <c r="Y158" s="53" t="str">
        <f t="shared" si="69"/>
        <v xml:space="preserve">112
</v>
      </c>
      <c r="Z158" s="53" t="str">
        <f t="shared" si="70"/>
        <v>5609</v>
      </c>
      <c r="AA158" s="53">
        <f t="shared" si="71"/>
        <v>5</v>
      </c>
      <c r="AB158" s="53">
        <f t="shared" si="72"/>
        <v>7</v>
      </c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</row>
    <row r="159" spans="1:41" ht="30" x14ac:dyDescent="0.25">
      <c r="A159" s="51" t="s">
        <v>107</v>
      </c>
      <c r="B159" s="51" t="s">
        <v>3091</v>
      </c>
      <c r="C159" s="51" t="s">
        <v>3092</v>
      </c>
      <c r="D159" s="51" t="s">
        <v>401</v>
      </c>
      <c r="E159" s="51" t="s">
        <v>1509</v>
      </c>
      <c r="F159" s="51">
        <v>11</v>
      </c>
      <c r="G159" s="51" t="s">
        <v>402</v>
      </c>
      <c r="H159" s="51">
        <v>20</v>
      </c>
      <c r="I159" s="51">
        <f t="shared" si="54"/>
        <v>220</v>
      </c>
      <c r="J159" s="51">
        <f t="shared" si="55"/>
        <v>22</v>
      </c>
      <c r="K159" s="51">
        <f t="shared" si="58"/>
        <v>16</v>
      </c>
      <c r="L159" s="51">
        <f t="shared" si="56"/>
        <v>82</v>
      </c>
      <c r="M159" s="51">
        <f t="shared" si="57"/>
        <v>4</v>
      </c>
      <c r="N159" s="53" t="b">
        <f t="shared" si="59"/>
        <v>0</v>
      </c>
      <c r="O159" s="53" t="b">
        <f t="shared" si="60"/>
        <v>1</v>
      </c>
      <c r="P159" s="53" t="str">
        <f t="shared" si="61"/>
        <v>pack11</v>
      </c>
      <c r="Q159" s="68" t="str">
        <f t="shared" si="62"/>
        <v>22
C005669</v>
      </c>
      <c r="R159" s="53" t="b">
        <f t="shared" si="63"/>
        <v>0</v>
      </c>
      <c r="S159" s="53"/>
      <c r="T159" s="53" t="str">
        <f t="shared" si="64"/>
        <v>PACK</v>
      </c>
      <c r="U159" s="53" t="str">
        <f t="shared" si="65"/>
        <v>pack</v>
      </c>
      <c r="V159" s="53">
        <f t="shared" si="66"/>
        <v>1</v>
      </c>
      <c r="W159" s="53" t="str">
        <f t="shared" si="67"/>
        <v>pack 11</v>
      </c>
      <c r="X159" s="53" t="str">
        <f t="shared" si="68"/>
        <v>82</v>
      </c>
      <c r="Y159" s="53" t="str">
        <f t="shared" si="69"/>
        <v>22
C</v>
      </c>
      <c r="Z159" s="53" t="str">
        <f t="shared" si="70"/>
        <v>5669</v>
      </c>
      <c r="AA159" s="53">
        <f t="shared" si="71"/>
        <v>4</v>
      </c>
      <c r="AB159" s="53">
        <f t="shared" si="72"/>
        <v>2</v>
      </c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</row>
    <row r="160" spans="1:41" ht="30" x14ac:dyDescent="0.25">
      <c r="A160" s="51" t="s">
        <v>55</v>
      </c>
      <c r="B160" s="51" t="s">
        <v>3093</v>
      </c>
      <c r="C160" s="51" t="s">
        <v>3094</v>
      </c>
      <c r="D160" s="51" t="s">
        <v>33</v>
      </c>
      <c r="E160" s="51" t="s">
        <v>3095</v>
      </c>
      <c r="F160" s="51">
        <v>9</v>
      </c>
      <c r="G160" s="51" t="s">
        <v>35</v>
      </c>
      <c r="H160" s="51">
        <v>8</v>
      </c>
      <c r="I160" s="51">
        <f t="shared" si="54"/>
        <v>72</v>
      </c>
      <c r="J160" s="51">
        <f t="shared" si="55"/>
        <v>182</v>
      </c>
      <c r="K160" s="51">
        <f t="shared" si="58"/>
        <v>97</v>
      </c>
      <c r="L160" s="51">
        <f t="shared" si="56"/>
        <v>1010.75</v>
      </c>
      <c r="M160" s="51">
        <f t="shared" si="57"/>
        <v>59</v>
      </c>
      <c r="N160" s="53" t="b">
        <f t="shared" si="59"/>
        <v>0</v>
      </c>
      <c r="O160" s="53" t="b">
        <f t="shared" si="60"/>
        <v>1</v>
      </c>
      <c r="P160" s="53" t="str">
        <f t="shared" si="61"/>
        <v>cans9</v>
      </c>
      <c r="Q160" s="68" t="str">
        <f t="shared" si="62"/>
        <v>182
C009080</v>
      </c>
      <c r="R160" s="53" t="b">
        <f t="shared" si="63"/>
        <v>0</v>
      </c>
      <c r="S160" s="53"/>
      <c r="T160" s="53" t="str">
        <f t="shared" si="64"/>
        <v>CANS</v>
      </c>
      <c r="U160" s="53" t="str">
        <f t="shared" si="65"/>
        <v>cans</v>
      </c>
      <c r="V160" s="53">
        <f t="shared" si="66"/>
        <v>1</v>
      </c>
      <c r="W160" s="53" t="str">
        <f t="shared" si="67"/>
        <v>cans 9</v>
      </c>
      <c r="X160" s="53" t="str">
        <f t="shared" si="68"/>
        <v>1818.75</v>
      </c>
      <c r="Y160" s="53" t="str">
        <f t="shared" si="69"/>
        <v xml:space="preserve">182
</v>
      </c>
      <c r="Z160" s="53" t="str">
        <f t="shared" si="70"/>
        <v>9080</v>
      </c>
      <c r="AA160" s="53">
        <f t="shared" si="71"/>
        <v>5</v>
      </c>
      <c r="AB160" s="53">
        <f t="shared" si="72"/>
        <v>2</v>
      </c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</row>
    <row r="161" spans="1:41" ht="30" x14ac:dyDescent="0.25">
      <c r="A161" s="51" t="s">
        <v>523</v>
      </c>
      <c r="B161" s="51" t="s">
        <v>3096</v>
      </c>
      <c r="C161" s="51" t="s">
        <v>2023</v>
      </c>
      <c r="D161" s="51" t="s">
        <v>548</v>
      </c>
      <c r="E161" s="51" t="s">
        <v>3097</v>
      </c>
      <c r="F161" s="51">
        <v>6</v>
      </c>
      <c r="G161" s="51" t="s">
        <v>35</v>
      </c>
      <c r="H161" s="51">
        <v>8</v>
      </c>
      <c r="I161" s="51">
        <f t="shared" si="54"/>
        <v>48</v>
      </c>
      <c r="J161" s="51">
        <f t="shared" si="55"/>
        <v>223.5</v>
      </c>
      <c r="K161" s="51">
        <f t="shared" si="58"/>
        <v>117</v>
      </c>
      <c r="L161" s="51">
        <f t="shared" si="56"/>
        <v>1010.75</v>
      </c>
      <c r="M161" s="51">
        <f t="shared" si="57"/>
        <v>59</v>
      </c>
      <c r="N161" s="53" t="b">
        <f t="shared" si="59"/>
        <v>0</v>
      </c>
      <c r="O161" s="53" t="b">
        <f t="shared" si="60"/>
        <v>1</v>
      </c>
      <c r="P161" s="53" t="str">
        <f t="shared" si="61"/>
        <v>cans6</v>
      </c>
      <c r="Q161" s="68" t="str">
        <f t="shared" si="62"/>
        <v>223.5
C002608</v>
      </c>
      <c r="R161" s="53" t="b">
        <f t="shared" si="63"/>
        <v>0</v>
      </c>
      <c r="S161" s="53"/>
      <c r="T161" s="53" t="str">
        <f t="shared" si="64"/>
        <v>CANS</v>
      </c>
      <c r="U161" s="53" t="str">
        <f t="shared" si="65"/>
        <v>cans</v>
      </c>
      <c r="V161" s="53">
        <f t="shared" si="66"/>
        <v>1</v>
      </c>
      <c r="W161" s="53" t="str">
        <f t="shared" si="67"/>
        <v>cans 6</v>
      </c>
      <c r="X161" s="53" t="str">
        <f t="shared" si="68"/>
        <v>1818.75</v>
      </c>
      <c r="Y161" s="53" t="str">
        <f t="shared" si="69"/>
        <v>223.</v>
      </c>
      <c r="Z161" s="53" t="str">
        <f t="shared" si="70"/>
        <v>2608</v>
      </c>
      <c r="AA161" s="53">
        <f t="shared" si="71"/>
        <v>7</v>
      </c>
      <c r="AB161" s="53">
        <f t="shared" si="72"/>
        <v>4</v>
      </c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</row>
    <row r="162" spans="1:41" ht="30" x14ac:dyDescent="0.25">
      <c r="A162" s="51" t="s">
        <v>14</v>
      </c>
      <c r="B162" s="51" t="s">
        <v>3098</v>
      </c>
      <c r="C162" s="51" t="s">
        <v>3099</v>
      </c>
      <c r="D162" s="51" t="s">
        <v>1005</v>
      </c>
      <c r="E162" s="51" t="s">
        <v>386</v>
      </c>
      <c r="F162" s="51">
        <v>5</v>
      </c>
      <c r="G162" s="51" t="s">
        <v>13</v>
      </c>
      <c r="H162" s="51">
        <v>16</v>
      </c>
      <c r="I162" s="51">
        <f t="shared" si="54"/>
        <v>80</v>
      </c>
      <c r="J162" s="51">
        <f t="shared" si="55"/>
        <v>169</v>
      </c>
      <c r="K162" s="51">
        <f t="shared" si="58"/>
        <v>86</v>
      </c>
      <c r="L162" s="51">
        <f t="shared" si="56"/>
        <v>2079.5</v>
      </c>
      <c r="M162" s="51">
        <f t="shared" si="57"/>
        <v>107</v>
      </c>
      <c r="N162" s="53" t="b">
        <f t="shared" si="59"/>
        <v>0</v>
      </c>
      <c r="O162" s="53" t="b">
        <f t="shared" si="60"/>
        <v>1</v>
      </c>
      <c r="P162" s="53" t="str">
        <f t="shared" si="61"/>
        <v>ct5</v>
      </c>
      <c r="Q162" s="68" t="str">
        <f t="shared" si="62"/>
        <v>169
C004569</v>
      </c>
      <c r="R162" s="53" t="b">
        <f t="shared" si="63"/>
        <v>0</v>
      </c>
      <c r="S162" s="53"/>
      <c r="T162" s="53" t="str">
        <f t="shared" si="64"/>
        <v>CT</v>
      </c>
      <c r="U162" s="53" t="str">
        <f t="shared" si="65"/>
        <v>ct</v>
      </c>
      <c r="V162" s="53">
        <f t="shared" si="66"/>
        <v>1</v>
      </c>
      <c r="W162" s="53" t="str">
        <f t="shared" si="67"/>
        <v>ct 5</v>
      </c>
      <c r="X162" s="53" t="str">
        <f t="shared" si="68"/>
        <v>2879.5</v>
      </c>
      <c r="Y162" s="53" t="str">
        <f t="shared" si="69"/>
        <v xml:space="preserve">169
</v>
      </c>
      <c r="Z162" s="53" t="str">
        <f t="shared" si="70"/>
        <v>4569</v>
      </c>
      <c r="AA162" s="53">
        <f t="shared" si="71"/>
        <v>5</v>
      </c>
      <c r="AB162" s="53">
        <f t="shared" si="72"/>
        <v>2</v>
      </c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</row>
    <row r="163" spans="1:41" ht="30" x14ac:dyDescent="0.25">
      <c r="A163" s="51" t="s">
        <v>30</v>
      </c>
      <c r="B163" s="51" t="s">
        <v>3100</v>
      </c>
      <c r="C163" s="51" t="s">
        <v>3101</v>
      </c>
      <c r="D163" s="51" t="s">
        <v>354</v>
      </c>
      <c r="E163" s="51" t="s">
        <v>1994</v>
      </c>
      <c r="F163" s="51">
        <v>3</v>
      </c>
      <c r="G163" s="51" t="s">
        <v>167</v>
      </c>
      <c r="H163" s="51">
        <v>17</v>
      </c>
      <c r="I163" s="51">
        <f t="shared" si="54"/>
        <v>51</v>
      </c>
      <c r="J163" s="51">
        <f t="shared" si="55"/>
        <v>216.5</v>
      </c>
      <c r="K163" s="51">
        <f t="shared" si="58"/>
        <v>114</v>
      </c>
      <c r="L163" s="51">
        <f t="shared" si="56"/>
        <v>307</v>
      </c>
      <c r="M163" s="51">
        <f t="shared" si="57"/>
        <v>19</v>
      </c>
      <c r="N163" s="53" t="b">
        <f t="shared" si="59"/>
        <v>0</v>
      </c>
      <c r="O163" s="53" t="b">
        <f t="shared" si="60"/>
        <v>1</v>
      </c>
      <c r="P163" s="53" t="str">
        <f t="shared" si="61"/>
        <v>oz3</v>
      </c>
      <c r="Q163" s="68" t="str">
        <f t="shared" si="62"/>
        <v>216.5
C007042</v>
      </c>
      <c r="R163" s="53" t="b">
        <f t="shared" si="63"/>
        <v>0</v>
      </c>
      <c r="S163" s="53"/>
      <c r="T163" s="53" t="str">
        <f t="shared" si="64"/>
        <v>OZ</v>
      </c>
      <c r="U163" s="53" t="str">
        <f t="shared" si="65"/>
        <v>oz</v>
      </c>
      <c r="V163" s="53">
        <f t="shared" si="66"/>
        <v>1</v>
      </c>
      <c r="W163" s="53" t="str">
        <f t="shared" si="67"/>
        <v>oz 3</v>
      </c>
      <c r="X163" s="53" t="str">
        <f t="shared" si="68"/>
        <v>387</v>
      </c>
      <c r="Y163" s="53" t="str">
        <f t="shared" si="69"/>
        <v>216.</v>
      </c>
      <c r="Z163" s="53" t="str">
        <f t="shared" si="70"/>
        <v>7042</v>
      </c>
      <c r="AA163" s="53">
        <f t="shared" si="71"/>
        <v>7</v>
      </c>
      <c r="AB163" s="53">
        <f t="shared" si="72"/>
        <v>2</v>
      </c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</row>
    <row r="164" spans="1:41" ht="30" x14ac:dyDescent="0.25">
      <c r="A164" s="51" t="s">
        <v>173</v>
      </c>
      <c r="B164" s="51" t="s">
        <v>471</v>
      </c>
      <c r="C164" s="51" t="s">
        <v>3102</v>
      </c>
      <c r="D164" s="51" t="s">
        <v>1558</v>
      </c>
      <c r="E164" s="51" t="s">
        <v>3026</v>
      </c>
      <c r="F164" s="51">
        <v>11</v>
      </c>
      <c r="G164" s="51" t="s">
        <v>60</v>
      </c>
      <c r="H164" s="51">
        <v>26</v>
      </c>
      <c r="I164" s="51">
        <f t="shared" si="54"/>
        <v>286</v>
      </c>
      <c r="J164" s="51">
        <f t="shared" si="55"/>
        <v>15</v>
      </c>
      <c r="K164" s="51">
        <f t="shared" si="58"/>
        <v>12</v>
      </c>
      <c r="L164" s="51">
        <f t="shared" si="56"/>
        <v>908</v>
      </c>
      <c r="M164" s="51">
        <f t="shared" si="57"/>
        <v>50</v>
      </c>
      <c r="N164" s="53" t="b">
        <f t="shared" si="59"/>
        <v>0</v>
      </c>
      <c r="O164" s="53" t="b">
        <f t="shared" si="60"/>
        <v>1</v>
      </c>
      <c r="P164" s="53" t="str">
        <f t="shared" si="61"/>
        <v>bottles11</v>
      </c>
      <c r="Q164" s="68" t="str">
        <f t="shared" si="62"/>
        <v>15
C001921</v>
      </c>
      <c r="R164" s="53" t="b">
        <f t="shared" si="63"/>
        <v>0</v>
      </c>
      <c r="S164" s="53"/>
      <c r="T164" s="53" t="str">
        <f t="shared" si="64"/>
        <v>BOTTLES</v>
      </c>
      <c r="U164" s="53" t="str">
        <f t="shared" si="65"/>
        <v>bottles</v>
      </c>
      <c r="V164" s="53">
        <f t="shared" si="66"/>
        <v>1</v>
      </c>
      <c r="W164" s="53" t="str">
        <f t="shared" si="67"/>
        <v>bottles 11</v>
      </c>
      <c r="X164" s="53" t="str">
        <f t="shared" si="68"/>
        <v>988</v>
      </c>
      <c r="Y164" s="53" t="str">
        <f t="shared" si="69"/>
        <v>15
C</v>
      </c>
      <c r="Z164" s="53" t="str">
        <f t="shared" si="70"/>
        <v>1921</v>
      </c>
      <c r="AA164" s="53">
        <f t="shared" si="71"/>
        <v>4</v>
      </c>
      <c r="AB164" s="53">
        <f t="shared" si="72"/>
        <v>2</v>
      </c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</row>
    <row r="165" spans="1:41" ht="30" x14ac:dyDescent="0.25">
      <c r="A165" s="51" t="s">
        <v>146</v>
      </c>
      <c r="B165" s="51" t="s">
        <v>3103</v>
      </c>
      <c r="C165" s="51" t="s">
        <v>3104</v>
      </c>
      <c r="D165" s="51" t="s">
        <v>600</v>
      </c>
      <c r="E165" s="51" t="s">
        <v>3105</v>
      </c>
      <c r="F165" s="51">
        <v>5</v>
      </c>
      <c r="G165" s="51" t="s">
        <v>35</v>
      </c>
      <c r="H165" s="51">
        <v>40</v>
      </c>
      <c r="I165" s="51">
        <f t="shared" si="54"/>
        <v>200</v>
      </c>
      <c r="J165" s="51">
        <f t="shared" si="55"/>
        <v>30</v>
      </c>
      <c r="K165" s="51">
        <f t="shared" si="58"/>
        <v>18</v>
      </c>
      <c r="L165" s="51">
        <f t="shared" si="56"/>
        <v>1010.75</v>
      </c>
      <c r="M165" s="51">
        <f t="shared" si="57"/>
        <v>59</v>
      </c>
      <c r="N165" s="53" t="b">
        <f t="shared" si="59"/>
        <v>0</v>
      </c>
      <c r="O165" s="53" t="b">
        <f t="shared" si="60"/>
        <v>1</v>
      </c>
      <c r="P165" s="53" t="str">
        <f t="shared" si="61"/>
        <v>cans5</v>
      </c>
      <c r="Q165" s="68" t="str">
        <f t="shared" si="62"/>
        <v>30
C003726</v>
      </c>
      <c r="R165" s="53" t="b">
        <f t="shared" si="63"/>
        <v>0</v>
      </c>
      <c r="S165" s="53"/>
      <c r="T165" s="53" t="str">
        <f t="shared" si="64"/>
        <v>CANS</v>
      </c>
      <c r="U165" s="53" t="str">
        <f t="shared" si="65"/>
        <v>cans</v>
      </c>
      <c r="V165" s="53">
        <f t="shared" si="66"/>
        <v>1</v>
      </c>
      <c r="W165" s="53" t="str">
        <f t="shared" si="67"/>
        <v>cans 5</v>
      </c>
      <c r="X165" s="53" t="str">
        <f t="shared" si="68"/>
        <v>1818.75</v>
      </c>
      <c r="Y165" s="53" t="str">
        <f t="shared" si="69"/>
        <v>30
C</v>
      </c>
      <c r="Z165" s="53" t="str">
        <f t="shared" si="70"/>
        <v>3726</v>
      </c>
      <c r="AA165" s="53">
        <f t="shared" si="71"/>
        <v>4</v>
      </c>
      <c r="AB165" s="53">
        <f t="shared" si="72"/>
        <v>2</v>
      </c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</row>
    <row r="166" spans="1:41" ht="30" x14ac:dyDescent="0.25">
      <c r="A166" s="51" t="s">
        <v>209</v>
      </c>
      <c r="B166" s="51" t="s">
        <v>3106</v>
      </c>
      <c r="C166" s="51" t="s">
        <v>3107</v>
      </c>
      <c r="D166" s="51" t="s">
        <v>844</v>
      </c>
      <c r="E166" s="51" t="s">
        <v>3108</v>
      </c>
      <c r="F166" s="51">
        <v>1</v>
      </c>
      <c r="G166" s="51" t="s">
        <v>13</v>
      </c>
      <c r="H166" s="51">
        <v>11</v>
      </c>
      <c r="I166" s="51">
        <f t="shared" si="54"/>
        <v>11</v>
      </c>
      <c r="J166" s="51">
        <f t="shared" si="55"/>
        <v>298</v>
      </c>
      <c r="K166" s="51">
        <f t="shared" si="58"/>
        <v>154</v>
      </c>
      <c r="L166" s="51">
        <f t="shared" si="56"/>
        <v>2079.5</v>
      </c>
      <c r="M166" s="51">
        <f t="shared" si="57"/>
        <v>107</v>
      </c>
      <c r="N166" s="53" t="b">
        <f t="shared" si="59"/>
        <v>0</v>
      </c>
      <c r="O166" s="53" t="b">
        <f t="shared" si="60"/>
        <v>1</v>
      </c>
      <c r="P166" s="53" t="str">
        <f t="shared" si="61"/>
        <v>ct1</v>
      </c>
      <c r="Q166" s="68" t="str">
        <f t="shared" si="62"/>
        <v>298
C002581</v>
      </c>
      <c r="R166" s="53" t="b">
        <f t="shared" si="63"/>
        <v>0</v>
      </c>
      <c r="S166" s="53"/>
      <c r="T166" s="53" t="str">
        <f t="shared" si="64"/>
        <v>CT</v>
      </c>
      <c r="U166" s="53" t="str">
        <f t="shared" si="65"/>
        <v>ct</v>
      </c>
      <c r="V166" s="53">
        <f t="shared" si="66"/>
        <v>1</v>
      </c>
      <c r="W166" s="53" t="str">
        <f t="shared" si="67"/>
        <v>ct 1</v>
      </c>
      <c r="X166" s="53" t="str">
        <f t="shared" si="68"/>
        <v>2879.5</v>
      </c>
      <c r="Y166" s="53" t="str">
        <f t="shared" si="69"/>
        <v xml:space="preserve">298
</v>
      </c>
      <c r="Z166" s="53" t="str">
        <f t="shared" si="70"/>
        <v>2581</v>
      </c>
      <c r="AA166" s="53">
        <f t="shared" si="71"/>
        <v>5</v>
      </c>
      <c r="AB166" s="53">
        <f t="shared" si="72"/>
        <v>7</v>
      </c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</row>
    <row r="167" spans="1:41" ht="30" x14ac:dyDescent="0.25">
      <c r="A167" s="51" t="s">
        <v>224</v>
      </c>
      <c r="B167" s="51" t="s">
        <v>3109</v>
      </c>
      <c r="C167" s="51" t="s">
        <v>3110</v>
      </c>
      <c r="D167" s="51" t="s">
        <v>1877</v>
      </c>
      <c r="E167" s="51" t="s">
        <v>334</v>
      </c>
      <c r="F167" s="51">
        <v>7</v>
      </c>
      <c r="G167" s="51" t="s">
        <v>13</v>
      </c>
      <c r="H167" s="51">
        <v>53</v>
      </c>
      <c r="I167" s="51">
        <f t="shared" si="54"/>
        <v>371</v>
      </c>
      <c r="J167" s="51">
        <f t="shared" si="55"/>
        <v>8</v>
      </c>
      <c r="K167" s="51">
        <f t="shared" si="58"/>
        <v>7</v>
      </c>
      <c r="L167" s="51">
        <f t="shared" si="56"/>
        <v>2079.5</v>
      </c>
      <c r="M167" s="51">
        <f t="shared" si="57"/>
        <v>107</v>
      </c>
      <c r="N167" s="53" t="b">
        <f t="shared" si="59"/>
        <v>0</v>
      </c>
      <c r="O167" s="53" t="b">
        <f t="shared" si="60"/>
        <v>1</v>
      </c>
      <c r="P167" s="53" t="str">
        <f t="shared" si="61"/>
        <v>ct7</v>
      </c>
      <c r="Q167" s="68" t="str">
        <f t="shared" si="62"/>
        <v>8
C006133</v>
      </c>
      <c r="R167" s="53" t="b">
        <f t="shared" si="63"/>
        <v>0</v>
      </c>
      <c r="S167" s="53"/>
      <c r="T167" s="53" t="str">
        <f t="shared" si="64"/>
        <v>CT</v>
      </c>
      <c r="U167" s="53" t="str">
        <f t="shared" si="65"/>
        <v>ct</v>
      </c>
      <c r="V167" s="53">
        <f t="shared" si="66"/>
        <v>1</v>
      </c>
      <c r="W167" s="53" t="str">
        <f t="shared" si="67"/>
        <v>ct 7</v>
      </c>
      <c r="X167" s="53" t="str">
        <f t="shared" si="68"/>
        <v>2879.5</v>
      </c>
      <c r="Y167" s="53" t="str">
        <f t="shared" si="69"/>
        <v>8
C0</v>
      </c>
      <c r="Z167" s="53" t="str">
        <f t="shared" si="70"/>
        <v>6133</v>
      </c>
      <c r="AA167" s="53">
        <f t="shared" si="71"/>
        <v>3</v>
      </c>
      <c r="AB167" s="53">
        <f t="shared" si="72"/>
        <v>4</v>
      </c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</row>
    <row r="168" spans="1:41" ht="30" x14ac:dyDescent="0.25">
      <c r="A168" s="51" t="s">
        <v>307</v>
      </c>
      <c r="B168" s="51" t="s">
        <v>3111</v>
      </c>
      <c r="C168" s="51" t="s">
        <v>3112</v>
      </c>
      <c r="D168" s="51" t="s">
        <v>807</v>
      </c>
      <c r="E168" s="51" t="s">
        <v>579</v>
      </c>
      <c r="F168" s="51">
        <v>2</v>
      </c>
      <c r="G168" s="51" t="s">
        <v>13</v>
      </c>
      <c r="H168" s="51">
        <v>21</v>
      </c>
      <c r="I168" s="51">
        <f t="shared" si="54"/>
        <v>42</v>
      </c>
      <c r="J168" s="51">
        <f t="shared" si="55"/>
        <v>236</v>
      </c>
      <c r="K168" s="51">
        <f t="shared" si="58"/>
        <v>121</v>
      </c>
      <c r="L168" s="51">
        <f t="shared" si="56"/>
        <v>2079.5</v>
      </c>
      <c r="M168" s="51">
        <f t="shared" si="57"/>
        <v>107</v>
      </c>
      <c r="N168" s="53" t="b">
        <f t="shared" si="59"/>
        <v>0</v>
      </c>
      <c r="O168" s="53" t="b">
        <f t="shared" si="60"/>
        <v>1</v>
      </c>
      <c r="P168" s="53" t="str">
        <f t="shared" si="61"/>
        <v>ct2</v>
      </c>
      <c r="Q168" s="68" t="str">
        <f t="shared" si="62"/>
        <v>236
C008735</v>
      </c>
      <c r="R168" s="53" t="b">
        <f t="shared" si="63"/>
        <v>0</v>
      </c>
      <c r="S168" s="53"/>
      <c r="T168" s="53" t="str">
        <f t="shared" si="64"/>
        <v>CT</v>
      </c>
      <c r="U168" s="53" t="str">
        <f t="shared" si="65"/>
        <v>ct</v>
      </c>
      <c r="V168" s="53">
        <f t="shared" si="66"/>
        <v>1</v>
      </c>
      <c r="W168" s="53" t="str">
        <f t="shared" si="67"/>
        <v>ct 2</v>
      </c>
      <c r="X168" s="53" t="str">
        <f t="shared" si="68"/>
        <v>2879.5</v>
      </c>
      <c r="Y168" s="53" t="str">
        <f t="shared" si="69"/>
        <v xml:space="preserve">236
</v>
      </c>
      <c r="Z168" s="53" t="str">
        <f t="shared" si="70"/>
        <v>8735</v>
      </c>
      <c r="AA168" s="53">
        <f t="shared" si="71"/>
        <v>5</v>
      </c>
      <c r="AB168" s="53">
        <f t="shared" si="72"/>
        <v>2</v>
      </c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</row>
    <row r="169" spans="1:41" ht="30" x14ac:dyDescent="0.25">
      <c r="A169" s="51" t="s">
        <v>25</v>
      </c>
      <c r="B169" s="51" t="s">
        <v>3113</v>
      </c>
      <c r="C169" s="51" t="s">
        <v>3114</v>
      </c>
      <c r="D169" s="51" t="s">
        <v>483</v>
      </c>
      <c r="E169" s="51" t="s">
        <v>3115</v>
      </c>
      <c r="F169" s="51">
        <v>10</v>
      </c>
      <c r="G169" s="51" t="s">
        <v>35</v>
      </c>
      <c r="H169" s="51">
        <v>8</v>
      </c>
      <c r="I169" s="51">
        <f t="shared" si="54"/>
        <v>80</v>
      </c>
      <c r="J169" s="51">
        <f t="shared" si="55"/>
        <v>169</v>
      </c>
      <c r="K169" s="51">
        <f t="shared" si="58"/>
        <v>83</v>
      </c>
      <c r="L169" s="51">
        <f t="shared" si="56"/>
        <v>1010.75</v>
      </c>
      <c r="M169" s="51">
        <f t="shared" si="57"/>
        <v>59</v>
      </c>
      <c r="N169" s="53" t="b">
        <f t="shared" si="59"/>
        <v>0</v>
      </c>
      <c r="O169" s="53" t="b">
        <f t="shared" si="60"/>
        <v>1</v>
      </c>
      <c r="P169" s="53" t="str">
        <f t="shared" si="61"/>
        <v>cans10</v>
      </c>
      <c r="Q169" s="68" t="str">
        <f t="shared" si="62"/>
        <v>169
C004067</v>
      </c>
      <c r="R169" s="53" t="b">
        <f t="shared" si="63"/>
        <v>0</v>
      </c>
      <c r="S169" s="53"/>
      <c r="T169" s="53" t="str">
        <f t="shared" si="64"/>
        <v>CANS</v>
      </c>
      <c r="U169" s="53" t="str">
        <f t="shared" si="65"/>
        <v>cans</v>
      </c>
      <c r="V169" s="53">
        <f t="shared" si="66"/>
        <v>1</v>
      </c>
      <c r="W169" s="53" t="str">
        <f t="shared" si="67"/>
        <v>cans 10</v>
      </c>
      <c r="X169" s="53" t="str">
        <f t="shared" si="68"/>
        <v>1818.75</v>
      </c>
      <c r="Y169" s="53" t="str">
        <f t="shared" si="69"/>
        <v xml:space="preserve">169
</v>
      </c>
      <c r="Z169" s="53" t="str">
        <f t="shared" si="70"/>
        <v>4067</v>
      </c>
      <c r="AA169" s="53">
        <f t="shared" si="71"/>
        <v>5</v>
      </c>
      <c r="AB169" s="53">
        <f t="shared" si="72"/>
        <v>2</v>
      </c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</row>
    <row r="170" spans="1:41" ht="30" x14ac:dyDescent="0.25">
      <c r="A170" s="51" t="s">
        <v>116</v>
      </c>
      <c r="B170" s="51" t="s">
        <v>3116</v>
      </c>
      <c r="C170" s="51" t="s">
        <v>3117</v>
      </c>
      <c r="D170" s="51" t="s">
        <v>414</v>
      </c>
      <c r="E170" s="51" t="s">
        <v>542</v>
      </c>
      <c r="F170" s="51">
        <v>5</v>
      </c>
      <c r="G170" s="51" t="s">
        <v>407</v>
      </c>
      <c r="H170" s="51">
        <v>15</v>
      </c>
      <c r="I170" s="51">
        <f t="shared" si="54"/>
        <v>75</v>
      </c>
      <c r="J170" s="51">
        <f t="shared" si="55"/>
        <v>176.5</v>
      </c>
      <c r="K170" s="51">
        <f t="shared" si="58"/>
        <v>90</v>
      </c>
      <c r="L170" s="51">
        <f t="shared" si="56"/>
        <v>182</v>
      </c>
      <c r="M170" s="51">
        <f t="shared" si="57"/>
        <v>12</v>
      </c>
      <c r="N170" s="53" t="b">
        <f t="shared" si="59"/>
        <v>0</v>
      </c>
      <c r="O170" s="53" t="b">
        <f t="shared" si="60"/>
        <v>1</v>
      </c>
      <c r="P170" s="53" t="str">
        <f t="shared" si="61"/>
        <v>pk5</v>
      </c>
      <c r="Q170" s="68" t="str">
        <f t="shared" si="62"/>
        <v>176.5
C002609</v>
      </c>
      <c r="R170" s="53" t="b">
        <f t="shared" si="63"/>
        <v>0</v>
      </c>
      <c r="S170" s="53"/>
      <c r="T170" s="53" t="str">
        <f t="shared" si="64"/>
        <v>PK</v>
      </c>
      <c r="U170" s="53" t="str">
        <f t="shared" si="65"/>
        <v>pk</v>
      </c>
      <c r="V170" s="53">
        <f t="shared" si="66"/>
        <v>1</v>
      </c>
      <c r="W170" s="53" t="str">
        <f t="shared" si="67"/>
        <v>pk 5</v>
      </c>
      <c r="X170" s="53" t="str">
        <f t="shared" si="68"/>
        <v>182</v>
      </c>
      <c r="Y170" s="53" t="str">
        <f t="shared" si="69"/>
        <v>176.</v>
      </c>
      <c r="Z170" s="53" t="str">
        <f t="shared" si="70"/>
        <v>2609</v>
      </c>
      <c r="AA170" s="53">
        <f t="shared" si="71"/>
        <v>7</v>
      </c>
      <c r="AB170" s="53">
        <f t="shared" si="72"/>
        <v>2</v>
      </c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</row>
    <row r="171" spans="1:41" ht="30" x14ac:dyDescent="0.25">
      <c r="A171" s="51" t="s">
        <v>101</v>
      </c>
      <c r="B171" s="51" t="s">
        <v>3118</v>
      </c>
      <c r="C171" s="51" t="s">
        <v>3119</v>
      </c>
      <c r="D171" s="51" t="s">
        <v>552</v>
      </c>
      <c r="E171" s="51" t="s">
        <v>358</v>
      </c>
      <c r="F171" s="51">
        <v>7</v>
      </c>
      <c r="G171" s="51" t="s">
        <v>60</v>
      </c>
      <c r="H171" s="51">
        <v>14</v>
      </c>
      <c r="I171" s="51">
        <f t="shared" si="54"/>
        <v>98</v>
      </c>
      <c r="J171" s="51">
        <f t="shared" si="55"/>
        <v>141</v>
      </c>
      <c r="K171" s="51">
        <f t="shared" si="58"/>
        <v>72</v>
      </c>
      <c r="L171" s="51">
        <f t="shared" si="56"/>
        <v>908</v>
      </c>
      <c r="M171" s="51">
        <f t="shared" si="57"/>
        <v>50</v>
      </c>
      <c r="N171" s="53" t="b">
        <f t="shared" si="59"/>
        <v>0</v>
      </c>
      <c r="O171" s="53" t="b">
        <f t="shared" si="60"/>
        <v>0</v>
      </c>
      <c r="P171" s="53" t="str">
        <f t="shared" si="61"/>
        <v>bottles7</v>
      </c>
      <c r="Q171" s="68" t="str">
        <f t="shared" si="62"/>
        <v>141
C006899</v>
      </c>
      <c r="R171" s="53" t="b">
        <f t="shared" si="63"/>
        <v>0</v>
      </c>
      <c r="S171" s="53"/>
      <c r="T171" s="53" t="str">
        <f t="shared" si="64"/>
        <v>BOTTLES</v>
      </c>
      <c r="U171" s="53" t="str">
        <f t="shared" si="65"/>
        <v>bottles</v>
      </c>
      <c r="V171" s="53">
        <f t="shared" si="66"/>
        <v>1</v>
      </c>
      <c r="W171" s="53" t="str">
        <f t="shared" si="67"/>
        <v>bottles 7</v>
      </c>
      <c r="X171" s="53" t="str">
        <f t="shared" si="68"/>
        <v>988</v>
      </c>
      <c r="Y171" s="53" t="str">
        <f t="shared" si="69"/>
        <v xml:space="preserve">141
</v>
      </c>
      <c r="Z171" s="53" t="str">
        <f t="shared" si="70"/>
        <v>6899</v>
      </c>
      <c r="AA171" s="53">
        <f t="shared" si="71"/>
        <v>5</v>
      </c>
      <c r="AB171" s="53">
        <f t="shared" si="72"/>
        <v>4</v>
      </c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</row>
    <row r="172" spans="1:41" ht="30" x14ac:dyDescent="0.25">
      <c r="A172" s="51" t="s">
        <v>61</v>
      </c>
      <c r="B172" s="51" t="s">
        <v>3120</v>
      </c>
      <c r="C172" s="51" t="s">
        <v>3121</v>
      </c>
      <c r="D172" s="51" t="s">
        <v>114</v>
      </c>
      <c r="E172" s="51" t="s">
        <v>899</v>
      </c>
      <c r="F172" s="51">
        <v>2</v>
      </c>
      <c r="G172" s="51" t="s">
        <v>13</v>
      </c>
      <c r="H172" s="51">
        <v>15</v>
      </c>
      <c r="I172" s="51">
        <f t="shared" si="54"/>
        <v>30</v>
      </c>
      <c r="J172" s="51">
        <f t="shared" si="55"/>
        <v>267.5</v>
      </c>
      <c r="K172" s="51">
        <f t="shared" si="58"/>
        <v>133</v>
      </c>
      <c r="L172" s="51">
        <f t="shared" si="56"/>
        <v>2079.5</v>
      </c>
      <c r="M172" s="51">
        <f t="shared" si="57"/>
        <v>107</v>
      </c>
      <c r="N172" s="53" t="b">
        <f t="shared" si="59"/>
        <v>0</v>
      </c>
      <c r="O172" s="53" t="b">
        <f t="shared" si="60"/>
        <v>1</v>
      </c>
      <c r="P172" s="53" t="str">
        <f t="shared" si="61"/>
        <v>ct2</v>
      </c>
      <c r="Q172" s="68" t="str">
        <f t="shared" si="62"/>
        <v>267.5
C006930</v>
      </c>
      <c r="R172" s="53" t="b">
        <f t="shared" si="63"/>
        <v>0</v>
      </c>
      <c r="S172" s="53"/>
      <c r="T172" s="53" t="str">
        <f t="shared" si="64"/>
        <v>CT</v>
      </c>
      <c r="U172" s="53" t="str">
        <f t="shared" si="65"/>
        <v>ct</v>
      </c>
      <c r="V172" s="53">
        <f t="shared" si="66"/>
        <v>1</v>
      </c>
      <c r="W172" s="53" t="str">
        <f t="shared" si="67"/>
        <v>ct 2</v>
      </c>
      <c r="X172" s="53" t="str">
        <f t="shared" si="68"/>
        <v>2879.5</v>
      </c>
      <c r="Y172" s="53" t="str">
        <f t="shared" si="69"/>
        <v>267.</v>
      </c>
      <c r="Z172" s="53" t="str">
        <f t="shared" si="70"/>
        <v>6930</v>
      </c>
      <c r="AA172" s="53">
        <f t="shared" si="71"/>
        <v>7</v>
      </c>
      <c r="AB172" s="53">
        <f t="shared" si="72"/>
        <v>7</v>
      </c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</row>
    <row r="173" spans="1:41" ht="30" x14ac:dyDescent="0.25">
      <c r="A173" s="51" t="s">
        <v>101</v>
      </c>
      <c r="B173" s="51" t="s">
        <v>3122</v>
      </c>
      <c r="C173" s="51" t="s">
        <v>3123</v>
      </c>
      <c r="D173" s="51" t="s">
        <v>1598</v>
      </c>
      <c r="E173" s="51" t="s">
        <v>2689</v>
      </c>
      <c r="F173" s="51">
        <v>10</v>
      </c>
      <c r="G173" s="51" t="s">
        <v>13</v>
      </c>
      <c r="H173" s="51">
        <v>16</v>
      </c>
      <c r="I173" s="51">
        <f t="shared" si="54"/>
        <v>160</v>
      </c>
      <c r="J173" s="51">
        <f t="shared" si="55"/>
        <v>67.5</v>
      </c>
      <c r="K173" s="51">
        <f t="shared" si="58"/>
        <v>32</v>
      </c>
      <c r="L173" s="51">
        <f t="shared" si="56"/>
        <v>2079.5</v>
      </c>
      <c r="M173" s="51">
        <f t="shared" si="57"/>
        <v>107</v>
      </c>
      <c r="N173" s="53" t="b">
        <f t="shared" si="59"/>
        <v>0</v>
      </c>
      <c r="O173" s="53" t="b">
        <f t="shared" si="60"/>
        <v>1</v>
      </c>
      <c r="P173" s="53" t="str">
        <f t="shared" si="61"/>
        <v>ct10</v>
      </c>
      <c r="Q173" s="68" t="str">
        <f t="shared" si="62"/>
        <v>67.5
C002224</v>
      </c>
      <c r="R173" s="53" t="b">
        <f t="shared" si="63"/>
        <v>0</v>
      </c>
      <c r="S173" s="53"/>
      <c r="T173" s="53" t="str">
        <f t="shared" si="64"/>
        <v>CT</v>
      </c>
      <c r="U173" s="53" t="str">
        <f t="shared" si="65"/>
        <v>ct</v>
      </c>
      <c r="V173" s="53">
        <f t="shared" si="66"/>
        <v>1</v>
      </c>
      <c r="W173" s="53" t="str">
        <f t="shared" si="67"/>
        <v>ct 10</v>
      </c>
      <c r="X173" s="53" t="str">
        <f t="shared" si="68"/>
        <v>2879.5</v>
      </c>
      <c r="Y173" s="53" t="str">
        <f t="shared" si="69"/>
        <v>67.5</v>
      </c>
      <c r="Z173" s="53" t="str">
        <f t="shared" si="70"/>
        <v>2224</v>
      </c>
      <c r="AA173" s="53">
        <f t="shared" si="71"/>
        <v>6</v>
      </c>
      <c r="AB173" s="53">
        <f t="shared" si="72"/>
        <v>7</v>
      </c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</row>
    <row r="174" spans="1:41" ht="30" x14ac:dyDescent="0.25">
      <c r="A174" s="51" t="s">
        <v>125</v>
      </c>
      <c r="B174" s="51" t="s">
        <v>3124</v>
      </c>
      <c r="C174" s="51" t="s">
        <v>3125</v>
      </c>
      <c r="D174" s="51" t="s">
        <v>119</v>
      </c>
      <c r="E174" s="51" t="s">
        <v>682</v>
      </c>
      <c r="F174" s="51">
        <v>6</v>
      </c>
      <c r="G174" s="51" t="s">
        <v>106</v>
      </c>
      <c r="H174" s="51">
        <v>17</v>
      </c>
      <c r="I174" s="51">
        <f t="shared" si="54"/>
        <v>102</v>
      </c>
      <c r="J174" s="51">
        <f t="shared" si="55"/>
        <v>135.5</v>
      </c>
      <c r="K174" s="51">
        <f t="shared" si="58"/>
        <v>68</v>
      </c>
      <c r="L174" s="51">
        <f t="shared" si="56"/>
        <v>285</v>
      </c>
      <c r="M174" s="51">
        <f t="shared" si="57"/>
        <v>17</v>
      </c>
      <c r="N174" s="53" t="b">
        <f t="shared" si="59"/>
        <v>0</v>
      </c>
      <c r="O174" s="53" t="b">
        <f t="shared" si="60"/>
        <v>0</v>
      </c>
      <c r="P174" s="53" t="str">
        <f t="shared" si="61"/>
        <v>bags6</v>
      </c>
      <c r="Q174" s="68" t="str">
        <f t="shared" si="62"/>
        <v>135.5
C006076</v>
      </c>
      <c r="R174" s="53" t="b">
        <f t="shared" si="63"/>
        <v>0</v>
      </c>
      <c r="S174" s="53"/>
      <c r="T174" s="53" t="str">
        <f t="shared" si="64"/>
        <v>BAGS</v>
      </c>
      <c r="U174" s="53" t="str">
        <f t="shared" si="65"/>
        <v>bags</v>
      </c>
      <c r="V174" s="53">
        <f t="shared" si="66"/>
        <v>1</v>
      </c>
      <c r="W174" s="53" t="str">
        <f t="shared" si="67"/>
        <v>bags 6</v>
      </c>
      <c r="X174" s="53" t="str">
        <f t="shared" si="68"/>
        <v>285</v>
      </c>
      <c r="Y174" s="53" t="str">
        <f t="shared" si="69"/>
        <v>135.</v>
      </c>
      <c r="Z174" s="53" t="str">
        <f t="shared" si="70"/>
        <v>6076</v>
      </c>
      <c r="AA174" s="53">
        <f t="shared" si="71"/>
        <v>7</v>
      </c>
      <c r="AB174" s="53">
        <f t="shared" si="72"/>
        <v>2</v>
      </c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</row>
    <row r="175" spans="1:41" ht="30" x14ac:dyDescent="0.25">
      <c r="A175" s="51" t="s">
        <v>459</v>
      </c>
      <c r="B175" s="51" t="s">
        <v>3126</v>
      </c>
      <c r="C175" s="51" t="s">
        <v>3127</v>
      </c>
      <c r="D175" s="51" t="s">
        <v>541</v>
      </c>
      <c r="E175" s="51" t="s">
        <v>2968</v>
      </c>
      <c r="F175" s="51">
        <v>5</v>
      </c>
      <c r="G175" s="51" t="s">
        <v>13</v>
      </c>
      <c r="H175" s="51">
        <v>13.5</v>
      </c>
      <c r="I175" s="51">
        <f t="shared" si="54"/>
        <v>67.5</v>
      </c>
      <c r="J175" s="51">
        <f t="shared" si="55"/>
        <v>191</v>
      </c>
      <c r="K175" s="51">
        <f t="shared" si="58"/>
        <v>93</v>
      </c>
      <c r="L175" s="51">
        <f t="shared" si="56"/>
        <v>2079.5</v>
      </c>
      <c r="M175" s="51">
        <f t="shared" si="57"/>
        <v>107</v>
      </c>
      <c r="N175" s="53" t="b">
        <f t="shared" si="59"/>
        <v>0</v>
      </c>
      <c r="O175" s="53" t="b">
        <f t="shared" si="60"/>
        <v>1</v>
      </c>
      <c r="P175" s="53" t="str">
        <f t="shared" si="61"/>
        <v>ct5</v>
      </c>
      <c r="Q175" s="68" t="str">
        <f t="shared" si="62"/>
        <v>191
C006123</v>
      </c>
      <c r="R175" s="53" t="b">
        <f t="shared" si="63"/>
        <v>0</v>
      </c>
      <c r="S175" s="53"/>
      <c r="T175" s="53" t="str">
        <f t="shared" si="64"/>
        <v>CT</v>
      </c>
      <c r="U175" s="53" t="str">
        <f t="shared" si="65"/>
        <v>ct</v>
      </c>
      <c r="V175" s="53">
        <f t="shared" si="66"/>
        <v>1</v>
      </c>
      <c r="W175" s="53" t="str">
        <f t="shared" si="67"/>
        <v>ct 5</v>
      </c>
      <c r="X175" s="53" t="str">
        <f t="shared" si="68"/>
        <v>2879.5</v>
      </c>
      <c r="Y175" s="53" t="str">
        <f t="shared" si="69"/>
        <v xml:space="preserve">191
</v>
      </c>
      <c r="Z175" s="53" t="str">
        <f t="shared" si="70"/>
        <v>6123</v>
      </c>
      <c r="AA175" s="53">
        <f t="shared" si="71"/>
        <v>5</v>
      </c>
      <c r="AB175" s="53">
        <f t="shared" si="72"/>
        <v>2</v>
      </c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</row>
    <row r="176" spans="1:41" ht="30" x14ac:dyDescent="0.25">
      <c r="A176" s="51" t="s">
        <v>14</v>
      </c>
      <c r="B176" s="51" t="s">
        <v>3128</v>
      </c>
      <c r="C176" s="51" t="s">
        <v>3129</v>
      </c>
      <c r="D176" s="51" t="s">
        <v>248</v>
      </c>
      <c r="E176" s="51" t="s">
        <v>1200</v>
      </c>
      <c r="F176" s="51">
        <v>5</v>
      </c>
      <c r="G176" s="51" t="s">
        <v>13</v>
      </c>
      <c r="H176" s="51">
        <v>24</v>
      </c>
      <c r="I176" s="51">
        <f t="shared" si="54"/>
        <v>120</v>
      </c>
      <c r="J176" s="51">
        <f t="shared" si="55"/>
        <v>112</v>
      </c>
      <c r="K176" s="51">
        <f t="shared" si="58"/>
        <v>53</v>
      </c>
      <c r="L176" s="51">
        <f t="shared" si="56"/>
        <v>2079.5</v>
      </c>
      <c r="M176" s="51">
        <f t="shared" si="57"/>
        <v>107</v>
      </c>
      <c r="N176" s="53" t="b">
        <f t="shared" si="59"/>
        <v>0</v>
      </c>
      <c r="O176" s="53" t="b">
        <f t="shared" si="60"/>
        <v>0</v>
      </c>
      <c r="P176" s="53" t="str">
        <f t="shared" si="61"/>
        <v>ct5</v>
      </c>
      <c r="Q176" s="68" t="str">
        <f t="shared" si="62"/>
        <v>112
C002986</v>
      </c>
      <c r="R176" s="53" t="b">
        <f t="shared" si="63"/>
        <v>0</v>
      </c>
      <c r="S176" s="53"/>
      <c r="T176" s="53" t="str">
        <f t="shared" si="64"/>
        <v>CT</v>
      </c>
      <c r="U176" s="53" t="str">
        <f t="shared" si="65"/>
        <v>ct</v>
      </c>
      <c r="V176" s="53">
        <f t="shared" si="66"/>
        <v>1</v>
      </c>
      <c r="W176" s="53" t="str">
        <f t="shared" si="67"/>
        <v>ct 5</v>
      </c>
      <c r="X176" s="53" t="str">
        <f t="shared" si="68"/>
        <v>2879.5</v>
      </c>
      <c r="Y176" s="53" t="str">
        <f t="shared" si="69"/>
        <v xml:space="preserve">112
</v>
      </c>
      <c r="Z176" s="53" t="str">
        <f t="shared" si="70"/>
        <v>2986</v>
      </c>
      <c r="AA176" s="53">
        <f t="shared" si="71"/>
        <v>5</v>
      </c>
      <c r="AB176" s="53">
        <f t="shared" si="72"/>
        <v>7</v>
      </c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</row>
    <row r="177" spans="1:41" ht="30" x14ac:dyDescent="0.25">
      <c r="A177" s="51" t="s">
        <v>101</v>
      </c>
      <c r="B177" s="51" t="s">
        <v>3130</v>
      </c>
      <c r="C177" s="51" t="s">
        <v>3131</v>
      </c>
      <c r="D177" s="51" t="s">
        <v>294</v>
      </c>
      <c r="E177" s="51" t="s">
        <v>100</v>
      </c>
      <c r="F177" s="51">
        <v>6</v>
      </c>
      <c r="G177" s="51" t="s">
        <v>13</v>
      </c>
      <c r="H177" s="51">
        <v>12</v>
      </c>
      <c r="I177" s="51">
        <f t="shared" si="54"/>
        <v>72</v>
      </c>
      <c r="J177" s="51">
        <f t="shared" si="55"/>
        <v>182</v>
      </c>
      <c r="K177" s="51">
        <f t="shared" si="58"/>
        <v>87</v>
      </c>
      <c r="L177" s="51">
        <f t="shared" si="56"/>
        <v>2079.5</v>
      </c>
      <c r="M177" s="51">
        <f t="shared" si="57"/>
        <v>107</v>
      </c>
      <c r="N177" s="53" t="b">
        <f t="shared" si="59"/>
        <v>0</v>
      </c>
      <c r="O177" s="53" t="b">
        <f t="shared" si="60"/>
        <v>1</v>
      </c>
      <c r="P177" s="53" t="str">
        <f t="shared" si="61"/>
        <v>ct6</v>
      </c>
      <c r="Q177" s="68" t="str">
        <f t="shared" si="62"/>
        <v>182
C007830</v>
      </c>
      <c r="R177" s="53" t="b">
        <f t="shared" si="63"/>
        <v>0</v>
      </c>
      <c r="S177" s="53"/>
      <c r="T177" s="53" t="str">
        <f t="shared" si="64"/>
        <v>CT</v>
      </c>
      <c r="U177" s="53" t="str">
        <f t="shared" si="65"/>
        <v>ct</v>
      </c>
      <c r="V177" s="53">
        <f t="shared" si="66"/>
        <v>1</v>
      </c>
      <c r="W177" s="53" t="str">
        <f t="shared" si="67"/>
        <v>ct 6</v>
      </c>
      <c r="X177" s="53" t="str">
        <f t="shared" si="68"/>
        <v>2879.5</v>
      </c>
      <c r="Y177" s="53" t="str">
        <f t="shared" si="69"/>
        <v xml:space="preserve">182
</v>
      </c>
      <c r="Z177" s="53" t="str">
        <f t="shared" si="70"/>
        <v>7830</v>
      </c>
      <c r="AA177" s="53">
        <f t="shared" si="71"/>
        <v>5</v>
      </c>
      <c r="AB177" s="53">
        <f t="shared" si="72"/>
        <v>2</v>
      </c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</row>
    <row r="178" spans="1:41" ht="30" x14ac:dyDescent="0.25">
      <c r="A178" s="51" t="s">
        <v>339</v>
      </c>
      <c r="B178" s="51" t="s">
        <v>3132</v>
      </c>
      <c r="C178" s="51" t="s">
        <v>3133</v>
      </c>
      <c r="D178" s="51" t="s">
        <v>1433</v>
      </c>
      <c r="E178" s="51" t="s">
        <v>2291</v>
      </c>
      <c r="F178" s="51">
        <v>7</v>
      </c>
      <c r="G178" s="51" t="s">
        <v>13</v>
      </c>
      <c r="H178" s="51">
        <v>13</v>
      </c>
      <c r="I178" s="51">
        <f t="shared" si="54"/>
        <v>91</v>
      </c>
      <c r="J178" s="51">
        <f t="shared" si="55"/>
        <v>152.5</v>
      </c>
      <c r="K178" s="51">
        <f t="shared" si="58"/>
        <v>75</v>
      </c>
      <c r="L178" s="51">
        <f t="shared" si="56"/>
        <v>2079.5</v>
      </c>
      <c r="M178" s="51">
        <f t="shared" si="57"/>
        <v>107</v>
      </c>
      <c r="N178" s="53" t="b">
        <f t="shared" si="59"/>
        <v>0</v>
      </c>
      <c r="O178" s="53" t="b">
        <f t="shared" si="60"/>
        <v>1</v>
      </c>
      <c r="P178" s="53" t="str">
        <f t="shared" si="61"/>
        <v>ct7</v>
      </c>
      <c r="Q178" s="68" t="str">
        <f t="shared" si="62"/>
        <v>152.5
C005895</v>
      </c>
      <c r="R178" s="53" t="b">
        <f t="shared" si="63"/>
        <v>0</v>
      </c>
      <c r="S178" s="53"/>
      <c r="T178" s="53" t="str">
        <f t="shared" si="64"/>
        <v>CT</v>
      </c>
      <c r="U178" s="53" t="str">
        <f t="shared" si="65"/>
        <v>ct</v>
      </c>
      <c r="V178" s="53">
        <f t="shared" si="66"/>
        <v>1</v>
      </c>
      <c r="W178" s="53" t="str">
        <f t="shared" si="67"/>
        <v>ct 7</v>
      </c>
      <c r="X178" s="53" t="str">
        <f t="shared" si="68"/>
        <v>2879.5</v>
      </c>
      <c r="Y178" s="53" t="str">
        <f t="shared" si="69"/>
        <v>152.</v>
      </c>
      <c r="Z178" s="53" t="str">
        <f t="shared" si="70"/>
        <v>5895</v>
      </c>
      <c r="AA178" s="53">
        <f t="shared" si="71"/>
        <v>7</v>
      </c>
      <c r="AB178" s="53">
        <f t="shared" si="72"/>
        <v>2</v>
      </c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</row>
    <row r="179" spans="1:41" ht="30" x14ac:dyDescent="0.25">
      <c r="A179" s="51" t="s">
        <v>76</v>
      </c>
      <c r="B179" s="51" t="s">
        <v>3134</v>
      </c>
      <c r="C179" s="51" t="s">
        <v>3135</v>
      </c>
      <c r="D179" s="51" t="s">
        <v>410</v>
      </c>
      <c r="E179" s="51" t="s">
        <v>2272</v>
      </c>
      <c r="F179" s="51">
        <v>4</v>
      </c>
      <c r="G179" s="51" t="s">
        <v>60</v>
      </c>
      <c r="H179" s="51">
        <v>24</v>
      </c>
      <c r="I179" s="51">
        <f t="shared" si="54"/>
        <v>96</v>
      </c>
      <c r="J179" s="51">
        <f t="shared" si="55"/>
        <v>147.5</v>
      </c>
      <c r="K179" s="51">
        <f t="shared" si="58"/>
        <v>70</v>
      </c>
      <c r="L179" s="51">
        <f t="shared" si="56"/>
        <v>908</v>
      </c>
      <c r="M179" s="51">
        <f t="shared" si="57"/>
        <v>50</v>
      </c>
      <c r="N179" s="53" t="b">
        <f t="shared" si="59"/>
        <v>0</v>
      </c>
      <c r="O179" s="53" t="b">
        <f t="shared" si="60"/>
        <v>0</v>
      </c>
      <c r="P179" s="53" t="str">
        <f t="shared" si="61"/>
        <v>bottles4</v>
      </c>
      <c r="Q179" s="68" t="str">
        <f t="shared" si="62"/>
        <v>147.5
C006936</v>
      </c>
      <c r="R179" s="53" t="b">
        <f t="shared" si="63"/>
        <v>0</v>
      </c>
      <c r="S179" s="53"/>
      <c r="T179" s="53" t="str">
        <f t="shared" si="64"/>
        <v>BOTTLES</v>
      </c>
      <c r="U179" s="53" t="str">
        <f t="shared" si="65"/>
        <v>bottles</v>
      </c>
      <c r="V179" s="53">
        <f t="shared" si="66"/>
        <v>1</v>
      </c>
      <c r="W179" s="53" t="str">
        <f t="shared" si="67"/>
        <v>bottles 4</v>
      </c>
      <c r="X179" s="53" t="str">
        <f t="shared" si="68"/>
        <v>988</v>
      </c>
      <c r="Y179" s="53" t="str">
        <f t="shared" si="69"/>
        <v>147.</v>
      </c>
      <c r="Z179" s="53" t="str">
        <f t="shared" si="70"/>
        <v>6936</v>
      </c>
      <c r="AA179" s="53">
        <f t="shared" si="71"/>
        <v>7</v>
      </c>
      <c r="AB179" s="53">
        <f t="shared" si="72"/>
        <v>4</v>
      </c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</row>
    <row r="180" spans="1:41" ht="30" x14ac:dyDescent="0.25">
      <c r="A180" s="51" t="s">
        <v>137</v>
      </c>
      <c r="B180" s="51" t="s">
        <v>3136</v>
      </c>
      <c r="C180" s="51" t="s">
        <v>3137</v>
      </c>
      <c r="D180" s="51" t="s">
        <v>574</v>
      </c>
      <c r="E180" s="51" t="s">
        <v>1853</v>
      </c>
      <c r="F180" s="51">
        <v>11</v>
      </c>
      <c r="G180" s="51" t="s">
        <v>402</v>
      </c>
      <c r="H180" s="51">
        <v>20</v>
      </c>
      <c r="I180" s="51">
        <f t="shared" si="54"/>
        <v>220</v>
      </c>
      <c r="J180" s="51">
        <f t="shared" si="55"/>
        <v>22</v>
      </c>
      <c r="K180" s="51">
        <f t="shared" si="58"/>
        <v>14</v>
      </c>
      <c r="L180" s="51">
        <f t="shared" si="56"/>
        <v>82</v>
      </c>
      <c r="M180" s="51">
        <f t="shared" si="57"/>
        <v>4</v>
      </c>
      <c r="N180" s="53" t="b">
        <f t="shared" si="59"/>
        <v>0</v>
      </c>
      <c r="O180" s="53" t="b">
        <f t="shared" si="60"/>
        <v>1</v>
      </c>
      <c r="P180" s="53" t="str">
        <f t="shared" si="61"/>
        <v>pack11</v>
      </c>
      <c r="Q180" s="68" t="str">
        <f t="shared" si="62"/>
        <v>22
C002011</v>
      </c>
      <c r="R180" s="53" t="b">
        <f t="shared" si="63"/>
        <v>0</v>
      </c>
      <c r="S180" s="53"/>
      <c r="T180" s="53" t="str">
        <f t="shared" si="64"/>
        <v>PACK</v>
      </c>
      <c r="U180" s="53" t="str">
        <f t="shared" si="65"/>
        <v>pack</v>
      </c>
      <c r="V180" s="53">
        <f t="shared" si="66"/>
        <v>1</v>
      </c>
      <c r="W180" s="53" t="str">
        <f t="shared" si="67"/>
        <v>pack 11</v>
      </c>
      <c r="X180" s="53" t="str">
        <f t="shared" si="68"/>
        <v>82</v>
      </c>
      <c r="Y180" s="53" t="str">
        <f t="shared" si="69"/>
        <v>22
C</v>
      </c>
      <c r="Z180" s="53" t="str">
        <f t="shared" si="70"/>
        <v>2011</v>
      </c>
      <c r="AA180" s="53">
        <f t="shared" si="71"/>
        <v>4</v>
      </c>
      <c r="AB180" s="53">
        <f t="shared" si="72"/>
        <v>4</v>
      </c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</row>
    <row r="181" spans="1:41" ht="30" x14ac:dyDescent="0.25">
      <c r="A181" s="51" t="s">
        <v>55</v>
      </c>
      <c r="B181" s="51" t="s">
        <v>3138</v>
      </c>
      <c r="C181" s="51" t="s">
        <v>3139</v>
      </c>
      <c r="D181" s="51" t="s">
        <v>1877</v>
      </c>
      <c r="E181" s="51" t="s">
        <v>2762</v>
      </c>
      <c r="F181" s="51">
        <v>8</v>
      </c>
      <c r="G181" s="51" t="s">
        <v>13</v>
      </c>
      <c r="H181" s="51">
        <v>53</v>
      </c>
      <c r="I181" s="51">
        <f t="shared" si="54"/>
        <v>424</v>
      </c>
      <c r="J181" s="51">
        <f t="shared" si="55"/>
        <v>6</v>
      </c>
      <c r="K181" s="51">
        <f t="shared" si="58"/>
        <v>5</v>
      </c>
      <c r="L181" s="51">
        <f t="shared" si="56"/>
        <v>2079.5</v>
      </c>
      <c r="M181" s="51">
        <f t="shared" si="57"/>
        <v>107</v>
      </c>
      <c r="N181" s="53" t="b">
        <f t="shared" si="59"/>
        <v>0</v>
      </c>
      <c r="O181" s="53" t="b">
        <f t="shared" si="60"/>
        <v>1</v>
      </c>
      <c r="P181" s="53" t="str">
        <f t="shared" si="61"/>
        <v>ct8</v>
      </c>
      <c r="Q181" s="68" t="str">
        <f t="shared" si="62"/>
        <v>6
C008018</v>
      </c>
      <c r="R181" s="53" t="b">
        <f t="shared" si="63"/>
        <v>0</v>
      </c>
      <c r="S181" s="53"/>
      <c r="T181" s="53" t="str">
        <f t="shared" si="64"/>
        <v>CT</v>
      </c>
      <c r="U181" s="53" t="str">
        <f t="shared" si="65"/>
        <v>ct</v>
      </c>
      <c r="V181" s="53">
        <f t="shared" si="66"/>
        <v>1</v>
      </c>
      <c r="W181" s="53" t="str">
        <f t="shared" si="67"/>
        <v>ct 8</v>
      </c>
      <c r="X181" s="53" t="str">
        <f t="shared" si="68"/>
        <v>2879.5</v>
      </c>
      <c r="Y181" s="53" t="str">
        <f t="shared" si="69"/>
        <v>6
C0</v>
      </c>
      <c r="Z181" s="53" t="str">
        <f t="shared" si="70"/>
        <v>8018</v>
      </c>
      <c r="AA181" s="53">
        <f t="shared" si="71"/>
        <v>3</v>
      </c>
      <c r="AB181" s="53">
        <f t="shared" si="72"/>
        <v>7</v>
      </c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</row>
    <row r="182" spans="1:41" ht="30" x14ac:dyDescent="0.25">
      <c r="A182" s="51" t="s">
        <v>25</v>
      </c>
      <c r="B182" s="51" t="s">
        <v>3140</v>
      </c>
      <c r="C182" s="51" t="s">
        <v>3141</v>
      </c>
      <c r="D182" s="51" t="s">
        <v>1433</v>
      </c>
      <c r="E182" s="51" t="s">
        <v>3108</v>
      </c>
      <c r="F182" s="51">
        <v>4</v>
      </c>
      <c r="G182" s="51" t="s">
        <v>13</v>
      </c>
      <c r="H182" s="51">
        <v>13</v>
      </c>
      <c r="I182" s="51">
        <f t="shared" si="54"/>
        <v>52</v>
      </c>
      <c r="J182" s="51">
        <f t="shared" si="55"/>
        <v>214.5</v>
      </c>
      <c r="K182" s="51">
        <f t="shared" si="58"/>
        <v>98</v>
      </c>
      <c r="L182" s="51">
        <f t="shared" si="56"/>
        <v>2079.5</v>
      </c>
      <c r="M182" s="51">
        <f t="shared" si="57"/>
        <v>107</v>
      </c>
      <c r="N182" s="53" t="b">
        <f t="shared" si="59"/>
        <v>0</v>
      </c>
      <c r="O182" s="53" t="b">
        <f t="shared" si="60"/>
        <v>1</v>
      </c>
      <c r="P182" s="53" t="str">
        <f t="shared" si="61"/>
        <v>ct4</v>
      </c>
      <c r="Q182" s="68" t="str">
        <f t="shared" si="62"/>
        <v>214.5
C000982</v>
      </c>
      <c r="R182" s="53" t="b">
        <f t="shared" si="63"/>
        <v>0</v>
      </c>
      <c r="S182" s="53"/>
      <c r="T182" s="53" t="str">
        <f t="shared" si="64"/>
        <v>CT</v>
      </c>
      <c r="U182" s="53" t="str">
        <f t="shared" si="65"/>
        <v>ct</v>
      </c>
      <c r="V182" s="53">
        <f t="shared" si="66"/>
        <v>1</v>
      </c>
      <c r="W182" s="53" t="str">
        <f t="shared" si="67"/>
        <v>ct 4</v>
      </c>
      <c r="X182" s="53" t="str">
        <f t="shared" si="68"/>
        <v>2879.5</v>
      </c>
      <c r="Y182" s="53" t="str">
        <f t="shared" si="69"/>
        <v>214.</v>
      </c>
      <c r="Z182" s="53" t="str">
        <f t="shared" si="70"/>
        <v>0982</v>
      </c>
      <c r="AA182" s="53">
        <f t="shared" si="71"/>
        <v>7</v>
      </c>
      <c r="AB182" s="53">
        <f t="shared" si="72"/>
        <v>4</v>
      </c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</row>
    <row r="183" spans="1:41" ht="30" x14ac:dyDescent="0.25">
      <c r="A183" s="51" t="s">
        <v>20</v>
      </c>
      <c r="B183" s="51" t="s">
        <v>3142</v>
      </c>
      <c r="C183" s="51" t="s">
        <v>3143</v>
      </c>
      <c r="D183" s="51" t="s">
        <v>681</v>
      </c>
      <c r="E183" s="51" t="s">
        <v>896</v>
      </c>
      <c r="F183" s="51">
        <v>10</v>
      </c>
      <c r="G183" s="51" t="s">
        <v>407</v>
      </c>
      <c r="H183" s="51">
        <v>15</v>
      </c>
      <c r="I183" s="51">
        <f t="shared" si="54"/>
        <v>150</v>
      </c>
      <c r="J183" s="51">
        <f t="shared" si="55"/>
        <v>82</v>
      </c>
      <c r="K183" s="51">
        <f t="shared" si="58"/>
        <v>35</v>
      </c>
      <c r="L183" s="51">
        <f t="shared" si="56"/>
        <v>182</v>
      </c>
      <c r="M183" s="51">
        <f t="shared" si="57"/>
        <v>12</v>
      </c>
      <c r="N183" s="53" t="b">
        <f t="shared" si="59"/>
        <v>0</v>
      </c>
      <c r="O183" s="53" t="b">
        <f t="shared" si="60"/>
        <v>1</v>
      </c>
      <c r="P183" s="53" t="str">
        <f t="shared" si="61"/>
        <v>pk10</v>
      </c>
      <c r="Q183" s="68" t="str">
        <f t="shared" si="62"/>
        <v>82
C008503</v>
      </c>
      <c r="R183" s="53" t="b">
        <f t="shared" si="63"/>
        <v>0</v>
      </c>
      <c r="S183" s="53"/>
      <c r="T183" s="53" t="str">
        <f t="shared" si="64"/>
        <v>PK</v>
      </c>
      <c r="U183" s="53" t="str">
        <f t="shared" si="65"/>
        <v>pk</v>
      </c>
      <c r="V183" s="53">
        <f t="shared" si="66"/>
        <v>1</v>
      </c>
      <c r="W183" s="53" t="str">
        <f t="shared" si="67"/>
        <v>pk 10</v>
      </c>
      <c r="X183" s="53" t="str">
        <f t="shared" si="68"/>
        <v>182</v>
      </c>
      <c r="Y183" s="53" t="str">
        <f t="shared" si="69"/>
        <v>82
C</v>
      </c>
      <c r="Z183" s="53" t="str">
        <f t="shared" si="70"/>
        <v>8503</v>
      </c>
      <c r="AA183" s="53">
        <f t="shared" si="71"/>
        <v>4</v>
      </c>
      <c r="AB183" s="53">
        <f t="shared" si="72"/>
        <v>2</v>
      </c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</row>
    <row r="184" spans="1:41" ht="30" x14ac:dyDescent="0.25">
      <c r="A184" s="51" t="s">
        <v>137</v>
      </c>
      <c r="B184" s="51" t="s">
        <v>3144</v>
      </c>
      <c r="C184" s="51" t="s">
        <v>3145</v>
      </c>
      <c r="D184" s="51" t="s">
        <v>1351</v>
      </c>
      <c r="E184" s="51" t="s">
        <v>798</v>
      </c>
      <c r="F184" s="51">
        <v>1</v>
      </c>
      <c r="G184" s="51" t="s">
        <v>35</v>
      </c>
      <c r="H184" s="51">
        <v>6.75</v>
      </c>
      <c r="I184" s="51">
        <f t="shared" si="54"/>
        <v>6.75</v>
      </c>
      <c r="J184" s="51">
        <f t="shared" si="55"/>
        <v>300</v>
      </c>
      <c r="K184" s="51">
        <f t="shared" si="58"/>
        <v>137</v>
      </c>
      <c r="L184" s="51">
        <f t="shared" si="56"/>
        <v>1010.75</v>
      </c>
      <c r="M184" s="51">
        <f t="shared" si="57"/>
        <v>59</v>
      </c>
      <c r="N184" s="53" t="b">
        <f t="shared" si="59"/>
        <v>0</v>
      </c>
      <c r="O184" s="53" t="b">
        <f t="shared" si="60"/>
        <v>1</v>
      </c>
      <c r="P184" s="53" t="str">
        <f t="shared" si="61"/>
        <v>cans1</v>
      </c>
      <c r="Q184" s="68" t="str">
        <f t="shared" si="62"/>
        <v>300
C008287</v>
      </c>
      <c r="R184" s="53" t="b">
        <f t="shared" si="63"/>
        <v>0</v>
      </c>
      <c r="S184" s="53"/>
      <c r="T184" s="53" t="str">
        <f t="shared" si="64"/>
        <v>CANS</v>
      </c>
      <c r="U184" s="53" t="str">
        <f t="shared" si="65"/>
        <v>cans</v>
      </c>
      <c r="V184" s="53">
        <f t="shared" si="66"/>
        <v>1</v>
      </c>
      <c r="W184" s="53" t="str">
        <f t="shared" si="67"/>
        <v>cans 1</v>
      </c>
      <c r="X184" s="53" t="str">
        <f t="shared" si="68"/>
        <v>1818.75</v>
      </c>
      <c r="Y184" s="53" t="str">
        <f t="shared" si="69"/>
        <v xml:space="preserve">300
</v>
      </c>
      <c r="Z184" s="53" t="str">
        <f t="shared" si="70"/>
        <v>8287</v>
      </c>
      <c r="AA184" s="53">
        <f t="shared" si="71"/>
        <v>5</v>
      </c>
      <c r="AB184" s="53">
        <f t="shared" si="72"/>
        <v>5</v>
      </c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</row>
    <row r="185" spans="1:41" ht="30" x14ac:dyDescent="0.25">
      <c r="A185" s="51" t="s">
        <v>30</v>
      </c>
      <c r="B185" s="51" t="s">
        <v>3146</v>
      </c>
      <c r="C185" s="51" t="s">
        <v>3147</v>
      </c>
      <c r="D185" s="51" t="s">
        <v>552</v>
      </c>
      <c r="E185" s="51" t="s">
        <v>228</v>
      </c>
      <c r="F185" s="51">
        <v>5</v>
      </c>
      <c r="G185" s="51" t="s">
        <v>60</v>
      </c>
      <c r="H185" s="51">
        <v>14</v>
      </c>
      <c r="I185" s="51">
        <f t="shared" si="54"/>
        <v>70</v>
      </c>
      <c r="J185" s="51">
        <f t="shared" si="55"/>
        <v>186.5</v>
      </c>
      <c r="K185" s="51">
        <f t="shared" si="58"/>
        <v>85</v>
      </c>
      <c r="L185" s="51">
        <f t="shared" si="56"/>
        <v>908</v>
      </c>
      <c r="M185" s="51">
        <f t="shared" si="57"/>
        <v>50</v>
      </c>
      <c r="N185" s="53" t="b">
        <f t="shared" si="59"/>
        <v>0</v>
      </c>
      <c r="O185" s="53" t="b">
        <f t="shared" si="60"/>
        <v>1</v>
      </c>
      <c r="P185" s="53" t="str">
        <f t="shared" si="61"/>
        <v>bottles5</v>
      </c>
      <c r="Q185" s="68" t="str">
        <f t="shared" si="62"/>
        <v>186.5
C003604</v>
      </c>
      <c r="R185" s="53" t="b">
        <f t="shared" si="63"/>
        <v>0</v>
      </c>
      <c r="S185" s="53"/>
      <c r="T185" s="53" t="str">
        <f t="shared" si="64"/>
        <v>BOTTLES</v>
      </c>
      <c r="U185" s="53" t="str">
        <f t="shared" si="65"/>
        <v>bottles</v>
      </c>
      <c r="V185" s="53">
        <f t="shared" si="66"/>
        <v>1</v>
      </c>
      <c r="W185" s="53" t="str">
        <f t="shared" si="67"/>
        <v>bottles 5</v>
      </c>
      <c r="X185" s="53" t="str">
        <f t="shared" si="68"/>
        <v>988</v>
      </c>
      <c r="Y185" s="53" t="str">
        <f t="shared" si="69"/>
        <v>186.</v>
      </c>
      <c r="Z185" s="53" t="str">
        <f t="shared" si="70"/>
        <v>3604</v>
      </c>
      <c r="AA185" s="53">
        <f t="shared" si="71"/>
        <v>7</v>
      </c>
      <c r="AB185" s="53">
        <f t="shared" si="72"/>
        <v>2</v>
      </c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</row>
    <row r="186" spans="1:41" ht="30" x14ac:dyDescent="0.25">
      <c r="A186" s="51" t="s">
        <v>209</v>
      </c>
      <c r="B186" s="51" t="s">
        <v>3148</v>
      </c>
      <c r="C186" s="51" t="s">
        <v>3149</v>
      </c>
      <c r="D186" s="51" t="s">
        <v>1774</v>
      </c>
      <c r="E186" s="51" t="s">
        <v>182</v>
      </c>
      <c r="F186" s="51">
        <v>7</v>
      </c>
      <c r="G186" s="51" t="s">
        <v>60</v>
      </c>
      <c r="H186" s="51">
        <v>15</v>
      </c>
      <c r="I186" s="51">
        <f t="shared" si="54"/>
        <v>105</v>
      </c>
      <c r="J186" s="51">
        <f t="shared" si="55"/>
        <v>131.5</v>
      </c>
      <c r="K186" s="51">
        <f t="shared" si="58"/>
        <v>62</v>
      </c>
      <c r="L186" s="51">
        <f t="shared" si="56"/>
        <v>908</v>
      </c>
      <c r="M186" s="51">
        <f t="shared" si="57"/>
        <v>50</v>
      </c>
      <c r="N186" s="53" t="b">
        <f t="shared" si="59"/>
        <v>0</v>
      </c>
      <c r="O186" s="53" t="b">
        <f t="shared" si="60"/>
        <v>0</v>
      </c>
      <c r="P186" s="53" t="str">
        <f t="shared" si="61"/>
        <v>bottles7</v>
      </c>
      <c r="Q186" s="68" t="str">
        <f t="shared" si="62"/>
        <v>131.5
C007216</v>
      </c>
      <c r="R186" s="53" t="b">
        <f t="shared" si="63"/>
        <v>0</v>
      </c>
      <c r="S186" s="53"/>
      <c r="T186" s="53" t="str">
        <f t="shared" si="64"/>
        <v>BOTTLES</v>
      </c>
      <c r="U186" s="53" t="str">
        <f t="shared" si="65"/>
        <v>bottles</v>
      </c>
      <c r="V186" s="53">
        <f t="shared" si="66"/>
        <v>1</v>
      </c>
      <c r="W186" s="53" t="str">
        <f t="shared" si="67"/>
        <v>bottles 7</v>
      </c>
      <c r="X186" s="53" t="str">
        <f t="shared" si="68"/>
        <v>988</v>
      </c>
      <c r="Y186" s="53" t="str">
        <f t="shared" si="69"/>
        <v>131.</v>
      </c>
      <c r="Z186" s="53" t="str">
        <f t="shared" si="70"/>
        <v>7216</v>
      </c>
      <c r="AA186" s="53">
        <f t="shared" si="71"/>
        <v>7</v>
      </c>
      <c r="AB186" s="53">
        <f t="shared" si="72"/>
        <v>2</v>
      </c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</row>
    <row r="187" spans="1:41" ht="30" x14ac:dyDescent="0.25">
      <c r="A187" s="51" t="s">
        <v>82</v>
      </c>
      <c r="B187" s="51" t="s">
        <v>3150</v>
      </c>
      <c r="C187" s="51" t="s">
        <v>3151</v>
      </c>
      <c r="D187" s="51" t="s">
        <v>1876</v>
      </c>
      <c r="E187" s="51" t="s">
        <v>2743</v>
      </c>
      <c r="F187" s="51">
        <v>5</v>
      </c>
      <c r="G187" s="51" t="s">
        <v>13</v>
      </c>
      <c r="H187" s="51">
        <v>42</v>
      </c>
      <c r="I187" s="51">
        <f t="shared" si="54"/>
        <v>210</v>
      </c>
      <c r="J187" s="51">
        <f t="shared" si="55"/>
        <v>25</v>
      </c>
      <c r="K187" s="51">
        <f t="shared" si="58"/>
        <v>14</v>
      </c>
      <c r="L187" s="51">
        <f t="shared" si="56"/>
        <v>2079.5</v>
      </c>
      <c r="M187" s="51">
        <f t="shared" si="57"/>
        <v>107</v>
      </c>
      <c r="N187" s="53" t="b">
        <f t="shared" si="59"/>
        <v>0</v>
      </c>
      <c r="O187" s="53" t="b">
        <f t="shared" si="60"/>
        <v>1</v>
      </c>
      <c r="P187" s="53" t="str">
        <f t="shared" si="61"/>
        <v>ct5</v>
      </c>
      <c r="Q187" s="68" t="str">
        <f t="shared" si="62"/>
        <v>25
C001490</v>
      </c>
      <c r="R187" s="53" t="b">
        <f t="shared" si="63"/>
        <v>0</v>
      </c>
      <c r="S187" s="53"/>
      <c r="T187" s="53" t="str">
        <f t="shared" si="64"/>
        <v>CT</v>
      </c>
      <c r="U187" s="53" t="str">
        <f t="shared" si="65"/>
        <v>ct</v>
      </c>
      <c r="V187" s="53">
        <f t="shared" si="66"/>
        <v>1</v>
      </c>
      <c r="W187" s="53" t="str">
        <f t="shared" si="67"/>
        <v>ct 5</v>
      </c>
      <c r="X187" s="53" t="str">
        <f t="shared" si="68"/>
        <v>2879.5</v>
      </c>
      <c r="Y187" s="53" t="str">
        <f t="shared" si="69"/>
        <v>25
C</v>
      </c>
      <c r="Z187" s="53" t="str">
        <f t="shared" si="70"/>
        <v>1490</v>
      </c>
      <c r="AA187" s="53">
        <f t="shared" si="71"/>
        <v>4</v>
      </c>
      <c r="AB187" s="53">
        <f t="shared" si="72"/>
        <v>7</v>
      </c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</row>
    <row r="188" spans="1:41" ht="30" x14ac:dyDescent="0.25">
      <c r="A188" s="51" t="s">
        <v>459</v>
      </c>
      <c r="B188" s="51" t="s">
        <v>3152</v>
      </c>
      <c r="C188" s="51" t="s">
        <v>3153</v>
      </c>
      <c r="D188" s="51" t="s">
        <v>212</v>
      </c>
      <c r="E188" s="51" t="s">
        <v>2190</v>
      </c>
      <c r="F188" s="51">
        <v>10</v>
      </c>
      <c r="G188" s="51" t="s">
        <v>13</v>
      </c>
      <c r="H188" s="51">
        <v>45</v>
      </c>
      <c r="I188" s="51">
        <f t="shared" si="54"/>
        <v>450</v>
      </c>
      <c r="J188" s="51">
        <f t="shared" si="55"/>
        <v>4</v>
      </c>
      <c r="K188" s="51">
        <f t="shared" si="58"/>
        <v>4</v>
      </c>
      <c r="L188" s="51">
        <f t="shared" si="56"/>
        <v>2079.5</v>
      </c>
      <c r="M188" s="51">
        <f t="shared" si="57"/>
        <v>107</v>
      </c>
      <c r="N188" s="53" t="b">
        <f t="shared" si="59"/>
        <v>0</v>
      </c>
      <c r="O188" s="53" t="b">
        <f t="shared" si="60"/>
        <v>1</v>
      </c>
      <c r="P188" s="53" t="str">
        <f t="shared" si="61"/>
        <v>ct10</v>
      </c>
      <c r="Q188" s="68" t="str">
        <f t="shared" si="62"/>
        <v>4
C002554</v>
      </c>
      <c r="R188" s="53" t="b">
        <f t="shared" si="63"/>
        <v>1</v>
      </c>
      <c r="S188" s="53"/>
      <c r="T188" s="53" t="str">
        <f t="shared" si="64"/>
        <v>CT</v>
      </c>
      <c r="U188" s="53" t="str">
        <f t="shared" si="65"/>
        <v>ct</v>
      </c>
      <c r="V188" s="53">
        <f t="shared" si="66"/>
        <v>1</v>
      </c>
      <c r="W188" s="53" t="str">
        <f t="shared" si="67"/>
        <v>ct 10</v>
      </c>
      <c r="X188" s="53" t="str">
        <f t="shared" si="68"/>
        <v>2879.5</v>
      </c>
      <c r="Y188" s="53" t="str">
        <f t="shared" si="69"/>
        <v>4
C0</v>
      </c>
      <c r="Z188" s="53" t="str">
        <f t="shared" si="70"/>
        <v>2554</v>
      </c>
      <c r="AA188" s="53">
        <f t="shared" si="71"/>
        <v>3</v>
      </c>
      <c r="AB188" s="53">
        <f t="shared" si="72"/>
        <v>2</v>
      </c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</row>
    <row r="189" spans="1:41" ht="30" x14ac:dyDescent="0.25">
      <c r="A189" s="51" t="s">
        <v>240</v>
      </c>
      <c r="B189" s="51" t="s">
        <v>3154</v>
      </c>
      <c r="C189" s="51" t="s">
        <v>3155</v>
      </c>
      <c r="D189" s="51" t="s">
        <v>198</v>
      </c>
      <c r="E189" s="51" t="s">
        <v>3156</v>
      </c>
      <c r="F189" s="51">
        <v>11</v>
      </c>
      <c r="G189" s="51" t="s">
        <v>60</v>
      </c>
      <c r="H189" s="51">
        <v>20</v>
      </c>
      <c r="I189" s="51">
        <f t="shared" si="54"/>
        <v>220</v>
      </c>
      <c r="J189" s="51">
        <f t="shared" si="55"/>
        <v>22</v>
      </c>
      <c r="K189" s="51">
        <f t="shared" si="58"/>
        <v>12</v>
      </c>
      <c r="L189" s="51">
        <f t="shared" si="56"/>
        <v>908</v>
      </c>
      <c r="M189" s="51">
        <f t="shared" si="57"/>
        <v>50</v>
      </c>
      <c r="N189" s="53" t="b">
        <f t="shared" si="59"/>
        <v>0</v>
      </c>
      <c r="O189" s="53" t="b">
        <f t="shared" si="60"/>
        <v>1</v>
      </c>
      <c r="P189" s="53" t="str">
        <f t="shared" si="61"/>
        <v>bottles11</v>
      </c>
      <c r="Q189" s="68" t="str">
        <f t="shared" si="62"/>
        <v>22
C006608</v>
      </c>
      <c r="R189" s="53" t="b">
        <f t="shared" si="63"/>
        <v>0</v>
      </c>
      <c r="S189" s="53"/>
      <c r="T189" s="53" t="str">
        <f t="shared" si="64"/>
        <v>BOTTLES</v>
      </c>
      <c r="U189" s="53" t="str">
        <f t="shared" si="65"/>
        <v>bottles</v>
      </c>
      <c r="V189" s="53">
        <f t="shared" si="66"/>
        <v>1</v>
      </c>
      <c r="W189" s="53" t="str">
        <f t="shared" si="67"/>
        <v>bottles 11</v>
      </c>
      <c r="X189" s="53" t="str">
        <f t="shared" si="68"/>
        <v>988</v>
      </c>
      <c r="Y189" s="53" t="str">
        <f t="shared" si="69"/>
        <v>22
C</v>
      </c>
      <c r="Z189" s="53" t="str">
        <f t="shared" si="70"/>
        <v>6608</v>
      </c>
      <c r="AA189" s="53">
        <f t="shared" si="71"/>
        <v>4</v>
      </c>
      <c r="AB189" s="53">
        <f t="shared" si="72"/>
        <v>2</v>
      </c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</row>
    <row r="190" spans="1:41" ht="30" x14ac:dyDescent="0.25">
      <c r="A190" s="51" t="s">
        <v>116</v>
      </c>
      <c r="B190" s="51" t="s">
        <v>3157</v>
      </c>
      <c r="C190" s="51" t="s">
        <v>3158</v>
      </c>
      <c r="D190" s="51" t="s">
        <v>1646</v>
      </c>
      <c r="E190" s="51" t="s">
        <v>1168</v>
      </c>
      <c r="F190" s="51">
        <v>9</v>
      </c>
      <c r="G190" s="51" t="s">
        <v>13</v>
      </c>
      <c r="H190" s="51">
        <v>19</v>
      </c>
      <c r="I190" s="51">
        <f t="shared" si="54"/>
        <v>171</v>
      </c>
      <c r="J190" s="51">
        <f t="shared" si="55"/>
        <v>52</v>
      </c>
      <c r="K190" s="51">
        <f t="shared" si="58"/>
        <v>21</v>
      </c>
      <c r="L190" s="51">
        <f t="shared" si="56"/>
        <v>2079.5</v>
      </c>
      <c r="M190" s="51">
        <f t="shared" si="57"/>
        <v>107</v>
      </c>
      <c r="N190" s="53" t="b">
        <f t="shared" si="59"/>
        <v>0</v>
      </c>
      <c r="O190" s="53" t="b">
        <f t="shared" si="60"/>
        <v>1</v>
      </c>
      <c r="P190" s="53" t="str">
        <f t="shared" si="61"/>
        <v>ct9</v>
      </c>
      <c r="Q190" s="68" t="str">
        <f t="shared" si="62"/>
        <v>52
C004913</v>
      </c>
      <c r="R190" s="53" t="b">
        <f t="shared" si="63"/>
        <v>0</v>
      </c>
      <c r="S190" s="53"/>
      <c r="T190" s="53" t="str">
        <f t="shared" si="64"/>
        <v>CT</v>
      </c>
      <c r="U190" s="53" t="str">
        <f t="shared" si="65"/>
        <v>ct</v>
      </c>
      <c r="V190" s="53">
        <f t="shared" si="66"/>
        <v>1</v>
      </c>
      <c r="W190" s="53" t="str">
        <f t="shared" si="67"/>
        <v>ct 9</v>
      </c>
      <c r="X190" s="53" t="str">
        <f t="shared" si="68"/>
        <v>2879.5</v>
      </c>
      <c r="Y190" s="53" t="str">
        <f t="shared" si="69"/>
        <v>52
C</v>
      </c>
      <c r="Z190" s="53" t="str">
        <f t="shared" si="70"/>
        <v>4913</v>
      </c>
      <c r="AA190" s="53">
        <f t="shared" si="71"/>
        <v>4</v>
      </c>
      <c r="AB190" s="53">
        <f t="shared" si="72"/>
        <v>2</v>
      </c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</row>
    <row r="191" spans="1:41" ht="30" x14ac:dyDescent="0.25">
      <c r="A191" s="51" t="s">
        <v>224</v>
      </c>
      <c r="B191" s="51" t="s">
        <v>3159</v>
      </c>
      <c r="C191" s="51" t="s">
        <v>3160</v>
      </c>
      <c r="D191" s="51" t="s">
        <v>3161</v>
      </c>
      <c r="E191" s="51" t="s">
        <v>3162</v>
      </c>
      <c r="F191" s="51">
        <v>10</v>
      </c>
      <c r="G191" s="51" t="s">
        <v>1895</v>
      </c>
      <c r="H191" s="51">
        <v>14</v>
      </c>
      <c r="I191" s="51">
        <f t="shared" si="54"/>
        <v>140</v>
      </c>
      <c r="J191" s="51">
        <f t="shared" si="55"/>
        <v>91</v>
      </c>
      <c r="K191" s="51">
        <f t="shared" si="58"/>
        <v>36</v>
      </c>
      <c r="L191" s="51">
        <f t="shared" si="56"/>
        <v>2079.5</v>
      </c>
      <c r="M191" s="51">
        <f t="shared" si="57"/>
        <v>107</v>
      </c>
      <c r="N191" s="53" t="b">
        <f t="shared" si="59"/>
        <v>0</v>
      </c>
      <c r="O191" s="53" t="b">
        <f t="shared" si="60"/>
        <v>1</v>
      </c>
      <c r="P191" s="53" t="str">
        <f t="shared" si="61"/>
        <v>Ct10</v>
      </c>
      <c r="Q191" s="68" t="str">
        <f t="shared" si="62"/>
        <v>91
C000301</v>
      </c>
      <c r="R191" s="53" t="b">
        <f t="shared" si="63"/>
        <v>0</v>
      </c>
      <c r="S191" s="53"/>
      <c r="T191" s="53" t="str">
        <f t="shared" si="64"/>
        <v>CT</v>
      </c>
      <c r="U191" s="53" t="str">
        <f t="shared" si="65"/>
        <v>ct</v>
      </c>
      <c r="V191" s="53">
        <f t="shared" si="66"/>
        <v>1</v>
      </c>
      <c r="W191" s="53" t="str">
        <f t="shared" si="67"/>
        <v>Ct 10</v>
      </c>
      <c r="X191" s="53" t="str">
        <f t="shared" si="68"/>
        <v>2879.5</v>
      </c>
      <c r="Y191" s="53" t="str">
        <f t="shared" si="69"/>
        <v>91
C</v>
      </c>
      <c r="Z191" s="53" t="str">
        <f t="shared" si="70"/>
        <v>0301</v>
      </c>
      <c r="AA191" s="53">
        <f t="shared" si="71"/>
        <v>4</v>
      </c>
      <c r="AB191" s="53">
        <f t="shared" si="72"/>
        <v>2</v>
      </c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</row>
    <row r="192" spans="1:41" ht="30" x14ac:dyDescent="0.25">
      <c r="A192" s="51" t="s">
        <v>125</v>
      </c>
      <c r="B192" s="51" t="s">
        <v>3163</v>
      </c>
      <c r="C192" s="51" t="s">
        <v>3164</v>
      </c>
      <c r="D192" s="51" t="s">
        <v>2840</v>
      </c>
      <c r="E192" s="51" t="s">
        <v>442</v>
      </c>
      <c r="F192" s="51">
        <v>1</v>
      </c>
      <c r="G192" s="51" t="s">
        <v>904</v>
      </c>
      <c r="H192" s="51">
        <v>24</v>
      </c>
      <c r="I192" s="51">
        <f t="shared" si="54"/>
        <v>24</v>
      </c>
      <c r="J192" s="51">
        <f t="shared" si="55"/>
        <v>279</v>
      </c>
      <c r="K192" s="51">
        <f t="shared" si="58"/>
        <v>118</v>
      </c>
      <c r="L192" s="51">
        <f t="shared" si="56"/>
        <v>223</v>
      </c>
      <c r="M192" s="51">
        <f t="shared" si="57"/>
        <v>10</v>
      </c>
      <c r="N192" s="53" t="b">
        <f t="shared" si="59"/>
        <v>0</v>
      </c>
      <c r="O192" s="53" t="b">
        <f t="shared" si="60"/>
        <v>1</v>
      </c>
      <c r="P192" s="53" t="str">
        <f t="shared" si="61"/>
        <v>bars1</v>
      </c>
      <c r="Q192" s="68" t="str">
        <f t="shared" si="62"/>
        <v>279
C000100</v>
      </c>
      <c r="R192" s="53" t="b">
        <f t="shared" si="63"/>
        <v>0</v>
      </c>
      <c r="S192" s="53"/>
      <c r="T192" s="53" t="str">
        <f t="shared" si="64"/>
        <v>BARS</v>
      </c>
      <c r="U192" s="53" t="str">
        <f t="shared" si="65"/>
        <v>bars</v>
      </c>
      <c r="V192" s="53">
        <f t="shared" si="66"/>
        <v>1</v>
      </c>
      <c r="W192" s="53" t="str">
        <f t="shared" si="67"/>
        <v>bars 1</v>
      </c>
      <c r="X192" s="53" t="str">
        <f t="shared" si="68"/>
        <v>223</v>
      </c>
      <c r="Y192" s="53" t="str">
        <f t="shared" si="69"/>
        <v xml:space="preserve">279
</v>
      </c>
      <c r="Z192" s="53" t="str">
        <f t="shared" si="70"/>
        <v>0100</v>
      </c>
      <c r="AA192" s="53">
        <f t="shared" si="71"/>
        <v>5</v>
      </c>
      <c r="AB192" s="53">
        <f t="shared" si="72"/>
        <v>2</v>
      </c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</row>
    <row r="193" spans="1:41" ht="30" x14ac:dyDescent="0.25">
      <c r="A193" s="51" t="s">
        <v>339</v>
      </c>
      <c r="B193" s="51" t="s">
        <v>3165</v>
      </c>
      <c r="C193" s="51" t="s">
        <v>3166</v>
      </c>
      <c r="D193" s="51" t="s">
        <v>939</v>
      </c>
      <c r="E193" s="51" t="s">
        <v>1200</v>
      </c>
      <c r="F193" s="51">
        <v>4</v>
      </c>
      <c r="G193" s="51" t="s">
        <v>35</v>
      </c>
      <c r="H193" s="51">
        <v>11.5</v>
      </c>
      <c r="I193" s="51">
        <f t="shared" si="54"/>
        <v>46</v>
      </c>
      <c r="J193" s="51">
        <f t="shared" si="55"/>
        <v>229</v>
      </c>
      <c r="K193" s="51">
        <f t="shared" si="58"/>
        <v>95</v>
      </c>
      <c r="L193" s="51">
        <f t="shared" si="56"/>
        <v>1010.75</v>
      </c>
      <c r="M193" s="51">
        <f t="shared" si="57"/>
        <v>59</v>
      </c>
      <c r="N193" s="53" t="b">
        <f t="shared" si="59"/>
        <v>0</v>
      </c>
      <c r="O193" s="53" t="b">
        <f t="shared" si="60"/>
        <v>1</v>
      </c>
      <c r="P193" s="53" t="str">
        <f t="shared" si="61"/>
        <v>cans4</v>
      </c>
      <c r="Q193" s="68" t="str">
        <f t="shared" si="62"/>
        <v>229
C008998</v>
      </c>
      <c r="R193" s="53" t="b">
        <f t="shared" si="63"/>
        <v>0</v>
      </c>
      <c r="S193" s="53"/>
      <c r="T193" s="53" t="str">
        <f t="shared" si="64"/>
        <v>CANS</v>
      </c>
      <c r="U193" s="53" t="str">
        <f t="shared" si="65"/>
        <v>cans</v>
      </c>
      <c r="V193" s="53">
        <f t="shared" si="66"/>
        <v>1</v>
      </c>
      <c r="W193" s="53" t="str">
        <f t="shared" si="67"/>
        <v>cans 4</v>
      </c>
      <c r="X193" s="53" t="str">
        <f t="shared" si="68"/>
        <v>1818.75</v>
      </c>
      <c r="Y193" s="53" t="str">
        <f t="shared" si="69"/>
        <v xml:space="preserve">229
</v>
      </c>
      <c r="Z193" s="53" t="str">
        <f t="shared" si="70"/>
        <v>8998</v>
      </c>
      <c r="AA193" s="53">
        <f t="shared" si="71"/>
        <v>5</v>
      </c>
      <c r="AB193" s="53">
        <f t="shared" si="72"/>
        <v>2</v>
      </c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</row>
    <row r="194" spans="1:41" ht="30" x14ac:dyDescent="0.25">
      <c r="A194" s="51" t="s">
        <v>339</v>
      </c>
      <c r="B194" s="51" t="s">
        <v>1969</v>
      </c>
      <c r="C194" s="51" t="s">
        <v>3167</v>
      </c>
      <c r="D194" s="51" t="s">
        <v>58</v>
      </c>
      <c r="E194" s="51" t="s">
        <v>2241</v>
      </c>
      <c r="F194" s="51">
        <v>3</v>
      </c>
      <c r="G194" s="51" t="s">
        <v>60</v>
      </c>
      <c r="H194" s="51">
        <v>22</v>
      </c>
      <c r="I194" s="51">
        <f t="shared" si="54"/>
        <v>66</v>
      </c>
      <c r="J194" s="51">
        <f t="shared" si="55"/>
        <v>194.5</v>
      </c>
      <c r="K194" s="51">
        <f t="shared" si="58"/>
        <v>81</v>
      </c>
      <c r="L194" s="51">
        <f t="shared" si="56"/>
        <v>908</v>
      </c>
      <c r="M194" s="51">
        <f t="shared" si="57"/>
        <v>50</v>
      </c>
      <c r="N194" s="53" t="b">
        <f t="shared" si="59"/>
        <v>0</v>
      </c>
      <c r="O194" s="53" t="b">
        <f t="shared" si="60"/>
        <v>1</v>
      </c>
      <c r="P194" s="53" t="str">
        <f t="shared" si="61"/>
        <v>bottles3</v>
      </c>
      <c r="Q194" s="68" t="str">
        <f t="shared" si="62"/>
        <v>194.5
C004694</v>
      </c>
      <c r="R194" s="53" t="b">
        <f t="shared" si="63"/>
        <v>0</v>
      </c>
      <c r="S194" s="53"/>
      <c r="T194" s="53" t="str">
        <f t="shared" si="64"/>
        <v>BOTTLES</v>
      </c>
      <c r="U194" s="53" t="str">
        <f t="shared" si="65"/>
        <v>bottles</v>
      </c>
      <c r="V194" s="53">
        <f t="shared" si="66"/>
        <v>1</v>
      </c>
      <c r="W194" s="53" t="str">
        <f t="shared" si="67"/>
        <v>bottles 3</v>
      </c>
      <c r="X194" s="53" t="str">
        <f t="shared" si="68"/>
        <v>988</v>
      </c>
      <c r="Y194" s="53" t="str">
        <f t="shared" si="69"/>
        <v>194.</v>
      </c>
      <c r="Z194" s="53" t="str">
        <f t="shared" si="70"/>
        <v>4694</v>
      </c>
      <c r="AA194" s="53">
        <f t="shared" si="71"/>
        <v>7</v>
      </c>
      <c r="AB194" s="53">
        <f t="shared" si="72"/>
        <v>2</v>
      </c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</row>
    <row r="195" spans="1:41" ht="30" x14ac:dyDescent="0.25">
      <c r="A195" s="51" t="s">
        <v>218</v>
      </c>
      <c r="B195" s="51" t="s">
        <v>1549</v>
      </c>
      <c r="C195" s="51" t="s">
        <v>3168</v>
      </c>
      <c r="D195" s="51" t="s">
        <v>1227</v>
      </c>
      <c r="E195" s="51" t="s">
        <v>3169</v>
      </c>
      <c r="F195" s="51">
        <v>5</v>
      </c>
      <c r="G195" s="51" t="s">
        <v>402</v>
      </c>
      <c r="H195" s="51">
        <v>26</v>
      </c>
      <c r="I195" s="51">
        <f t="shared" si="54"/>
        <v>130</v>
      </c>
      <c r="J195" s="51">
        <f t="shared" si="55"/>
        <v>99.5</v>
      </c>
      <c r="K195" s="51">
        <f t="shared" si="58"/>
        <v>41</v>
      </c>
      <c r="L195" s="51">
        <f t="shared" si="56"/>
        <v>82</v>
      </c>
      <c r="M195" s="51">
        <f t="shared" si="57"/>
        <v>4</v>
      </c>
      <c r="N195" s="53" t="b">
        <f t="shared" si="59"/>
        <v>0</v>
      </c>
      <c r="O195" s="53" t="b">
        <f t="shared" si="60"/>
        <v>1</v>
      </c>
      <c r="P195" s="53" t="str">
        <f t="shared" si="61"/>
        <v>pack5</v>
      </c>
      <c r="Q195" s="68" t="str">
        <f t="shared" si="62"/>
        <v>99.5
C004102</v>
      </c>
      <c r="R195" s="53" t="b">
        <f t="shared" si="63"/>
        <v>0</v>
      </c>
      <c r="S195" s="53"/>
      <c r="T195" s="53" t="str">
        <f t="shared" si="64"/>
        <v>PACK</v>
      </c>
      <c r="U195" s="53" t="str">
        <f t="shared" si="65"/>
        <v>pack</v>
      </c>
      <c r="V195" s="53">
        <f t="shared" si="66"/>
        <v>1</v>
      </c>
      <c r="W195" s="53" t="str">
        <f t="shared" si="67"/>
        <v>pack 5</v>
      </c>
      <c r="X195" s="53" t="str">
        <f t="shared" si="68"/>
        <v>82</v>
      </c>
      <c r="Y195" s="53" t="str">
        <f t="shared" si="69"/>
        <v>99.5</v>
      </c>
      <c r="Z195" s="53" t="str">
        <f t="shared" si="70"/>
        <v>4102</v>
      </c>
      <c r="AA195" s="53">
        <f t="shared" si="71"/>
        <v>6</v>
      </c>
      <c r="AB195" s="53">
        <f t="shared" si="72"/>
        <v>2</v>
      </c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</row>
    <row r="196" spans="1:41" ht="30" x14ac:dyDescent="0.25">
      <c r="A196" s="51" t="s">
        <v>218</v>
      </c>
      <c r="B196" s="51" t="s">
        <v>3170</v>
      </c>
      <c r="C196" s="51" t="s">
        <v>3171</v>
      </c>
      <c r="D196" s="51" t="s">
        <v>156</v>
      </c>
      <c r="E196" s="51" t="s">
        <v>2789</v>
      </c>
      <c r="F196" s="51">
        <v>6</v>
      </c>
      <c r="G196" s="51" t="s">
        <v>13</v>
      </c>
      <c r="H196" s="51">
        <v>16</v>
      </c>
      <c r="I196" s="51">
        <f t="shared" ref="I196:I259" si="73">H196*F196</f>
        <v>96</v>
      </c>
      <c r="J196" s="51">
        <f t="shared" ref="J196:J259" si="74">_xlfn.RANK.AVG(I196,$I$3:$I$304)</f>
        <v>147.5</v>
      </c>
      <c r="K196" s="51">
        <f t="shared" si="58"/>
        <v>60</v>
      </c>
      <c r="L196" s="51">
        <f t="shared" ref="L196:L259" si="75">SUMIF(G$3:G$304,G196,H$3:H$304)</f>
        <v>2079.5</v>
      </c>
      <c r="M196" s="51">
        <f t="shared" ref="M196:M259" si="76">COUNTIF(G$3:G$304,G196)</f>
        <v>107</v>
      </c>
      <c r="N196" s="53" t="b">
        <f t="shared" si="59"/>
        <v>0</v>
      </c>
      <c r="O196" s="53" t="b">
        <f t="shared" si="60"/>
        <v>0</v>
      </c>
      <c r="P196" s="53" t="str">
        <f t="shared" si="61"/>
        <v>ct6</v>
      </c>
      <c r="Q196" s="68" t="str">
        <f t="shared" si="62"/>
        <v>147.5
C005900</v>
      </c>
      <c r="R196" s="53" t="b">
        <f t="shared" si="63"/>
        <v>0</v>
      </c>
      <c r="S196" s="53"/>
      <c r="T196" s="53" t="str">
        <f t="shared" si="64"/>
        <v>CT</v>
      </c>
      <c r="U196" s="53" t="str">
        <f t="shared" si="65"/>
        <v>ct</v>
      </c>
      <c r="V196" s="53">
        <f t="shared" si="66"/>
        <v>1</v>
      </c>
      <c r="W196" s="53" t="str">
        <f t="shared" si="67"/>
        <v>ct 6</v>
      </c>
      <c r="X196" s="53" t="str">
        <f t="shared" si="68"/>
        <v>2879.5</v>
      </c>
      <c r="Y196" s="53" t="str">
        <f t="shared" si="69"/>
        <v>147.</v>
      </c>
      <c r="Z196" s="53" t="str">
        <f t="shared" si="70"/>
        <v>5900</v>
      </c>
      <c r="AA196" s="53">
        <f t="shared" si="71"/>
        <v>7</v>
      </c>
      <c r="AB196" s="53">
        <f t="shared" si="72"/>
        <v>3</v>
      </c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</row>
    <row r="197" spans="1:41" ht="30" x14ac:dyDescent="0.25">
      <c r="A197" s="51" t="s">
        <v>274</v>
      </c>
      <c r="B197" s="51" t="s">
        <v>3172</v>
      </c>
      <c r="C197" s="51" t="s">
        <v>3173</v>
      </c>
      <c r="D197" s="51" t="s">
        <v>17</v>
      </c>
      <c r="E197" s="51" t="s">
        <v>1999</v>
      </c>
      <c r="F197" s="51">
        <v>6</v>
      </c>
      <c r="G197" s="51" t="s">
        <v>19</v>
      </c>
      <c r="H197" s="51">
        <v>26</v>
      </c>
      <c r="I197" s="51">
        <f t="shared" si="73"/>
        <v>156</v>
      </c>
      <c r="J197" s="51">
        <f t="shared" si="74"/>
        <v>73.5</v>
      </c>
      <c r="K197" s="51">
        <f t="shared" si="58"/>
        <v>28</v>
      </c>
      <c r="L197" s="51">
        <f t="shared" si="75"/>
        <v>182</v>
      </c>
      <c r="M197" s="51">
        <f t="shared" si="76"/>
        <v>7</v>
      </c>
      <c r="N197" s="53" t="b">
        <f t="shared" si="59"/>
        <v>0</v>
      </c>
      <c r="O197" s="53" t="b">
        <f t="shared" si="60"/>
        <v>1</v>
      </c>
      <c r="P197" s="53" t="str">
        <f t="shared" si="61"/>
        <v>rolls6</v>
      </c>
      <c r="Q197" s="68" t="str">
        <f t="shared" si="62"/>
        <v>73.5
C007096</v>
      </c>
      <c r="R197" s="53" t="b">
        <f t="shared" si="63"/>
        <v>0</v>
      </c>
      <c r="S197" s="53"/>
      <c r="T197" s="53" t="str">
        <f t="shared" si="64"/>
        <v>ROLLS</v>
      </c>
      <c r="U197" s="53" t="str">
        <f t="shared" si="65"/>
        <v>rolls</v>
      </c>
      <c r="V197" s="53">
        <f t="shared" si="66"/>
        <v>1</v>
      </c>
      <c r="W197" s="53" t="str">
        <f t="shared" si="67"/>
        <v>rolls 6</v>
      </c>
      <c r="X197" s="53" t="str">
        <f t="shared" si="68"/>
        <v>182</v>
      </c>
      <c r="Y197" s="53" t="str">
        <f t="shared" si="69"/>
        <v>73.5</v>
      </c>
      <c r="Z197" s="53" t="str">
        <f t="shared" si="70"/>
        <v>7096</v>
      </c>
      <c r="AA197" s="53">
        <f t="shared" si="71"/>
        <v>6</v>
      </c>
      <c r="AB197" s="53">
        <f t="shared" si="72"/>
        <v>2</v>
      </c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</row>
    <row r="198" spans="1:41" ht="30" x14ac:dyDescent="0.25">
      <c r="A198" s="51" t="s">
        <v>162</v>
      </c>
      <c r="B198" s="51" t="s">
        <v>3174</v>
      </c>
      <c r="C198" s="51" t="s">
        <v>3175</v>
      </c>
      <c r="D198" s="51" t="s">
        <v>1143</v>
      </c>
      <c r="E198" s="51" t="s">
        <v>1346</v>
      </c>
      <c r="F198" s="51">
        <v>11</v>
      </c>
      <c r="G198" s="51" t="s">
        <v>13</v>
      </c>
      <c r="H198" s="51">
        <v>18</v>
      </c>
      <c r="I198" s="51">
        <f t="shared" si="73"/>
        <v>198</v>
      </c>
      <c r="J198" s="51">
        <f t="shared" si="74"/>
        <v>34.5</v>
      </c>
      <c r="K198" s="51">
        <f t="shared" si="58"/>
        <v>14</v>
      </c>
      <c r="L198" s="51">
        <f t="shared" si="75"/>
        <v>2079.5</v>
      </c>
      <c r="M198" s="51">
        <f t="shared" si="76"/>
        <v>107</v>
      </c>
      <c r="N198" s="53" t="b">
        <f t="shared" si="59"/>
        <v>0</v>
      </c>
      <c r="O198" s="53" t="b">
        <f t="shared" si="60"/>
        <v>1</v>
      </c>
      <c r="P198" s="53" t="str">
        <f t="shared" si="61"/>
        <v>ct11</v>
      </c>
      <c r="Q198" s="68" t="str">
        <f t="shared" si="62"/>
        <v>34.5
C008935</v>
      </c>
      <c r="R198" s="53" t="b">
        <f t="shared" si="63"/>
        <v>0</v>
      </c>
      <c r="S198" s="53"/>
      <c r="T198" s="53" t="str">
        <f t="shared" si="64"/>
        <v>CT</v>
      </c>
      <c r="U198" s="53" t="str">
        <f t="shared" si="65"/>
        <v>ct</v>
      </c>
      <c r="V198" s="53">
        <f t="shared" si="66"/>
        <v>1</v>
      </c>
      <c r="W198" s="53" t="str">
        <f t="shared" si="67"/>
        <v>ct 11</v>
      </c>
      <c r="X198" s="53" t="str">
        <f t="shared" si="68"/>
        <v>2879.5</v>
      </c>
      <c r="Y198" s="53" t="str">
        <f t="shared" si="69"/>
        <v>34.5</v>
      </c>
      <c r="Z198" s="53" t="str">
        <f t="shared" si="70"/>
        <v>8935</v>
      </c>
      <c r="AA198" s="53">
        <f t="shared" si="71"/>
        <v>6</v>
      </c>
      <c r="AB198" s="53">
        <f t="shared" si="72"/>
        <v>7</v>
      </c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</row>
    <row r="199" spans="1:41" ht="30" x14ac:dyDescent="0.25">
      <c r="A199" s="51" t="s">
        <v>274</v>
      </c>
      <c r="B199" s="51" t="s">
        <v>3176</v>
      </c>
      <c r="C199" s="51" t="s">
        <v>3177</v>
      </c>
      <c r="D199" s="51" t="s">
        <v>294</v>
      </c>
      <c r="E199" s="51" t="s">
        <v>1850</v>
      </c>
      <c r="F199" s="51">
        <v>5</v>
      </c>
      <c r="G199" s="51" t="s">
        <v>13</v>
      </c>
      <c r="H199" s="51">
        <v>12</v>
      </c>
      <c r="I199" s="51">
        <f t="shared" si="73"/>
        <v>60</v>
      </c>
      <c r="J199" s="51">
        <f t="shared" si="74"/>
        <v>205.5</v>
      </c>
      <c r="K199" s="51">
        <f t="shared" ref="K199:K262" si="77">_xlfn.RANK.EQ(I199,I199:I501)</f>
        <v>81</v>
      </c>
      <c r="L199" s="51">
        <f t="shared" si="75"/>
        <v>2079.5</v>
      </c>
      <c r="M199" s="51">
        <f t="shared" si="76"/>
        <v>107</v>
      </c>
      <c r="N199" s="53" t="b">
        <f t="shared" si="59"/>
        <v>0</v>
      </c>
      <c r="O199" s="53" t="b">
        <f t="shared" si="60"/>
        <v>1</v>
      </c>
      <c r="P199" s="53" t="str">
        <f t="shared" si="61"/>
        <v>ct5</v>
      </c>
      <c r="Q199" s="68" t="str">
        <f t="shared" si="62"/>
        <v>205.5
C008564</v>
      </c>
      <c r="R199" s="53" t="b">
        <f t="shared" si="63"/>
        <v>0</v>
      </c>
      <c r="S199" s="53"/>
      <c r="T199" s="53" t="str">
        <f t="shared" si="64"/>
        <v>CT</v>
      </c>
      <c r="U199" s="53" t="str">
        <f t="shared" si="65"/>
        <v>ct</v>
      </c>
      <c r="V199" s="53">
        <f t="shared" si="66"/>
        <v>1</v>
      </c>
      <c r="W199" s="53" t="str">
        <f t="shared" si="67"/>
        <v>ct 5</v>
      </c>
      <c r="X199" s="53" t="str">
        <f t="shared" si="68"/>
        <v>2879.5</v>
      </c>
      <c r="Y199" s="53" t="str">
        <f t="shared" si="69"/>
        <v>205.</v>
      </c>
      <c r="Z199" s="53" t="str">
        <f t="shared" si="70"/>
        <v>8564</v>
      </c>
      <c r="AA199" s="53">
        <f t="shared" si="71"/>
        <v>7</v>
      </c>
      <c r="AB199" s="53">
        <f t="shared" si="72"/>
        <v>4</v>
      </c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</row>
    <row r="200" spans="1:41" ht="30" x14ac:dyDescent="0.25">
      <c r="A200" s="51" t="s">
        <v>240</v>
      </c>
      <c r="B200" s="51" t="s">
        <v>3178</v>
      </c>
      <c r="C200" s="51" t="s">
        <v>3179</v>
      </c>
      <c r="D200" s="51" t="s">
        <v>655</v>
      </c>
      <c r="E200" s="51" t="s">
        <v>95</v>
      </c>
      <c r="F200" s="51">
        <v>1</v>
      </c>
      <c r="G200" s="51" t="s">
        <v>60</v>
      </c>
      <c r="H200" s="51">
        <v>24</v>
      </c>
      <c r="I200" s="51">
        <f t="shared" si="73"/>
        <v>24</v>
      </c>
      <c r="J200" s="51">
        <f t="shared" si="74"/>
        <v>279</v>
      </c>
      <c r="K200" s="51">
        <f t="shared" si="77"/>
        <v>111</v>
      </c>
      <c r="L200" s="51">
        <f t="shared" si="75"/>
        <v>908</v>
      </c>
      <c r="M200" s="51">
        <f t="shared" si="76"/>
        <v>50</v>
      </c>
      <c r="N200" s="53" t="b">
        <f t="shared" si="59"/>
        <v>0</v>
      </c>
      <c r="O200" s="53" t="b">
        <f t="shared" si="60"/>
        <v>1</v>
      </c>
      <c r="P200" s="53" t="str">
        <f t="shared" si="61"/>
        <v>bottles1</v>
      </c>
      <c r="Q200" s="68" t="str">
        <f t="shared" si="62"/>
        <v>279
C002629</v>
      </c>
      <c r="R200" s="53" t="b">
        <f t="shared" si="63"/>
        <v>0</v>
      </c>
      <c r="S200" s="53"/>
      <c r="T200" s="53" t="str">
        <f t="shared" si="64"/>
        <v>BOTTLES</v>
      </c>
      <c r="U200" s="53" t="str">
        <f t="shared" si="65"/>
        <v>bottles</v>
      </c>
      <c r="V200" s="53">
        <f t="shared" si="66"/>
        <v>1</v>
      </c>
      <c r="W200" s="53" t="str">
        <f t="shared" si="67"/>
        <v>bottles 1</v>
      </c>
      <c r="X200" s="53" t="str">
        <f t="shared" si="68"/>
        <v>988</v>
      </c>
      <c r="Y200" s="53" t="str">
        <f t="shared" si="69"/>
        <v xml:space="preserve">279
</v>
      </c>
      <c r="Z200" s="53" t="str">
        <f t="shared" si="70"/>
        <v>2629</v>
      </c>
      <c r="AA200" s="53">
        <f t="shared" si="71"/>
        <v>5</v>
      </c>
      <c r="AB200" s="53">
        <f t="shared" si="72"/>
        <v>2</v>
      </c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</row>
    <row r="201" spans="1:41" ht="30" x14ac:dyDescent="0.25">
      <c r="A201" s="51" t="s">
        <v>162</v>
      </c>
      <c r="B201" s="51" t="s">
        <v>3180</v>
      </c>
      <c r="C201" s="51" t="s">
        <v>3181</v>
      </c>
      <c r="D201" s="51" t="s">
        <v>237</v>
      </c>
      <c r="E201" s="51" t="s">
        <v>2499</v>
      </c>
      <c r="F201" s="51">
        <v>8</v>
      </c>
      <c r="G201" s="51" t="s">
        <v>239</v>
      </c>
      <c r="H201" s="51">
        <v>15</v>
      </c>
      <c r="I201" s="51">
        <f t="shared" si="73"/>
        <v>120</v>
      </c>
      <c r="J201" s="51">
        <f t="shared" si="74"/>
        <v>112</v>
      </c>
      <c r="K201" s="51">
        <f t="shared" si="77"/>
        <v>42</v>
      </c>
      <c r="L201" s="51">
        <f t="shared" si="75"/>
        <v>45</v>
      </c>
      <c r="M201" s="51">
        <f t="shared" si="76"/>
        <v>3</v>
      </c>
      <c r="N201" s="53" t="b">
        <f t="shared" si="59"/>
        <v>0</v>
      </c>
      <c r="O201" s="53" t="b">
        <f t="shared" si="60"/>
        <v>0</v>
      </c>
      <c r="P201" s="53" t="str">
        <f t="shared" si="61"/>
        <v>lb8</v>
      </c>
      <c r="Q201" s="68" t="str">
        <f t="shared" si="62"/>
        <v>112
C000357</v>
      </c>
      <c r="R201" s="53" t="b">
        <f t="shared" si="63"/>
        <v>0</v>
      </c>
      <c r="S201" s="53"/>
      <c r="T201" s="53" t="str">
        <f t="shared" si="64"/>
        <v>LB</v>
      </c>
      <c r="U201" s="53" t="str">
        <f t="shared" si="65"/>
        <v>lb</v>
      </c>
      <c r="V201" s="53">
        <f t="shared" si="66"/>
        <v>1</v>
      </c>
      <c r="W201" s="53" t="str">
        <f t="shared" si="67"/>
        <v>lb 8</v>
      </c>
      <c r="X201" s="53" t="str">
        <f t="shared" si="68"/>
        <v>45</v>
      </c>
      <c r="Y201" s="53" t="str">
        <f t="shared" si="69"/>
        <v xml:space="preserve">112
</v>
      </c>
      <c r="Z201" s="53" t="str">
        <f t="shared" si="70"/>
        <v>0357</v>
      </c>
      <c r="AA201" s="53">
        <f t="shared" si="71"/>
        <v>5</v>
      </c>
      <c r="AB201" s="53">
        <f t="shared" si="72"/>
        <v>7</v>
      </c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</row>
    <row r="202" spans="1:41" ht="30" x14ac:dyDescent="0.25">
      <c r="A202" s="51" t="s">
        <v>240</v>
      </c>
      <c r="B202" s="51" t="s">
        <v>3182</v>
      </c>
      <c r="C202" s="51" t="s">
        <v>3183</v>
      </c>
      <c r="D202" s="51" t="s">
        <v>79</v>
      </c>
      <c r="E202" s="51" t="s">
        <v>557</v>
      </c>
      <c r="F202" s="51">
        <v>2</v>
      </c>
      <c r="G202" s="51" t="s">
        <v>13</v>
      </c>
      <c r="H202" s="51">
        <v>15</v>
      </c>
      <c r="I202" s="51">
        <f t="shared" si="73"/>
        <v>30</v>
      </c>
      <c r="J202" s="51">
        <f t="shared" si="74"/>
        <v>267.5</v>
      </c>
      <c r="K202" s="51">
        <f t="shared" si="77"/>
        <v>107</v>
      </c>
      <c r="L202" s="51">
        <f t="shared" si="75"/>
        <v>2079.5</v>
      </c>
      <c r="M202" s="51">
        <f t="shared" si="76"/>
        <v>107</v>
      </c>
      <c r="N202" s="53" t="b">
        <f t="shared" si="59"/>
        <v>0</v>
      </c>
      <c r="O202" s="53" t="b">
        <f t="shared" si="60"/>
        <v>1</v>
      </c>
      <c r="P202" s="53" t="str">
        <f t="shared" si="61"/>
        <v>ct2</v>
      </c>
      <c r="Q202" s="68" t="str">
        <f t="shared" si="62"/>
        <v>267.5
C000740</v>
      </c>
      <c r="R202" s="53" t="b">
        <f t="shared" si="63"/>
        <v>0</v>
      </c>
      <c r="S202" s="53"/>
      <c r="T202" s="53" t="str">
        <f t="shared" si="64"/>
        <v>CT</v>
      </c>
      <c r="U202" s="53" t="str">
        <f t="shared" si="65"/>
        <v>ct</v>
      </c>
      <c r="V202" s="53">
        <f t="shared" si="66"/>
        <v>1</v>
      </c>
      <c r="W202" s="53" t="str">
        <f t="shared" si="67"/>
        <v>ct 2</v>
      </c>
      <c r="X202" s="53" t="str">
        <f t="shared" si="68"/>
        <v>2879.5</v>
      </c>
      <c r="Y202" s="53" t="str">
        <f t="shared" si="69"/>
        <v>267.</v>
      </c>
      <c r="Z202" s="53" t="str">
        <f t="shared" si="70"/>
        <v>0740</v>
      </c>
      <c r="AA202" s="53">
        <f t="shared" si="71"/>
        <v>7</v>
      </c>
      <c r="AB202" s="53">
        <f t="shared" si="72"/>
        <v>7</v>
      </c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</row>
    <row r="203" spans="1:41" ht="30" x14ac:dyDescent="0.25">
      <c r="A203" s="51" t="s">
        <v>523</v>
      </c>
      <c r="B203" s="51" t="s">
        <v>3184</v>
      </c>
      <c r="C203" s="51" t="s">
        <v>3185</v>
      </c>
      <c r="D203" s="51" t="s">
        <v>1143</v>
      </c>
      <c r="E203" s="51" t="s">
        <v>3186</v>
      </c>
      <c r="F203" s="51">
        <v>9</v>
      </c>
      <c r="G203" s="51" t="s">
        <v>13</v>
      </c>
      <c r="H203" s="51">
        <v>18</v>
      </c>
      <c r="I203" s="51">
        <f t="shared" si="73"/>
        <v>162</v>
      </c>
      <c r="J203" s="51">
        <f t="shared" si="74"/>
        <v>61</v>
      </c>
      <c r="K203" s="51">
        <f t="shared" si="77"/>
        <v>22</v>
      </c>
      <c r="L203" s="51">
        <f t="shared" si="75"/>
        <v>2079.5</v>
      </c>
      <c r="M203" s="51">
        <f t="shared" si="76"/>
        <v>107</v>
      </c>
      <c r="N203" s="53" t="b">
        <f t="shared" si="59"/>
        <v>0</v>
      </c>
      <c r="O203" s="53" t="b">
        <f t="shared" si="60"/>
        <v>1</v>
      </c>
      <c r="P203" s="53" t="str">
        <f t="shared" si="61"/>
        <v>ct9</v>
      </c>
      <c r="Q203" s="68" t="str">
        <f t="shared" si="62"/>
        <v>61
C005756</v>
      </c>
      <c r="R203" s="53" t="b">
        <f t="shared" si="63"/>
        <v>0</v>
      </c>
      <c r="S203" s="53"/>
      <c r="T203" s="53" t="str">
        <f t="shared" si="64"/>
        <v>CT</v>
      </c>
      <c r="U203" s="53" t="str">
        <f t="shared" si="65"/>
        <v>ct</v>
      </c>
      <c r="V203" s="53">
        <f t="shared" si="66"/>
        <v>1</v>
      </c>
      <c r="W203" s="53" t="str">
        <f t="shared" si="67"/>
        <v>ct 9</v>
      </c>
      <c r="X203" s="53" t="str">
        <f t="shared" si="68"/>
        <v>2879.5</v>
      </c>
      <c r="Y203" s="53" t="str">
        <f t="shared" si="69"/>
        <v>61
C</v>
      </c>
      <c r="Z203" s="53" t="str">
        <f t="shared" si="70"/>
        <v>5756</v>
      </c>
      <c r="AA203" s="53">
        <f t="shared" si="71"/>
        <v>4</v>
      </c>
      <c r="AB203" s="53">
        <f t="shared" si="72"/>
        <v>2</v>
      </c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</row>
    <row r="204" spans="1:41" ht="30" x14ac:dyDescent="0.25">
      <c r="A204" s="51" t="s">
        <v>459</v>
      </c>
      <c r="B204" s="51" t="s">
        <v>3187</v>
      </c>
      <c r="C204" s="51" t="s">
        <v>3188</v>
      </c>
      <c r="D204" s="51" t="s">
        <v>1477</v>
      </c>
      <c r="E204" s="51" t="s">
        <v>1082</v>
      </c>
      <c r="F204" s="51">
        <v>11</v>
      </c>
      <c r="G204" s="51" t="s">
        <v>13</v>
      </c>
      <c r="H204" s="51">
        <v>15</v>
      </c>
      <c r="I204" s="51">
        <f t="shared" si="73"/>
        <v>165</v>
      </c>
      <c r="J204" s="51">
        <f t="shared" si="74"/>
        <v>58</v>
      </c>
      <c r="K204" s="51">
        <f t="shared" si="77"/>
        <v>21</v>
      </c>
      <c r="L204" s="51">
        <f t="shared" si="75"/>
        <v>2079.5</v>
      </c>
      <c r="M204" s="51">
        <f t="shared" si="76"/>
        <v>107</v>
      </c>
      <c r="N204" s="53" t="b">
        <f t="shared" si="59"/>
        <v>0</v>
      </c>
      <c r="O204" s="53" t="b">
        <f t="shared" si="60"/>
        <v>1</v>
      </c>
      <c r="P204" s="53" t="str">
        <f t="shared" si="61"/>
        <v>ct11</v>
      </c>
      <c r="Q204" s="68" t="str">
        <f t="shared" si="62"/>
        <v>58
C005701</v>
      </c>
      <c r="R204" s="53" t="b">
        <f t="shared" si="63"/>
        <v>0</v>
      </c>
      <c r="S204" s="53"/>
      <c r="T204" s="53" t="str">
        <f t="shared" si="64"/>
        <v>CT</v>
      </c>
      <c r="U204" s="53" t="str">
        <f t="shared" si="65"/>
        <v>ct</v>
      </c>
      <c r="V204" s="53">
        <f t="shared" si="66"/>
        <v>1</v>
      </c>
      <c r="W204" s="53" t="str">
        <f t="shared" si="67"/>
        <v>ct 11</v>
      </c>
      <c r="X204" s="53" t="str">
        <f t="shared" si="68"/>
        <v>2879.5</v>
      </c>
      <c r="Y204" s="53" t="str">
        <f t="shared" si="69"/>
        <v>58
C</v>
      </c>
      <c r="Z204" s="53" t="str">
        <f t="shared" si="70"/>
        <v>5701</v>
      </c>
      <c r="AA204" s="53">
        <f t="shared" si="71"/>
        <v>4</v>
      </c>
      <c r="AB204" s="53">
        <f t="shared" si="72"/>
        <v>2</v>
      </c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</row>
    <row r="205" spans="1:41" ht="30" x14ac:dyDescent="0.25">
      <c r="A205" s="51" t="s">
        <v>8</v>
      </c>
      <c r="B205" s="51" t="s">
        <v>3189</v>
      </c>
      <c r="C205" s="51" t="s">
        <v>3190</v>
      </c>
      <c r="D205" s="51" t="s">
        <v>885</v>
      </c>
      <c r="E205" s="51" t="s">
        <v>59</v>
      </c>
      <c r="F205" s="51">
        <v>4</v>
      </c>
      <c r="G205" s="51" t="s">
        <v>407</v>
      </c>
      <c r="H205" s="51">
        <v>16</v>
      </c>
      <c r="I205" s="51">
        <f t="shared" si="73"/>
        <v>64</v>
      </c>
      <c r="J205" s="51">
        <f t="shared" si="74"/>
        <v>201</v>
      </c>
      <c r="K205" s="51">
        <f t="shared" si="77"/>
        <v>76</v>
      </c>
      <c r="L205" s="51">
        <f t="shared" si="75"/>
        <v>182</v>
      </c>
      <c r="M205" s="51">
        <f t="shared" si="76"/>
        <v>12</v>
      </c>
      <c r="N205" s="53" t="b">
        <f t="shared" si="59"/>
        <v>0</v>
      </c>
      <c r="O205" s="53" t="b">
        <f t="shared" si="60"/>
        <v>1</v>
      </c>
      <c r="P205" s="53" t="str">
        <f t="shared" si="61"/>
        <v>pk4</v>
      </c>
      <c r="Q205" s="68" t="str">
        <f t="shared" si="62"/>
        <v>201
C003150</v>
      </c>
      <c r="R205" s="53" t="b">
        <f t="shared" si="63"/>
        <v>0</v>
      </c>
      <c r="S205" s="53"/>
      <c r="T205" s="53" t="str">
        <f t="shared" si="64"/>
        <v>PK</v>
      </c>
      <c r="U205" s="53" t="str">
        <f t="shared" si="65"/>
        <v>pk</v>
      </c>
      <c r="V205" s="53">
        <f t="shared" si="66"/>
        <v>1</v>
      </c>
      <c r="W205" s="53" t="str">
        <f t="shared" si="67"/>
        <v>pk 4</v>
      </c>
      <c r="X205" s="53" t="str">
        <f t="shared" si="68"/>
        <v>182</v>
      </c>
      <c r="Y205" s="53" t="str">
        <f t="shared" si="69"/>
        <v xml:space="preserve">201
</v>
      </c>
      <c r="Z205" s="53" t="str">
        <f t="shared" si="70"/>
        <v>3150</v>
      </c>
      <c r="AA205" s="53">
        <f t="shared" si="71"/>
        <v>5</v>
      </c>
      <c r="AB205" s="53">
        <f t="shared" si="72"/>
        <v>7</v>
      </c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</row>
    <row r="206" spans="1:41" ht="30" x14ac:dyDescent="0.25">
      <c r="A206" s="51" t="s">
        <v>162</v>
      </c>
      <c r="B206" s="51" t="s">
        <v>3191</v>
      </c>
      <c r="C206" s="51" t="s">
        <v>3192</v>
      </c>
      <c r="D206" s="51" t="s">
        <v>517</v>
      </c>
      <c r="E206" s="51" t="s">
        <v>2072</v>
      </c>
      <c r="F206" s="51">
        <v>5</v>
      </c>
      <c r="G206" s="51" t="s">
        <v>13</v>
      </c>
      <c r="H206" s="51">
        <v>20</v>
      </c>
      <c r="I206" s="51">
        <f t="shared" si="73"/>
        <v>100</v>
      </c>
      <c r="J206" s="51">
        <f t="shared" si="74"/>
        <v>137.5</v>
      </c>
      <c r="K206" s="51">
        <f t="shared" si="77"/>
        <v>52</v>
      </c>
      <c r="L206" s="51">
        <f t="shared" si="75"/>
        <v>2079.5</v>
      </c>
      <c r="M206" s="51">
        <f t="shared" si="76"/>
        <v>107</v>
      </c>
      <c r="N206" s="53" t="b">
        <f t="shared" si="59"/>
        <v>0</v>
      </c>
      <c r="O206" s="53" t="b">
        <f t="shared" si="60"/>
        <v>0</v>
      </c>
      <c r="P206" s="53" t="str">
        <f t="shared" si="61"/>
        <v>ct5</v>
      </c>
      <c r="Q206" s="68" t="str">
        <f t="shared" si="62"/>
        <v>137.5
C008676</v>
      </c>
      <c r="R206" s="53" t="b">
        <f t="shared" si="63"/>
        <v>0</v>
      </c>
      <c r="S206" s="53"/>
      <c r="T206" s="53" t="str">
        <f t="shared" si="64"/>
        <v>CT</v>
      </c>
      <c r="U206" s="53" t="str">
        <f t="shared" si="65"/>
        <v>ct</v>
      </c>
      <c r="V206" s="53">
        <f t="shared" si="66"/>
        <v>1</v>
      </c>
      <c r="W206" s="53" t="str">
        <f t="shared" si="67"/>
        <v>ct 5</v>
      </c>
      <c r="X206" s="53" t="str">
        <f t="shared" si="68"/>
        <v>2879.5</v>
      </c>
      <c r="Y206" s="53" t="str">
        <f t="shared" si="69"/>
        <v>137.</v>
      </c>
      <c r="Z206" s="53" t="str">
        <f t="shared" si="70"/>
        <v>8676</v>
      </c>
      <c r="AA206" s="53">
        <f t="shared" si="71"/>
        <v>7</v>
      </c>
      <c r="AB206" s="53">
        <f t="shared" si="72"/>
        <v>3</v>
      </c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</row>
    <row r="207" spans="1:41" ht="30" x14ac:dyDescent="0.25">
      <c r="A207" s="51" t="s">
        <v>240</v>
      </c>
      <c r="B207" s="51" t="s">
        <v>3193</v>
      </c>
      <c r="C207" s="51" t="s">
        <v>3194</v>
      </c>
      <c r="D207" s="51" t="s">
        <v>1340</v>
      </c>
      <c r="E207" s="51" t="s">
        <v>689</v>
      </c>
      <c r="F207" s="51">
        <v>8</v>
      </c>
      <c r="G207" s="51" t="s">
        <v>13</v>
      </c>
      <c r="H207" s="51">
        <v>18</v>
      </c>
      <c r="I207" s="51">
        <f t="shared" si="73"/>
        <v>144</v>
      </c>
      <c r="J207" s="51">
        <f t="shared" si="74"/>
        <v>86.5</v>
      </c>
      <c r="K207" s="51">
        <f t="shared" si="77"/>
        <v>30</v>
      </c>
      <c r="L207" s="51">
        <f t="shared" si="75"/>
        <v>2079.5</v>
      </c>
      <c r="M207" s="51">
        <f t="shared" si="76"/>
        <v>107</v>
      </c>
      <c r="N207" s="53" t="b">
        <f t="shared" si="59"/>
        <v>0</v>
      </c>
      <c r="O207" s="53" t="b">
        <f t="shared" si="60"/>
        <v>1</v>
      </c>
      <c r="P207" s="53" t="str">
        <f t="shared" si="61"/>
        <v>ct8</v>
      </c>
      <c r="Q207" s="68" t="str">
        <f t="shared" si="62"/>
        <v>86.5
C002536</v>
      </c>
      <c r="R207" s="53" t="b">
        <f t="shared" si="63"/>
        <v>0</v>
      </c>
      <c r="S207" s="53"/>
      <c r="T207" s="53" t="str">
        <f t="shared" si="64"/>
        <v>CT</v>
      </c>
      <c r="U207" s="53" t="str">
        <f t="shared" si="65"/>
        <v>ct</v>
      </c>
      <c r="V207" s="53">
        <f t="shared" si="66"/>
        <v>1</v>
      </c>
      <c r="W207" s="53" t="str">
        <f t="shared" si="67"/>
        <v>ct 8</v>
      </c>
      <c r="X207" s="53" t="str">
        <f t="shared" si="68"/>
        <v>2879.5</v>
      </c>
      <c r="Y207" s="53" t="str">
        <f t="shared" si="69"/>
        <v>86.5</v>
      </c>
      <c r="Z207" s="53" t="str">
        <f t="shared" si="70"/>
        <v>2536</v>
      </c>
      <c r="AA207" s="53">
        <f t="shared" si="71"/>
        <v>6</v>
      </c>
      <c r="AB207" s="53">
        <f t="shared" si="72"/>
        <v>4</v>
      </c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</row>
    <row r="208" spans="1:41" ht="30" x14ac:dyDescent="0.25">
      <c r="A208" s="51" t="s">
        <v>209</v>
      </c>
      <c r="B208" s="51" t="s">
        <v>3195</v>
      </c>
      <c r="C208" s="51" t="s">
        <v>3196</v>
      </c>
      <c r="D208" s="51" t="s">
        <v>1875</v>
      </c>
      <c r="E208" s="51" t="s">
        <v>750</v>
      </c>
      <c r="F208" s="51">
        <v>1</v>
      </c>
      <c r="G208" s="51" t="s">
        <v>167</v>
      </c>
      <c r="H208" s="51">
        <v>6</v>
      </c>
      <c r="I208" s="51">
        <f t="shared" si="73"/>
        <v>6</v>
      </c>
      <c r="J208" s="51">
        <f t="shared" si="74"/>
        <v>302</v>
      </c>
      <c r="K208" s="51">
        <f t="shared" si="77"/>
        <v>116</v>
      </c>
      <c r="L208" s="51">
        <f t="shared" si="75"/>
        <v>307</v>
      </c>
      <c r="M208" s="51">
        <f t="shared" si="76"/>
        <v>19</v>
      </c>
      <c r="N208" s="53" t="b">
        <f t="shared" si="59"/>
        <v>0</v>
      </c>
      <c r="O208" s="53" t="b">
        <f t="shared" si="60"/>
        <v>1</v>
      </c>
      <c r="P208" s="53" t="str">
        <f t="shared" si="61"/>
        <v>oz1</v>
      </c>
      <c r="Q208" s="68" t="str">
        <f t="shared" si="62"/>
        <v>302
C004602</v>
      </c>
      <c r="R208" s="53" t="b">
        <f t="shared" si="63"/>
        <v>0</v>
      </c>
      <c r="S208" s="53"/>
      <c r="T208" s="53" t="str">
        <f t="shared" si="64"/>
        <v>OZ</v>
      </c>
      <c r="U208" s="53" t="str">
        <f t="shared" si="65"/>
        <v>oz</v>
      </c>
      <c r="V208" s="53">
        <f t="shared" si="66"/>
        <v>1</v>
      </c>
      <c r="W208" s="53" t="str">
        <f t="shared" si="67"/>
        <v>oz 1</v>
      </c>
      <c r="X208" s="53" t="str">
        <f t="shared" si="68"/>
        <v>387</v>
      </c>
      <c r="Y208" s="53" t="str">
        <f t="shared" si="69"/>
        <v xml:space="preserve">302
</v>
      </c>
      <c r="Z208" s="53" t="str">
        <f t="shared" si="70"/>
        <v>4602</v>
      </c>
      <c r="AA208" s="53">
        <f t="shared" si="71"/>
        <v>5</v>
      </c>
      <c r="AB208" s="53">
        <f t="shared" si="72"/>
        <v>2</v>
      </c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</row>
    <row r="209" spans="1:41" ht="30" x14ac:dyDescent="0.25">
      <c r="A209" s="51" t="s">
        <v>283</v>
      </c>
      <c r="B209" s="51" t="s">
        <v>3189</v>
      </c>
      <c r="C209" s="51" t="s">
        <v>3197</v>
      </c>
      <c r="D209" s="51" t="s">
        <v>267</v>
      </c>
      <c r="E209" s="51" t="s">
        <v>1200</v>
      </c>
      <c r="F209" s="51">
        <v>5</v>
      </c>
      <c r="G209" s="51" t="s">
        <v>269</v>
      </c>
      <c r="H209" s="51">
        <v>13</v>
      </c>
      <c r="I209" s="51">
        <f t="shared" si="73"/>
        <v>65</v>
      </c>
      <c r="J209" s="51">
        <f t="shared" si="74"/>
        <v>198</v>
      </c>
      <c r="K209" s="51">
        <f t="shared" si="77"/>
        <v>72</v>
      </c>
      <c r="L209" s="51">
        <f t="shared" si="75"/>
        <v>123</v>
      </c>
      <c r="M209" s="51">
        <f t="shared" si="76"/>
        <v>9</v>
      </c>
      <c r="N209" s="53" t="b">
        <f t="shared" si="59"/>
        <v>0</v>
      </c>
      <c r="O209" s="53" t="b">
        <f t="shared" si="60"/>
        <v>1</v>
      </c>
      <c r="P209" s="53" t="str">
        <f t="shared" si="61"/>
        <v>ct.5</v>
      </c>
      <c r="Q209" s="68" t="str">
        <f t="shared" si="62"/>
        <v>198
C003150</v>
      </c>
      <c r="R209" s="53" t="b">
        <f t="shared" si="63"/>
        <v>0</v>
      </c>
      <c r="S209" s="53"/>
      <c r="T209" s="53" t="str">
        <f t="shared" si="64"/>
        <v>CT.</v>
      </c>
      <c r="U209" s="53" t="str">
        <f t="shared" si="65"/>
        <v>ct.</v>
      </c>
      <c r="V209" s="53">
        <f t="shared" si="66"/>
        <v>1</v>
      </c>
      <c r="W209" s="53" t="str">
        <f t="shared" si="67"/>
        <v>ct. 5</v>
      </c>
      <c r="X209" s="53" t="str">
        <f t="shared" si="68"/>
        <v>123</v>
      </c>
      <c r="Y209" s="53" t="str">
        <f t="shared" si="69"/>
        <v xml:space="preserve">198
</v>
      </c>
      <c r="Z209" s="53" t="str">
        <f t="shared" si="70"/>
        <v>3150</v>
      </c>
      <c r="AA209" s="53">
        <f t="shared" si="71"/>
        <v>5</v>
      </c>
      <c r="AB209" s="53">
        <f t="shared" si="72"/>
        <v>4</v>
      </c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</row>
    <row r="210" spans="1:41" ht="30" x14ac:dyDescent="0.25">
      <c r="A210" s="51" t="s">
        <v>339</v>
      </c>
      <c r="B210" s="51" t="s">
        <v>3198</v>
      </c>
      <c r="C210" s="51" t="s">
        <v>3199</v>
      </c>
      <c r="D210" s="51" t="s">
        <v>832</v>
      </c>
      <c r="E210" s="51" t="s">
        <v>2372</v>
      </c>
      <c r="F210" s="51">
        <v>2</v>
      </c>
      <c r="G210" s="51" t="s">
        <v>13</v>
      </c>
      <c r="H210" s="51">
        <v>12</v>
      </c>
      <c r="I210" s="51">
        <f t="shared" si="73"/>
        <v>24</v>
      </c>
      <c r="J210" s="51">
        <f t="shared" si="74"/>
        <v>279</v>
      </c>
      <c r="K210" s="51">
        <f t="shared" si="77"/>
        <v>103</v>
      </c>
      <c r="L210" s="51">
        <f t="shared" si="75"/>
        <v>2079.5</v>
      </c>
      <c r="M210" s="51">
        <f t="shared" si="76"/>
        <v>107</v>
      </c>
      <c r="N210" s="53" t="b">
        <f t="shared" si="59"/>
        <v>0</v>
      </c>
      <c r="O210" s="53" t="b">
        <f t="shared" si="60"/>
        <v>1</v>
      </c>
      <c r="P210" s="53" t="str">
        <f t="shared" si="61"/>
        <v>ct2</v>
      </c>
      <c r="Q210" s="68" t="str">
        <f t="shared" si="62"/>
        <v>279
C004926</v>
      </c>
      <c r="R210" s="53" t="b">
        <f t="shared" si="63"/>
        <v>0</v>
      </c>
      <c r="S210" s="53"/>
      <c r="T210" s="53" t="str">
        <f t="shared" si="64"/>
        <v>CT</v>
      </c>
      <c r="U210" s="53" t="str">
        <f t="shared" si="65"/>
        <v>ct</v>
      </c>
      <c r="V210" s="53">
        <f t="shared" si="66"/>
        <v>1</v>
      </c>
      <c r="W210" s="53" t="str">
        <f t="shared" si="67"/>
        <v>ct 2</v>
      </c>
      <c r="X210" s="53" t="str">
        <f t="shared" si="68"/>
        <v>2879.5</v>
      </c>
      <c r="Y210" s="53" t="str">
        <f t="shared" si="69"/>
        <v xml:space="preserve">279
</v>
      </c>
      <c r="Z210" s="53" t="str">
        <f t="shared" si="70"/>
        <v>4926</v>
      </c>
      <c r="AA210" s="53">
        <f t="shared" si="71"/>
        <v>5</v>
      </c>
      <c r="AB210" s="53">
        <f t="shared" si="72"/>
        <v>4</v>
      </c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</row>
    <row r="211" spans="1:41" ht="30" x14ac:dyDescent="0.25">
      <c r="A211" s="51" t="s">
        <v>240</v>
      </c>
      <c r="B211" s="51" t="s">
        <v>3200</v>
      </c>
      <c r="C211" s="51" t="s">
        <v>3201</v>
      </c>
      <c r="D211" s="51" t="s">
        <v>677</v>
      </c>
      <c r="E211" s="51" t="s">
        <v>2499</v>
      </c>
      <c r="F211" s="51">
        <v>9</v>
      </c>
      <c r="G211" s="51" t="s">
        <v>60</v>
      </c>
      <c r="H211" s="51">
        <v>20</v>
      </c>
      <c r="I211" s="51">
        <f t="shared" si="73"/>
        <v>180</v>
      </c>
      <c r="J211" s="51">
        <f t="shared" si="74"/>
        <v>43.5</v>
      </c>
      <c r="K211" s="51">
        <f t="shared" si="77"/>
        <v>16</v>
      </c>
      <c r="L211" s="51">
        <f t="shared" si="75"/>
        <v>908</v>
      </c>
      <c r="M211" s="51">
        <f t="shared" si="76"/>
        <v>50</v>
      </c>
      <c r="N211" s="53" t="b">
        <f t="shared" si="59"/>
        <v>0</v>
      </c>
      <c r="O211" s="53" t="b">
        <f t="shared" si="60"/>
        <v>1</v>
      </c>
      <c r="P211" s="53" t="str">
        <f t="shared" si="61"/>
        <v>bottles9</v>
      </c>
      <c r="Q211" s="68" t="str">
        <f t="shared" si="62"/>
        <v>43.5
C009110</v>
      </c>
      <c r="R211" s="53" t="b">
        <f t="shared" si="63"/>
        <v>0</v>
      </c>
      <c r="S211" s="53"/>
      <c r="T211" s="53" t="str">
        <f t="shared" si="64"/>
        <v>BOTTLES</v>
      </c>
      <c r="U211" s="53" t="str">
        <f t="shared" si="65"/>
        <v>bottles</v>
      </c>
      <c r="V211" s="53">
        <f t="shared" si="66"/>
        <v>1</v>
      </c>
      <c r="W211" s="53" t="str">
        <f t="shared" si="67"/>
        <v>bottles 9</v>
      </c>
      <c r="X211" s="53" t="str">
        <f t="shared" si="68"/>
        <v>988</v>
      </c>
      <c r="Y211" s="53" t="str">
        <f t="shared" si="69"/>
        <v>43.5</v>
      </c>
      <c r="Z211" s="53" t="str">
        <f t="shared" si="70"/>
        <v>9110</v>
      </c>
      <c r="AA211" s="53">
        <f t="shared" si="71"/>
        <v>6</v>
      </c>
      <c r="AB211" s="53">
        <f t="shared" si="72"/>
        <v>4</v>
      </c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</row>
    <row r="212" spans="1:41" ht="30" x14ac:dyDescent="0.25">
      <c r="A212" s="51" t="s">
        <v>459</v>
      </c>
      <c r="B212" s="51" t="s">
        <v>3202</v>
      </c>
      <c r="C212" s="51" t="s">
        <v>3203</v>
      </c>
      <c r="D212" s="51" t="s">
        <v>441</v>
      </c>
      <c r="E212" s="51" t="s">
        <v>1857</v>
      </c>
      <c r="F212" s="51">
        <v>2</v>
      </c>
      <c r="G212" s="51" t="s">
        <v>106</v>
      </c>
      <c r="H212" s="51">
        <v>17</v>
      </c>
      <c r="I212" s="51">
        <f t="shared" si="73"/>
        <v>34</v>
      </c>
      <c r="J212" s="51">
        <f t="shared" si="74"/>
        <v>250</v>
      </c>
      <c r="K212" s="51">
        <f t="shared" si="77"/>
        <v>93</v>
      </c>
      <c r="L212" s="51">
        <f t="shared" si="75"/>
        <v>285</v>
      </c>
      <c r="M212" s="51">
        <f t="shared" si="76"/>
        <v>17</v>
      </c>
      <c r="N212" s="53" t="b">
        <f t="shared" si="59"/>
        <v>0</v>
      </c>
      <c r="O212" s="53" t="b">
        <f t="shared" si="60"/>
        <v>1</v>
      </c>
      <c r="P212" s="53" t="str">
        <f t="shared" si="61"/>
        <v>bags2</v>
      </c>
      <c r="Q212" s="68" t="str">
        <f t="shared" si="62"/>
        <v>250
C006552</v>
      </c>
      <c r="R212" s="53" t="b">
        <f t="shared" si="63"/>
        <v>0</v>
      </c>
      <c r="S212" s="53"/>
      <c r="T212" s="53" t="str">
        <f t="shared" si="64"/>
        <v>BAGS</v>
      </c>
      <c r="U212" s="53" t="str">
        <f t="shared" si="65"/>
        <v>bags</v>
      </c>
      <c r="V212" s="53">
        <f t="shared" si="66"/>
        <v>1</v>
      </c>
      <c r="W212" s="53" t="str">
        <f t="shared" si="67"/>
        <v>bags 2</v>
      </c>
      <c r="X212" s="53" t="str">
        <f t="shared" si="68"/>
        <v>285</v>
      </c>
      <c r="Y212" s="53" t="str">
        <f t="shared" si="69"/>
        <v xml:space="preserve">250
</v>
      </c>
      <c r="Z212" s="53" t="str">
        <f t="shared" si="70"/>
        <v>6552</v>
      </c>
      <c r="AA212" s="53">
        <f t="shared" si="71"/>
        <v>5</v>
      </c>
      <c r="AB212" s="53">
        <f t="shared" si="72"/>
        <v>4</v>
      </c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</row>
    <row r="213" spans="1:41" ht="30" x14ac:dyDescent="0.25">
      <c r="A213" s="51" t="s">
        <v>101</v>
      </c>
      <c r="B213" s="51" t="s">
        <v>3204</v>
      </c>
      <c r="C213" s="51" t="s">
        <v>3205</v>
      </c>
      <c r="D213" s="51" t="s">
        <v>227</v>
      </c>
      <c r="E213" s="51" t="s">
        <v>3206</v>
      </c>
      <c r="F213" s="51">
        <v>3</v>
      </c>
      <c r="G213" s="51" t="s">
        <v>13</v>
      </c>
      <c r="H213" s="51">
        <v>12</v>
      </c>
      <c r="I213" s="51">
        <f t="shared" si="73"/>
        <v>36</v>
      </c>
      <c r="J213" s="51">
        <f t="shared" si="74"/>
        <v>246</v>
      </c>
      <c r="K213" s="51">
        <f t="shared" si="77"/>
        <v>91</v>
      </c>
      <c r="L213" s="51">
        <f t="shared" si="75"/>
        <v>2079.5</v>
      </c>
      <c r="M213" s="51">
        <f t="shared" si="76"/>
        <v>107</v>
      </c>
      <c r="N213" s="53" t="b">
        <f t="shared" si="59"/>
        <v>0</v>
      </c>
      <c r="O213" s="53" t="b">
        <f t="shared" si="60"/>
        <v>1</v>
      </c>
      <c r="P213" s="53" t="str">
        <f t="shared" si="61"/>
        <v>ct3</v>
      </c>
      <c r="Q213" s="68" t="str">
        <f t="shared" si="62"/>
        <v>246
C004970</v>
      </c>
      <c r="R213" s="53" t="b">
        <f t="shared" si="63"/>
        <v>0</v>
      </c>
      <c r="S213" s="53"/>
      <c r="T213" s="53" t="str">
        <f t="shared" si="64"/>
        <v>CT</v>
      </c>
      <c r="U213" s="53" t="str">
        <f t="shared" si="65"/>
        <v>ct</v>
      </c>
      <c r="V213" s="53">
        <f t="shared" si="66"/>
        <v>1</v>
      </c>
      <c r="W213" s="53" t="str">
        <f t="shared" si="67"/>
        <v>ct 3</v>
      </c>
      <c r="X213" s="53" t="str">
        <f t="shared" si="68"/>
        <v>2879.5</v>
      </c>
      <c r="Y213" s="53" t="str">
        <f t="shared" si="69"/>
        <v xml:space="preserve">246
</v>
      </c>
      <c r="Z213" s="53" t="str">
        <f t="shared" si="70"/>
        <v>4970</v>
      </c>
      <c r="AA213" s="53">
        <f t="shared" si="71"/>
        <v>5</v>
      </c>
      <c r="AB213" s="53">
        <f t="shared" si="72"/>
        <v>4</v>
      </c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</row>
    <row r="214" spans="1:41" ht="30" x14ac:dyDescent="0.25">
      <c r="A214" s="51" t="s">
        <v>71</v>
      </c>
      <c r="B214" s="51" t="s">
        <v>3207</v>
      </c>
      <c r="C214" s="51" t="s">
        <v>3208</v>
      </c>
      <c r="D214" s="51" t="s">
        <v>1054</v>
      </c>
      <c r="E214" s="51" t="s">
        <v>3209</v>
      </c>
      <c r="F214" s="51">
        <v>7</v>
      </c>
      <c r="G214" s="51" t="s">
        <v>60</v>
      </c>
      <c r="H214" s="51">
        <v>23</v>
      </c>
      <c r="I214" s="51">
        <f t="shared" si="73"/>
        <v>161</v>
      </c>
      <c r="J214" s="51">
        <f t="shared" si="74"/>
        <v>63</v>
      </c>
      <c r="K214" s="51">
        <f t="shared" si="77"/>
        <v>21</v>
      </c>
      <c r="L214" s="51">
        <f t="shared" si="75"/>
        <v>908</v>
      </c>
      <c r="M214" s="51">
        <f t="shared" si="76"/>
        <v>50</v>
      </c>
      <c r="N214" s="53" t="b">
        <f t="shared" ref="N214:N277" si="78">AND(J214&gt;150, J214&lt;60)</f>
        <v>0</v>
      </c>
      <c r="O214" s="53" t="b">
        <f t="shared" ref="O214:O277" si="79">OR(J214&gt;150,J214&lt;100)</f>
        <v>1</v>
      </c>
      <c r="P214" s="53" t="str">
        <f t="shared" ref="P214:P277" si="80">_xlfn.CONCAT(G214,F214)</f>
        <v>bottles7</v>
      </c>
      <c r="Q214" s="68" t="str">
        <f t="shared" ref="Q214:Q277" si="81">_xlfn.CONCAT(J214,CHAR(10),B214)</f>
        <v>63
C007205</v>
      </c>
      <c r="R214" s="53" t="b">
        <f t="shared" ref="R214:R277" si="82">EXACT(J214,K214)</f>
        <v>0</v>
      </c>
      <c r="S214" s="53"/>
      <c r="T214" s="53" t="str">
        <f t="shared" ref="T214:T277" si="83">UPPER(G214)</f>
        <v>BOTTLES</v>
      </c>
      <c r="U214" s="53" t="str">
        <f t="shared" ref="U214:U277" si="84">LOWER(G214)</f>
        <v>bottles</v>
      </c>
      <c r="V214" s="53">
        <f t="shared" ref="V214:V277" si="85">SEARCH("T",C214)</f>
        <v>1</v>
      </c>
      <c r="W214" s="53" t="str">
        <f t="shared" ref="W214:W277" si="86">_xlfn.TEXTJOIN(" ",FALSE,G214,F214)</f>
        <v>bottles 7</v>
      </c>
      <c r="X214" s="53" t="str">
        <f t="shared" ref="X214:X277" si="87">SUBSTITUTE(L214,"0",8)</f>
        <v>988</v>
      </c>
      <c r="Y214" s="53" t="str">
        <f t="shared" ref="Y214:Y277" si="88">LEFT(Q214,4)</f>
        <v>63
C</v>
      </c>
      <c r="Z214" s="53" t="str">
        <f t="shared" ref="Z214:Z277" si="89">RIGHT(Q214,4)</f>
        <v>7205</v>
      </c>
      <c r="AA214" s="53">
        <f t="shared" ref="AA214:AA277" si="90">FIND("C",Q214)</f>
        <v>4</v>
      </c>
      <c r="AB214" s="53">
        <f t="shared" ref="AB214:AB277" si="91">LEN(T227)</f>
        <v>4</v>
      </c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</row>
    <row r="215" spans="1:41" ht="30" x14ac:dyDescent="0.25">
      <c r="A215" s="51" t="s">
        <v>459</v>
      </c>
      <c r="B215" s="51" t="s">
        <v>3210</v>
      </c>
      <c r="C215" s="51" t="s">
        <v>3211</v>
      </c>
      <c r="D215" s="51" t="s">
        <v>374</v>
      </c>
      <c r="E215" s="51" t="s">
        <v>3212</v>
      </c>
      <c r="F215" s="51">
        <v>10</v>
      </c>
      <c r="G215" s="51" t="s">
        <v>60</v>
      </c>
      <c r="H215" s="51">
        <v>20</v>
      </c>
      <c r="I215" s="51">
        <f t="shared" si="73"/>
        <v>200</v>
      </c>
      <c r="J215" s="51">
        <f t="shared" si="74"/>
        <v>30</v>
      </c>
      <c r="K215" s="51">
        <f t="shared" si="77"/>
        <v>12</v>
      </c>
      <c r="L215" s="51">
        <f t="shared" si="75"/>
        <v>908</v>
      </c>
      <c r="M215" s="51">
        <f t="shared" si="76"/>
        <v>50</v>
      </c>
      <c r="N215" s="53" t="b">
        <f t="shared" si="78"/>
        <v>0</v>
      </c>
      <c r="O215" s="53" t="b">
        <f t="shared" si="79"/>
        <v>1</v>
      </c>
      <c r="P215" s="53" t="str">
        <f t="shared" si="80"/>
        <v>bottles10</v>
      </c>
      <c r="Q215" s="68" t="str">
        <f t="shared" si="81"/>
        <v>30
C000044</v>
      </c>
      <c r="R215" s="53" t="b">
        <f t="shared" si="82"/>
        <v>0</v>
      </c>
      <c r="S215" s="53"/>
      <c r="T215" s="53" t="str">
        <f t="shared" si="83"/>
        <v>BOTTLES</v>
      </c>
      <c r="U215" s="53" t="str">
        <f t="shared" si="84"/>
        <v>bottles</v>
      </c>
      <c r="V215" s="53">
        <f t="shared" si="85"/>
        <v>1</v>
      </c>
      <c r="W215" s="53" t="str">
        <f t="shared" si="86"/>
        <v>bottles 10</v>
      </c>
      <c r="X215" s="53" t="str">
        <f t="shared" si="87"/>
        <v>988</v>
      </c>
      <c r="Y215" s="53" t="str">
        <f t="shared" si="88"/>
        <v>30
C</v>
      </c>
      <c r="Z215" s="53" t="str">
        <f t="shared" si="89"/>
        <v>0044</v>
      </c>
      <c r="AA215" s="53">
        <f t="shared" si="90"/>
        <v>4</v>
      </c>
      <c r="AB215" s="53">
        <f t="shared" si="91"/>
        <v>2</v>
      </c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</row>
    <row r="216" spans="1:41" ht="30" x14ac:dyDescent="0.25">
      <c r="A216" s="51" t="s">
        <v>107</v>
      </c>
      <c r="B216" s="51" t="s">
        <v>3213</v>
      </c>
      <c r="C216" s="51" t="s">
        <v>3214</v>
      </c>
      <c r="D216" s="51" t="s">
        <v>1433</v>
      </c>
      <c r="E216" s="51" t="s">
        <v>3215</v>
      </c>
      <c r="F216" s="51">
        <v>9</v>
      </c>
      <c r="G216" s="51" t="s">
        <v>13</v>
      </c>
      <c r="H216" s="51">
        <v>13</v>
      </c>
      <c r="I216" s="51">
        <f t="shared" si="73"/>
        <v>117</v>
      </c>
      <c r="J216" s="51">
        <f t="shared" si="74"/>
        <v>118</v>
      </c>
      <c r="K216" s="51">
        <f t="shared" si="77"/>
        <v>41</v>
      </c>
      <c r="L216" s="51">
        <f t="shared" si="75"/>
        <v>2079.5</v>
      </c>
      <c r="M216" s="51">
        <f t="shared" si="76"/>
        <v>107</v>
      </c>
      <c r="N216" s="53" t="b">
        <f t="shared" si="78"/>
        <v>0</v>
      </c>
      <c r="O216" s="53" t="b">
        <f t="shared" si="79"/>
        <v>0</v>
      </c>
      <c r="P216" s="53" t="str">
        <f t="shared" si="80"/>
        <v>ct9</v>
      </c>
      <c r="Q216" s="68" t="str">
        <f t="shared" si="81"/>
        <v>118
C006229</v>
      </c>
      <c r="R216" s="53" t="b">
        <f t="shared" si="82"/>
        <v>0</v>
      </c>
      <c r="S216" s="53"/>
      <c r="T216" s="53" t="str">
        <f t="shared" si="83"/>
        <v>CT</v>
      </c>
      <c r="U216" s="53" t="str">
        <f t="shared" si="84"/>
        <v>ct</v>
      </c>
      <c r="V216" s="53">
        <f t="shared" si="85"/>
        <v>1</v>
      </c>
      <c r="W216" s="53" t="str">
        <f t="shared" si="86"/>
        <v>ct 9</v>
      </c>
      <c r="X216" s="53" t="str">
        <f t="shared" si="87"/>
        <v>2879.5</v>
      </c>
      <c r="Y216" s="53" t="str">
        <f t="shared" si="88"/>
        <v xml:space="preserve">118
</v>
      </c>
      <c r="Z216" s="53" t="str">
        <f t="shared" si="89"/>
        <v>6229</v>
      </c>
      <c r="AA216" s="53">
        <f t="shared" si="90"/>
        <v>5</v>
      </c>
      <c r="AB216" s="53">
        <f t="shared" si="91"/>
        <v>2</v>
      </c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</row>
    <row r="217" spans="1:41" ht="30" x14ac:dyDescent="0.25">
      <c r="A217" s="51" t="s">
        <v>14</v>
      </c>
      <c r="B217" s="51" t="s">
        <v>3216</v>
      </c>
      <c r="C217" s="51" t="s">
        <v>3217</v>
      </c>
      <c r="D217" s="51" t="s">
        <v>465</v>
      </c>
      <c r="E217" s="51" t="s">
        <v>786</v>
      </c>
      <c r="F217" s="51">
        <v>2</v>
      </c>
      <c r="G217" s="51" t="s">
        <v>167</v>
      </c>
      <c r="H217" s="51">
        <v>20</v>
      </c>
      <c r="I217" s="51">
        <f t="shared" si="73"/>
        <v>40</v>
      </c>
      <c r="J217" s="51">
        <f t="shared" si="74"/>
        <v>242</v>
      </c>
      <c r="K217" s="51">
        <f t="shared" si="77"/>
        <v>85</v>
      </c>
      <c r="L217" s="51">
        <f t="shared" si="75"/>
        <v>307</v>
      </c>
      <c r="M217" s="51">
        <f t="shared" si="76"/>
        <v>19</v>
      </c>
      <c r="N217" s="53" t="b">
        <f t="shared" si="78"/>
        <v>0</v>
      </c>
      <c r="O217" s="53" t="b">
        <f t="shared" si="79"/>
        <v>1</v>
      </c>
      <c r="P217" s="53" t="str">
        <f t="shared" si="80"/>
        <v>oz2</v>
      </c>
      <c r="Q217" s="68" t="str">
        <f t="shared" si="81"/>
        <v>242
C004745</v>
      </c>
      <c r="R217" s="53" t="b">
        <f t="shared" si="82"/>
        <v>0</v>
      </c>
      <c r="S217" s="53"/>
      <c r="T217" s="53" t="str">
        <f t="shared" si="83"/>
        <v>OZ</v>
      </c>
      <c r="U217" s="53" t="str">
        <f t="shared" si="84"/>
        <v>oz</v>
      </c>
      <c r="V217" s="53">
        <f t="shared" si="85"/>
        <v>1</v>
      </c>
      <c r="W217" s="53" t="str">
        <f t="shared" si="86"/>
        <v>oz 2</v>
      </c>
      <c r="X217" s="53" t="str">
        <f t="shared" si="87"/>
        <v>387</v>
      </c>
      <c r="Y217" s="53" t="str">
        <f t="shared" si="88"/>
        <v xml:space="preserve">242
</v>
      </c>
      <c r="Z217" s="53" t="str">
        <f t="shared" si="89"/>
        <v>4745</v>
      </c>
      <c r="AA217" s="53">
        <f t="shared" si="90"/>
        <v>5</v>
      </c>
      <c r="AB217" s="53">
        <f t="shared" si="91"/>
        <v>4</v>
      </c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</row>
    <row r="218" spans="1:41" ht="30" x14ac:dyDescent="0.25">
      <c r="A218" s="51" t="s">
        <v>218</v>
      </c>
      <c r="B218" s="51" t="s">
        <v>3218</v>
      </c>
      <c r="C218" s="51" t="s">
        <v>3219</v>
      </c>
      <c r="D218" s="51" t="s">
        <v>58</v>
      </c>
      <c r="E218" s="51" t="s">
        <v>3162</v>
      </c>
      <c r="F218" s="51">
        <v>8</v>
      </c>
      <c r="G218" s="51" t="s">
        <v>60</v>
      </c>
      <c r="H218" s="51">
        <v>22</v>
      </c>
      <c r="I218" s="51">
        <f t="shared" si="73"/>
        <v>176</v>
      </c>
      <c r="J218" s="51">
        <f t="shared" si="74"/>
        <v>48.5</v>
      </c>
      <c r="K218" s="51">
        <f t="shared" si="77"/>
        <v>17</v>
      </c>
      <c r="L218" s="51">
        <f t="shared" si="75"/>
        <v>908</v>
      </c>
      <c r="M218" s="51">
        <f t="shared" si="76"/>
        <v>50</v>
      </c>
      <c r="N218" s="53" t="b">
        <f t="shared" si="78"/>
        <v>0</v>
      </c>
      <c r="O218" s="53" t="b">
        <f t="shared" si="79"/>
        <v>1</v>
      </c>
      <c r="P218" s="53" t="str">
        <f t="shared" si="80"/>
        <v>bottles8</v>
      </c>
      <c r="Q218" s="68" t="str">
        <f t="shared" si="81"/>
        <v>48.5
C001238</v>
      </c>
      <c r="R218" s="53" t="b">
        <f t="shared" si="82"/>
        <v>0</v>
      </c>
      <c r="S218" s="53"/>
      <c r="T218" s="53" t="str">
        <f t="shared" si="83"/>
        <v>BOTTLES</v>
      </c>
      <c r="U218" s="53" t="str">
        <f t="shared" si="84"/>
        <v>bottles</v>
      </c>
      <c r="V218" s="53">
        <f t="shared" si="85"/>
        <v>1</v>
      </c>
      <c r="W218" s="53" t="str">
        <f t="shared" si="86"/>
        <v>bottles 8</v>
      </c>
      <c r="X218" s="53" t="str">
        <f t="shared" si="87"/>
        <v>988</v>
      </c>
      <c r="Y218" s="53" t="str">
        <f t="shared" si="88"/>
        <v>48.5</v>
      </c>
      <c r="Z218" s="53" t="str">
        <f t="shared" si="89"/>
        <v>1238</v>
      </c>
      <c r="AA218" s="53">
        <f t="shared" si="90"/>
        <v>6</v>
      </c>
      <c r="AB218" s="53">
        <f t="shared" si="91"/>
        <v>5</v>
      </c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</row>
    <row r="219" spans="1:41" ht="30" x14ac:dyDescent="0.25">
      <c r="A219" s="51" t="s">
        <v>71</v>
      </c>
      <c r="B219" s="51" t="s">
        <v>3220</v>
      </c>
      <c r="C219" s="51" t="s">
        <v>3221</v>
      </c>
      <c r="D219" s="51" t="s">
        <v>1589</v>
      </c>
      <c r="E219" s="51" t="s">
        <v>1125</v>
      </c>
      <c r="F219" s="51">
        <v>10</v>
      </c>
      <c r="G219" s="51" t="s">
        <v>269</v>
      </c>
      <c r="H219" s="51">
        <v>14</v>
      </c>
      <c r="I219" s="51">
        <f t="shared" si="73"/>
        <v>140</v>
      </c>
      <c r="J219" s="51">
        <f t="shared" si="74"/>
        <v>91</v>
      </c>
      <c r="K219" s="51">
        <f t="shared" si="77"/>
        <v>27</v>
      </c>
      <c r="L219" s="51">
        <f t="shared" si="75"/>
        <v>123</v>
      </c>
      <c r="M219" s="51">
        <f t="shared" si="76"/>
        <v>9</v>
      </c>
      <c r="N219" s="53" t="b">
        <f t="shared" si="78"/>
        <v>0</v>
      </c>
      <c r="O219" s="53" t="b">
        <f t="shared" si="79"/>
        <v>1</v>
      </c>
      <c r="P219" s="53" t="str">
        <f t="shared" si="80"/>
        <v>ct.10</v>
      </c>
      <c r="Q219" s="68" t="str">
        <f t="shared" si="81"/>
        <v>91
C007284</v>
      </c>
      <c r="R219" s="53" t="b">
        <f t="shared" si="82"/>
        <v>0</v>
      </c>
      <c r="S219" s="53"/>
      <c r="T219" s="53" t="str">
        <f t="shared" si="83"/>
        <v>CT.</v>
      </c>
      <c r="U219" s="53" t="str">
        <f t="shared" si="84"/>
        <v>ct.</v>
      </c>
      <c r="V219" s="53">
        <f t="shared" si="85"/>
        <v>1</v>
      </c>
      <c r="W219" s="53" t="str">
        <f t="shared" si="86"/>
        <v>ct. 10</v>
      </c>
      <c r="X219" s="53" t="str">
        <f t="shared" si="87"/>
        <v>123</v>
      </c>
      <c r="Y219" s="53" t="str">
        <f t="shared" si="88"/>
        <v>91
C</v>
      </c>
      <c r="Z219" s="53" t="str">
        <f t="shared" si="89"/>
        <v>7284</v>
      </c>
      <c r="AA219" s="53">
        <f t="shared" si="90"/>
        <v>4</v>
      </c>
      <c r="AB219" s="53">
        <f t="shared" si="91"/>
        <v>2</v>
      </c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</row>
    <row r="220" spans="1:41" ht="30" x14ac:dyDescent="0.25">
      <c r="A220" s="51" t="s">
        <v>76</v>
      </c>
      <c r="B220" s="51" t="s">
        <v>2887</v>
      </c>
      <c r="C220" s="51" t="s">
        <v>3222</v>
      </c>
      <c r="D220" s="51" t="s">
        <v>1196</v>
      </c>
      <c r="E220" s="51" t="s">
        <v>808</v>
      </c>
      <c r="F220" s="51">
        <v>1</v>
      </c>
      <c r="G220" s="51" t="s">
        <v>35</v>
      </c>
      <c r="H220" s="51">
        <v>6.75</v>
      </c>
      <c r="I220" s="51">
        <f t="shared" si="73"/>
        <v>6.75</v>
      </c>
      <c r="J220" s="51">
        <f t="shared" si="74"/>
        <v>300</v>
      </c>
      <c r="K220" s="51">
        <f t="shared" si="77"/>
        <v>103</v>
      </c>
      <c r="L220" s="51">
        <f t="shared" si="75"/>
        <v>1010.75</v>
      </c>
      <c r="M220" s="51">
        <f t="shared" si="76"/>
        <v>59</v>
      </c>
      <c r="N220" s="53" t="b">
        <f t="shared" si="78"/>
        <v>0</v>
      </c>
      <c r="O220" s="53" t="b">
        <f t="shared" si="79"/>
        <v>1</v>
      </c>
      <c r="P220" s="53" t="str">
        <f t="shared" si="80"/>
        <v>cans1</v>
      </c>
      <c r="Q220" s="68" t="str">
        <f t="shared" si="81"/>
        <v>300
C002592</v>
      </c>
      <c r="R220" s="53" t="b">
        <f t="shared" si="82"/>
        <v>0</v>
      </c>
      <c r="S220" s="53"/>
      <c r="T220" s="53" t="str">
        <f t="shared" si="83"/>
        <v>CANS</v>
      </c>
      <c r="U220" s="53" t="str">
        <f t="shared" si="84"/>
        <v>cans</v>
      </c>
      <c r="V220" s="53">
        <f t="shared" si="85"/>
        <v>1</v>
      </c>
      <c r="W220" s="53" t="str">
        <f t="shared" si="86"/>
        <v>cans 1</v>
      </c>
      <c r="X220" s="53" t="str">
        <f t="shared" si="87"/>
        <v>1818.75</v>
      </c>
      <c r="Y220" s="53" t="str">
        <f t="shared" si="88"/>
        <v xml:space="preserve">300
</v>
      </c>
      <c r="Z220" s="53" t="str">
        <f t="shared" si="89"/>
        <v>2592</v>
      </c>
      <c r="AA220" s="53">
        <f t="shared" si="90"/>
        <v>5</v>
      </c>
      <c r="AB220" s="53">
        <f t="shared" si="91"/>
        <v>7</v>
      </c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</row>
    <row r="221" spans="1:41" ht="30" x14ac:dyDescent="0.25">
      <c r="A221" s="51" t="s">
        <v>14</v>
      </c>
      <c r="B221" s="51" t="s">
        <v>3223</v>
      </c>
      <c r="C221" s="51" t="s">
        <v>3224</v>
      </c>
      <c r="D221" s="51" t="s">
        <v>1413</v>
      </c>
      <c r="E221" s="51" t="s">
        <v>2687</v>
      </c>
      <c r="F221" s="51">
        <v>6</v>
      </c>
      <c r="G221" s="51" t="s">
        <v>13</v>
      </c>
      <c r="H221" s="51">
        <v>14</v>
      </c>
      <c r="I221" s="51">
        <f t="shared" si="73"/>
        <v>84</v>
      </c>
      <c r="J221" s="51">
        <f t="shared" si="74"/>
        <v>158</v>
      </c>
      <c r="K221" s="51">
        <f t="shared" si="77"/>
        <v>51</v>
      </c>
      <c r="L221" s="51">
        <f t="shared" si="75"/>
        <v>2079.5</v>
      </c>
      <c r="M221" s="51">
        <f t="shared" si="76"/>
        <v>107</v>
      </c>
      <c r="N221" s="53" t="b">
        <f t="shared" si="78"/>
        <v>0</v>
      </c>
      <c r="O221" s="53" t="b">
        <f t="shared" si="79"/>
        <v>1</v>
      </c>
      <c r="P221" s="53" t="str">
        <f t="shared" si="80"/>
        <v>ct6</v>
      </c>
      <c r="Q221" s="68" t="str">
        <f t="shared" si="81"/>
        <v>158
C007192</v>
      </c>
      <c r="R221" s="53" t="b">
        <f t="shared" si="82"/>
        <v>0</v>
      </c>
      <c r="S221" s="53"/>
      <c r="T221" s="53" t="str">
        <f t="shared" si="83"/>
        <v>CT</v>
      </c>
      <c r="U221" s="53" t="str">
        <f t="shared" si="84"/>
        <v>ct</v>
      </c>
      <c r="V221" s="53">
        <f t="shared" si="85"/>
        <v>1</v>
      </c>
      <c r="W221" s="53" t="str">
        <f t="shared" si="86"/>
        <v>ct 6</v>
      </c>
      <c r="X221" s="53" t="str">
        <f t="shared" si="87"/>
        <v>2879.5</v>
      </c>
      <c r="Y221" s="53" t="str">
        <f t="shared" si="88"/>
        <v xml:space="preserve">158
</v>
      </c>
      <c r="Z221" s="53" t="str">
        <f t="shared" si="89"/>
        <v>7192</v>
      </c>
      <c r="AA221" s="53">
        <f t="shared" si="90"/>
        <v>5</v>
      </c>
      <c r="AB221" s="53">
        <f t="shared" si="91"/>
        <v>2</v>
      </c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</row>
    <row r="222" spans="1:41" ht="30" x14ac:dyDescent="0.25">
      <c r="A222" s="51" t="s">
        <v>743</v>
      </c>
      <c r="B222" s="51" t="s">
        <v>3225</v>
      </c>
      <c r="C222" s="51" t="s">
        <v>3226</v>
      </c>
      <c r="D222" s="51" t="s">
        <v>1954</v>
      </c>
      <c r="E222" s="51" t="s">
        <v>545</v>
      </c>
      <c r="F222" s="51">
        <v>10</v>
      </c>
      <c r="G222" s="51" t="s">
        <v>904</v>
      </c>
      <c r="H222" s="51">
        <v>20</v>
      </c>
      <c r="I222" s="51">
        <f t="shared" si="73"/>
        <v>200</v>
      </c>
      <c r="J222" s="51">
        <f t="shared" si="74"/>
        <v>30</v>
      </c>
      <c r="K222" s="51">
        <f t="shared" si="77"/>
        <v>12</v>
      </c>
      <c r="L222" s="51">
        <f t="shared" si="75"/>
        <v>223</v>
      </c>
      <c r="M222" s="51">
        <f t="shared" si="76"/>
        <v>10</v>
      </c>
      <c r="N222" s="53" t="b">
        <f t="shared" si="78"/>
        <v>0</v>
      </c>
      <c r="O222" s="53" t="b">
        <f t="shared" si="79"/>
        <v>1</v>
      </c>
      <c r="P222" s="53" t="str">
        <f t="shared" si="80"/>
        <v>bars10</v>
      </c>
      <c r="Q222" s="68" t="str">
        <f t="shared" si="81"/>
        <v>30
C007328</v>
      </c>
      <c r="R222" s="53" t="b">
        <f t="shared" si="82"/>
        <v>0</v>
      </c>
      <c r="S222" s="53"/>
      <c r="T222" s="53" t="str">
        <f t="shared" si="83"/>
        <v>BARS</v>
      </c>
      <c r="U222" s="53" t="str">
        <f t="shared" si="84"/>
        <v>bars</v>
      </c>
      <c r="V222" s="53">
        <f t="shared" si="85"/>
        <v>1</v>
      </c>
      <c r="W222" s="53" t="str">
        <f t="shared" si="86"/>
        <v>bars 10</v>
      </c>
      <c r="X222" s="53" t="str">
        <f t="shared" si="87"/>
        <v>223</v>
      </c>
      <c r="Y222" s="53" t="str">
        <f t="shared" si="88"/>
        <v>30
C</v>
      </c>
      <c r="Z222" s="53" t="str">
        <f t="shared" si="89"/>
        <v>7328</v>
      </c>
      <c r="AA222" s="53">
        <f t="shared" si="90"/>
        <v>4</v>
      </c>
      <c r="AB222" s="53">
        <f t="shared" si="91"/>
        <v>2</v>
      </c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</row>
    <row r="223" spans="1:41" ht="30" x14ac:dyDescent="0.25">
      <c r="A223" s="51" t="s">
        <v>283</v>
      </c>
      <c r="B223" s="51" t="s">
        <v>3227</v>
      </c>
      <c r="C223" s="51" t="s">
        <v>3228</v>
      </c>
      <c r="D223" s="51" t="s">
        <v>1216</v>
      </c>
      <c r="E223" s="51" t="s">
        <v>2241</v>
      </c>
      <c r="F223" s="51">
        <v>2</v>
      </c>
      <c r="G223" s="51" t="s">
        <v>35</v>
      </c>
      <c r="H223" s="51">
        <v>37</v>
      </c>
      <c r="I223" s="51">
        <f t="shared" si="73"/>
        <v>74</v>
      </c>
      <c r="J223" s="51">
        <f t="shared" si="74"/>
        <v>178</v>
      </c>
      <c r="K223" s="51">
        <f t="shared" si="77"/>
        <v>58</v>
      </c>
      <c r="L223" s="51">
        <f t="shared" si="75"/>
        <v>1010.75</v>
      </c>
      <c r="M223" s="51">
        <f t="shared" si="76"/>
        <v>59</v>
      </c>
      <c r="N223" s="53" t="b">
        <f t="shared" si="78"/>
        <v>0</v>
      </c>
      <c r="O223" s="53" t="b">
        <f t="shared" si="79"/>
        <v>1</v>
      </c>
      <c r="P223" s="53" t="str">
        <f t="shared" si="80"/>
        <v>cans2</v>
      </c>
      <c r="Q223" s="68" t="str">
        <f t="shared" si="81"/>
        <v>178
C007684</v>
      </c>
      <c r="R223" s="53" t="b">
        <f t="shared" si="82"/>
        <v>0</v>
      </c>
      <c r="S223" s="53"/>
      <c r="T223" s="53" t="str">
        <f t="shared" si="83"/>
        <v>CANS</v>
      </c>
      <c r="U223" s="53" t="str">
        <f t="shared" si="84"/>
        <v>cans</v>
      </c>
      <c r="V223" s="53">
        <f t="shared" si="85"/>
        <v>1</v>
      </c>
      <c r="W223" s="53" t="str">
        <f t="shared" si="86"/>
        <v>cans 2</v>
      </c>
      <c r="X223" s="53" t="str">
        <f t="shared" si="87"/>
        <v>1818.75</v>
      </c>
      <c r="Y223" s="53" t="str">
        <f t="shared" si="88"/>
        <v xml:space="preserve">178
</v>
      </c>
      <c r="Z223" s="53" t="str">
        <f t="shared" si="89"/>
        <v>7684</v>
      </c>
      <c r="AA223" s="53">
        <f t="shared" si="90"/>
        <v>5</v>
      </c>
      <c r="AB223" s="53">
        <f t="shared" si="91"/>
        <v>4</v>
      </c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</row>
    <row r="224" spans="1:41" ht="30" x14ac:dyDescent="0.25">
      <c r="A224" s="51" t="s">
        <v>519</v>
      </c>
      <c r="B224" s="51" t="s">
        <v>3229</v>
      </c>
      <c r="C224" s="51" t="s">
        <v>3230</v>
      </c>
      <c r="D224" s="51" t="s">
        <v>1563</v>
      </c>
      <c r="E224" s="51" t="s">
        <v>1272</v>
      </c>
      <c r="F224" s="51">
        <v>1</v>
      </c>
      <c r="G224" s="51" t="s">
        <v>35</v>
      </c>
      <c r="H224" s="51">
        <v>6.75</v>
      </c>
      <c r="I224" s="51">
        <f t="shared" si="73"/>
        <v>6.75</v>
      </c>
      <c r="J224" s="51">
        <f t="shared" si="74"/>
        <v>300</v>
      </c>
      <c r="K224" s="51">
        <f t="shared" si="77"/>
        <v>100</v>
      </c>
      <c r="L224" s="51">
        <f t="shared" si="75"/>
        <v>1010.75</v>
      </c>
      <c r="M224" s="51">
        <f t="shared" si="76"/>
        <v>59</v>
      </c>
      <c r="N224" s="53" t="b">
        <f t="shared" si="78"/>
        <v>0</v>
      </c>
      <c r="O224" s="53" t="b">
        <f t="shared" si="79"/>
        <v>1</v>
      </c>
      <c r="P224" s="53" t="str">
        <f t="shared" si="80"/>
        <v>cans1</v>
      </c>
      <c r="Q224" s="68" t="str">
        <f t="shared" si="81"/>
        <v>300
C008382</v>
      </c>
      <c r="R224" s="53" t="b">
        <f t="shared" si="82"/>
        <v>0</v>
      </c>
      <c r="S224" s="53"/>
      <c r="T224" s="53" t="str">
        <f t="shared" si="83"/>
        <v>CANS</v>
      </c>
      <c r="U224" s="53" t="str">
        <f t="shared" si="84"/>
        <v>cans</v>
      </c>
      <c r="V224" s="53">
        <f t="shared" si="85"/>
        <v>1</v>
      </c>
      <c r="W224" s="53" t="str">
        <f t="shared" si="86"/>
        <v>cans 1</v>
      </c>
      <c r="X224" s="53" t="str">
        <f t="shared" si="87"/>
        <v>1818.75</v>
      </c>
      <c r="Y224" s="53" t="str">
        <f t="shared" si="88"/>
        <v xml:space="preserve">300
</v>
      </c>
      <c r="Z224" s="53" t="str">
        <f t="shared" si="89"/>
        <v>8382</v>
      </c>
      <c r="AA224" s="53">
        <f t="shared" si="90"/>
        <v>5</v>
      </c>
      <c r="AB224" s="53">
        <f t="shared" si="91"/>
        <v>4</v>
      </c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</row>
    <row r="225" spans="1:41" ht="30" x14ac:dyDescent="0.25">
      <c r="A225" s="51" t="s">
        <v>61</v>
      </c>
      <c r="B225" s="51" t="s">
        <v>2373</v>
      </c>
      <c r="C225" s="51" t="s">
        <v>3231</v>
      </c>
      <c r="D225" s="51" t="s">
        <v>644</v>
      </c>
      <c r="E225" s="51" t="s">
        <v>1164</v>
      </c>
      <c r="F225" s="51">
        <v>3</v>
      </c>
      <c r="G225" s="51" t="s">
        <v>106</v>
      </c>
      <c r="H225" s="51">
        <v>21</v>
      </c>
      <c r="I225" s="51">
        <f t="shared" si="73"/>
        <v>63</v>
      </c>
      <c r="J225" s="51">
        <f t="shared" si="74"/>
        <v>202</v>
      </c>
      <c r="K225" s="51">
        <f t="shared" si="77"/>
        <v>64</v>
      </c>
      <c r="L225" s="51">
        <f t="shared" si="75"/>
        <v>285</v>
      </c>
      <c r="M225" s="51">
        <f t="shared" si="76"/>
        <v>17</v>
      </c>
      <c r="N225" s="53" t="b">
        <f t="shared" si="78"/>
        <v>0</v>
      </c>
      <c r="O225" s="53" t="b">
        <f t="shared" si="79"/>
        <v>1</v>
      </c>
      <c r="P225" s="53" t="str">
        <f t="shared" si="80"/>
        <v>bags3</v>
      </c>
      <c r="Q225" s="68" t="str">
        <f t="shared" si="81"/>
        <v>202
C006794</v>
      </c>
      <c r="R225" s="53" t="b">
        <f t="shared" si="82"/>
        <v>0</v>
      </c>
      <c r="S225" s="53"/>
      <c r="T225" s="53" t="str">
        <f t="shared" si="83"/>
        <v>BAGS</v>
      </c>
      <c r="U225" s="53" t="str">
        <f t="shared" si="84"/>
        <v>bags</v>
      </c>
      <c r="V225" s="53">
        <f t="shared" si="85"/>
        <v>1</v>
      </c>
      <c r="W225" s="53" t="str">
        <f t="shared" si="86"/>
        <v>bags 3</v>
      </c>
      <c r="X225" s="53" t="str">
        <f t="shared" si="87"/>
        <v>285</v>
      </c>
      <c r="Y225" s="53" t="str">
        <f t="shared" si="88"/>
        <v xml:space="preserve">202
</v>
      </c>
      <c r="Z225" s="53" t="str">
        <f t="shared" si="89"/>
        <v>6794</v>
      </c>
      <c r="AA225" s="53">
        <f t="shared" si="90"/>
        <v>5</v>
      </c>
      <c r="AB225" s="53">
        <f t="shared" si="91"/>
        <v>4</v>
      </c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</row>
    <row r="226" spans="1:41" ht="30" x14ac:dyDescent="0.25">
      <c r="A226" s="51" t="s">
        <v>8</v>
      </c>
      <c r="B226" s="51" t="s">
        <v>3232</v>
      </c>
      <c r="C226" s="51" t="s">
        <v>3233</v>
      </c>
      <c r="D226" s="51" t="s">
        <v>1424</v>
      </c>
      <c r="E226" s="51" t="s">
        <v>1184</v>
      </c>
      <c r="F226" s="51">
        <v>6</v>
      </c>
      <c r="G226" s="51" t="s">
        <v>35</v>
      </c>
      <c r="H226" s="51">
        <v>6.75</v>
      </c>
      <c r="I226" s="51">
        <f t="shared" si="73"/>
        <v>40.5</v>
      </c>
      <c r="J226" s="51">
        <f t="shared" si="74"/>
        <v>239</v>
      </c>
      <c r="K226" s="51">
        <f t="shared" si="77"/>
        <v>77</v>
      </c>
      <c r="L226" s="51">
        <f t="shared" si="75"/>
        <v>1010.75</v>
      </c>
      <c r="M226" s="51">
        <f t="shared" si="76"/>
        <v>59</v>
      </c>
      <c r="N226" s="53" t="b">
        <f t="shared" si="78"/>
        <v>0</v>
      </c>
      <c r="O226" s="53" t="b">
        <f t="shared" si="79"/>
        <v>1</v>
      </c>
      <c r="P226" s="53" t="str">
        <f t="shared" si="80"/>
        <v>cans6</v>
      </c>
      <c r="Q226" s="68" t="str">
        <f t="shared" si="81"/>
        <v>239
C004786</v>
      </c>
      <c r="R226" s="53" t="b">
        <f t="shared" si="82"/>
        <v>0</v>
      </c>
      <c r="S226" s="53"/>
      <c r="T226" s="53" t="str">
        <f t="shared" si="83"/>
        <v>CANS</v>
      </c>
      <c r="U226" s="53" t="str">
        <f t="shared" si="84"/>
        <v>cans</v>
      </c>
      <c r="V226" s="53">
        <f t="shared" si="85"/>
        <v>1</v>
      </c>
      <c r="W226" s="53" t="str">
        <f t="shared" si="86"/>
        <v>cans 6</v>
      </c>
      <c r="X226" s="53" t="str">
        <f t="shared" si="87"/>
        <v>1818.75</v>
      </c>
      <c r="Y226" s="53" t="str">
        <f t="shared" si="88"/>
        <v xml:space="preserve">239
</v>
      </c>
      <c r="Z226" s="53" t="str">
        <f t="shared" si="89"/>
        <v>4786</v>
      </c>
      <c r="AA226" s="53">
        <f t="shared" si="90"/>
        <v>5</v>
      </c>
      <c r="AB226" s="53">
        <f t="shared" si="91"/>
        <v>2</v>
      </c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</row>
    <row r="227" spans="1:41" ht="30" x14ac:dyDescent="0.25">
      <c r="A227" s="51" t="s">
        <v>55</v>
      </c>
      <c r="B227" s="51" t="s">
        <v>3234</v>
      </c>
      <c r="C227" s="51" t="s">
        <v>3235</v>
      </c>
      <c r="D227" s="51" t="s">
        <v>1216</v>
      </c>
      <c r="E227" s="51" t="s">
        <v>3236</v>
      </c>
      <c r="F227" s="51">
        <v>4</v>
      </c>
      <c r="G227" s="51" t="s">
        <v>35</v>
      </c>
      <c r="H227" s="51">
        <v>37</v>
      </c>
      <c r="I227" s="51">
        <f t="shared" si="73"/>
        <v>148</v>
      </c>
      <c r="J227" s="51">
        <f t="shared" si="74"/>
        <v>84.5</v>
      </c>
      <c r="K227" s="51">
        <f t="shared" si="77"/>
        <v>23</v>
      </c>
      <c r="L227" s="51">
        <f t="shared" si="75"/>
        <v>1010.75</v>
      </c>
      <c r="M227" s="51">
        <f t="shared" si="76"/>
        <v>59</v>
      </c>
      <c r="N227" s="53" t="b">
        <f t="shared" si="78"/>
        <v>0</v>
      </c>
      <c r="O227" s="53" t="b">
        <f t="shared" si="79"/>
        <v>1</v>
      </c>
      <c r="P227" s="53" t="str">
        <f t="shared" si="80"/>
        <v>cans4</v>
      </c>
      <c r="Q227" s="68" t="str">
        <f t="shared" si="81"/>
        <v>84.5
C006808</v>
      </c>
      <c r="R227" s="53" t="b">
        <f t="shared" si="82"/>
        <v>0</v>
      </c>
      <c r="S227" s="53"/>
      <c r="T227" s="53" t="str">
        <f t="shared" si="83"/>
        <v>CANS</v>
      </c>
      <c r="U227" s="53" t="str">
        <f t="shared" si="84"/>
        <v>cans</v>
      </c>
      <c r="V227" s="53">
        <f t="shared" si="85"/>
        <v>1</v>
      </c>
      <c r="W227" s="53" t="str">
        <f t="shared" si="86"/>
        <v>cans 4</v>
      </c>
      <c r="X227" s="53" t="str">
        <f t="shared" si="87"/>
        <v>1818.75</v>
      </c>
      <c r="Y227" s="53" t="str">
        <f t="shared" si="88"/>
        <v>84.5</v>
      </c>
      <c r="Z227" s="53" t="str">
        <f t="shared" si="89"/>
        <v>6808</v>
      </c>
      <c r="AA227" s="53">
        <f t="shared" si="90"/>
        <v>6</v>
      </c>
      <c r="AB227" s="53">
        <f t="shared" si="91"/>
        <v>2</v>
      </c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</row>
    <row r="228" spans="1:41" ht="30" x14ac:dyDescent="0.25">
      <c r="A228" s="51" t="s">
        <v>743</v>
      </c>
      <c r="B228" s="51" t="s">
        <v>3237</v>
      </c>
      <c r="C228" s="51" t="s">
        <v>3238</v>
      </c>
      <c r="D228" s="51" t="s">
        <v>378</v>
      </c>
      <c r="E228" s="51" t="s">
        <v>1060</v>
      </c>
      <c r="F228" s="51">
        <v>10</v>
      </c>
      <c r="G228" s="51" t="s">
        <v>13</v>
      </c>
      <c r="H228" s="51">
        <v>33</v>
      </c>
      <c r="I228" s="51">
        <f t="shared" si="73"/>
        <v>330</v>
      </c>
      <c r="J228" s="51">
        <f t="shared" si="74"/>
        <v>10</v>
      </c>
      <c r="K228" s="51">
        <f t="shared" si="77"/>
        <v>5</v>
      </c>
      <c r="L228" s="51">
        <f t="shared" si="75"/>
        <v>2079.5</v>
      </c>
      <c r="M228" s="51">
        <f t="shared" si="76"/>
        <v>107</v>
      </c>
      <c r="N228" s="53" t="b">
        <f t="shared" si="78"/>
        <v>0</v>
      </c>
      <c r="O228" s="53" t="b">
        <f t="shared" si="79"/>
        <v>1</v>
      </c>
      <c r="P228" s="53" t="str">
        <f t="shared" si="80"/>
        <v>ct10</v>
      </c>
      <c r="Q228" s="68" t="str">
        <f t="shared" si="81"/>
        <v>10
C005976</v>
      </c>
      <c r="R228" s="53" t="b">
        <f t="shared" si="82"/>
        <v>0</v>
      </c>
      <c r="S228" s="53"/>
      <c r="T228" s="53" t="str">
        <f t="shared" si="83"/>
        <v>CT</v>
      </c>
      <c r="U228" s="53" t="str">
        <f t="shared" si="84"/>
        <v>ct</v>
      </c>
      <c r="V228" s="53">
        <f t="shared" si="85"/>
        <v>1</v>
      </c>
      <c r="W228" s="53" t="str">
        <f t="shared" si="86"/>
        <v>ct 10</v>
      </c>
      <c r="X228" s="53" t="str">
        <f t="shared" si="87"/>
        <v>2879.5</v>
      </c>
      <c r="Y228" s="53" t="str">
        <f t="shared" si="88"/>
        <v>10
C</v>
      </c>
      <c r="Z228" s="53" t="str">
        <f t="shared" si="89"/>
        <v>5976</v>
      </c>
      <c r="AA228" s="53">
        <f t="shared" si="90"/>
        <v>4</v>
      </c>
      <c r="AB228" s="53">
        <f t="shared" si="91"/>
        <v>7</v>
      </c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</row>
    <row r="229" spans="1:41" ht="30" x14ac:dyDescent="0.25">
      <c r="A229" s="51" t="s">
        <v>146</v>
      </c>
      <c r="B229" s="51" t="s">
        <v>3048</v>
      </c>
      <c r="C229" s="51" t="s">
        <v>3239</v>
      </c>
      <c r="D229" s="51" t="s">
        <v>11</v>
      </c>
      <c r="E229" s="51" t="s">
        <v>3240</v>
      </c>
      <c r="F229" s="51">
        <v>11</v>
      </c>
      <c r="G229" s="51" t="s">
        <v>13</v>
      </c>
      <c r="H229" s="51">
        <v>35</v>
      </c>
      <c r="I229" s="51">
        <f t="shared" si="73"/>
        <v>385</v>
      </c>
      <c r="J229" s="51">
        <f t="shared" si="74"/>
        <v>7</v>
      </c>
      <c r="K229" s="51">
        <f t="shared" si="77"/>
        <v>4</v>
      </c>
      <c r="L229" s="51">
        <f t="shared" si="75"/>
        <v>2079.5</v>
      </c>
      <c r="M229" s="51">
        <f t="shared" si="76"/>
        <v>107</v>
      </c>
      <c r="N229" s="53" t="b">
        <f t="shared" si="78"/>
        <v>0</v>
      </c>
      <c r="O229" s="53" t="b">
        <f t="shared" si="79"/>
        <v>1</v>
      </c>
      <c r="P229" s="53" t="str">
        <f t="shared" si="80"/>
        <v>ct11</v>
      </c>
      <c r="Q229" s="68" t="str">
        <f t="shared" si="81"/>
        <v>7
C001188</v>
      </c>
      <c r="R229" s="53" t="b">
        <f t="shared" si="82"/>
        <v>0</v>
      </c>
      <c r="S229" s="53"/>
      <c r="T229" s="53" t="str">
        <f t="shared" si="83"/>
        <v>CT</v>
      </c>
      <c r="U229" s="53" t="str">
        <f t="shared" si="84"/>
        <v>ct</v>
      </c>
      <c r="V229" s="53">
        <f t="shared" si="85"/>
        <v>1</v>
      </c>
      <c r="W229" s="53" t="str">
        <f t="shared" si="86"/>
        <v>ct 11</v>
      </c>
      <c r="X229" s="53" t="str">
        <f t="shared" si="87"/>
        <v>2879.5</v>
      </c>
      <c r="Y229" s="53" t="str">
        <f t="shared" si="88"/>
        <v>7
C0</v>
      </c>
      <c r="Z229" s="53" t="str">
        <f t="shared" si="89"/>
        <v>1188</v>
      </c>
      <c r="AA229" s="53">
        <f t="shared" si="90"/>
        <v>3</v>
      </c>
      <c r="AB229" s="53">
        <f t="shared" si="91"/>
        <v>4</v>
      </c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</row>
    <row r="230" spans="1:41" ht="30" x14ac:dyDescent="0.25">
      <c r="A230" s="51" t="s">
        <v>116</v>
      </c>
      <c r="B230" s="51" t="s">
        <v>3241</v>
      </c>
      <c r="C230" s="51" t="s">
        <v>3242</v>
      </c>
      <c r="D230" s="51" t="s">
        <v>1954</v>
      </c>
      <c r="E230" s="51" t="s">
        <v>3243</v>
      </c>
      <c r="F230" s="51">
        <v>7</v>
      </c>
      <c r="G230" s="51" t="s">
        <v>904</v>
      </c>
      <c r="H230" s="51">
        <v>20</v>
      </c>
      <c r="I230" s="51">
        <f t="shared" si="73"/>
        <v>140</v>
      </c>
      <c r="J230" s="51">
        <f t="shared" si="74"/>
        <v>91</v>
      </c>
      <c r="K230" s="51">
        <f t="shared" si="77"/>
        <v>23</v>
      </c>
      <c r="L230" s="51">
        <f t="shared" si="75"/>
        <v>223</v>
      </c>
      <c r="M230" s="51">
        <f t="shared" si="76"/>
        <v>10</v>
      </c>
      <c r="N230" s="53" t="b">
        <f t="shared" si="78"/>
        <v>0</v>
      </c>
      <c r="O230" s="53" t="b">
        <f t="shared" si="79"/>
        <v>1</v>
      </c>
      <c r="P230" s="53" t="str">
        <f t="shared" si="80"/>
        <v>bars7</v>
      </c>
      <c r="Q230" s="68" t="str">
        <f t="shared" si="81"/>
        <v>91
C000484</v>
      </c>
      <c r="R230" s="53" t="b">
        <f t="shared" si="82"/>
        <v>0</v>
      </c>
      <c r="S230" s="53"/>
      <c r="T230" s="53" t="str">
        <f t="shared" si="83"/>
        <v>BARS</v>
      </c>
      <c r="U230" s="53" t="str">
        <f t="shared" si="84"/>
        <v>bars</v>
      </c>
      <c r="V230" s="53">
        <f t="shared" si="85"/>
        <v>1</v>
      </c>
      <c r="W230" s="53" t="str">
        <f t="shared" si="86"/>
        <v>bars 7</v>
      </c>
      <c r="X230" s="53" t="str">
        <f t="shared" si="87"/>
        <v>223</v>
      </c>
      <c r="Y230" s="53" t="str">
        <f t="shared" si="88"/>
        <v>91
C</v>
      </c>
      <c r="Z230" s="53" t="str">
        <f t="shared" si="89"/>
        <v>0484</v>
      </c>
      <c r="AA230" s="53">
        <f t="shared" si="90"/>
        <v>4</v>
      </c>
      <c r="AB230" s="53">
        <f t="shared" si="91"/>
        <v>4</v>
      </c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</row>
    <row r="231" spans="1:41" ht="30" x14ac:dyDescent="0.25">
      <c r="A231" s="51" t="s">
        <v>200</v>
      </c>
      <c r="B231" s="51" t="s">
        <v>3244</v>
      </c>
      <c r="C231" s="51" t="s">
        <v>3245</v>
      </c>
      <c r="D231" s="51" t="s">
        <v>17</v>
      </c>
      <c r="E231" s="51" t="s">
        <v>1150</v>
      </c>
      <c r="F231" s="51">
        <v>6</v>
      </c>
      <c r="G231" s="51" t="s">
        <v>19</v>
      </c>
      <c r="H231" s="51">
        <v>26</v>
      </c>
      <c r="I231" s="51">
        <f t="shared" si="73"/>
        <v>156</v>
      </c>
      <c r="J231" s="51">
        <f t="shared" si="74"/>
        <v>73.5</v>
      </c>
      <c r="K231" s="51">
        <f t="shared" si="77"/>
        <v>18</v>
      </c>
      <c r="L231" s="51">
        <f t="shared" si="75"/>
        <v>182</v>
      </c>
      <c r="M231" s="51">
        <f t="shared" si="76"/>
        <v>7</v>
      </c>
      <c r="N231" s="53" t="b">
        <f t="shared" si="78"/>
        <v>0</v>
      </c>
      <c r="O231" s="53" t="b">
        <f t="shared" si="79"/>
        <v>1</v>
      </c>
      <c r="P231" s="53" t="str">
        <f t="shared" si="80"/>
        <v>rolls6</v>
      </c>
      <c r="Q231" s="68" t="str">
        <f t="shared" si="81"/>
        <v>73.5
C008421</v>
      </c>
      <c r="R231" s="53" t="b">
        <f t="shared" si="82"/>
        <v>0</v>
      </c>
      <c r="S231" s="53"/>
      <c r="T231" s="53" t="str">
        <f t="shared" si="83"/>
        <v>ROLLS</v>
      </c>
      <c r="U231" s="53" t="str">
        <f t="shared" si="84"/>
        <v>rolls</v>
      </c>
      <c r="V231" s="53">
        <f t="shared" si="85"/>
        <v>1</v>
      </c>
      <c r="W231" s="53" t="str">
        <f t="shared" si="86"/>
        <v>rolls 6</v>
      </c>
      <c r="X231" s="53" t="str">
        <f t="shared" si="87"/>
        <v>182</v>
      </c>
      <c r="Y231" s="53" t="str">
        <f t="shared" si="88"/>
        <v>73.5</v>
      </c>
      <c r="Z231" s="53" t="str">
        <f t="shared" si="89"/>
        <v>8421</v>
      </c>
      <c r="AA231" s="53">
        <f t="shared" si="90"/>
        <v>6</v>
      </c>
      <c r="AB231" s="53">
        <f t="shared" si="91"/>
        <v>4</v>
      </c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</row>
    <row r="232" spans="1:41" ht="30" x14ac:dyDescent="0.25">
      <c r="A232" s="51" t="s">
        <v>137</v>
      </c>
      <c r="B232" s="51" t="s">
        <v>3246</v>
      </c>
      <c r="C232" s="51" t="s">
        <v>3247</v>
      </c>
      <c r="D232" s="51" t="s">
        <v>956</v>
      </c>
      <c r="E232" s="51" t="s">
        <v>195</v>
      </c>
      <c r="F232" s="51">
        <v>3</v>
      </c>
      <c r="G232" s="51" t="s">
        <v>13</v>
      </c>
      <c r="H232" s="51">
        <v>12</v>
      </c>
      <c r="I232" s="51">
        <f t="shared" si="73"/>
        <v>36</v>
      </c>
      <c r="J232" s="51">
        <f t="shared" si="74"/>
        <v>246</v>
      </c>
      <c r="K232" s="51">
        <f t="shared" si="77"/>
        <v>75</v>
      </c>
      <c r="L232" s="51">
        <f t="shared" si="75"/>
        <v>2079.5</v>
      </c>
      <c r="M232" s="51">
        <f t="shared" si="76"/>
        <v>107</v>
      </c>
      <c r="N232" s="53" t="b">
        <f t="shared" si="78"/>
        <v>0</v>
      </c>
      <c r="O232" s="53" t="b">
        <f t="shared" si="79"/>
        <v>1</v>
      </c>
      <c r="P232" s="53" t="str">
        <f t="shared" si="80"/>
        <v>ct3</v>
      </c>
      <c r="Q232" s="68" t="str">
        <f t="shared" si="81"/>
        <v>246
C001734</v>
      </c>
      <c r="R232" s="53" t="b">
        <f t="shared" si="82"/>
        <v>0</v>
      </c>
      <c r="S232" s="53"/>
      <c r="T232" s="53" t="str">
        <f t="shared" si="83"/>
        <v>CT</v>
      </c>
      <c r="U232" s="53" t="str">
        <f t="shared" si="84"/>
        <v>ct</v>
      </c>
      <c r="V232" s="53">
        <f t="shared" si="85"/>
        <v>1</v>
      </c>
      <c r="W232" s="53" t="str">
        <f t="shared" si="86"/>
        <v>ct 3</v>
      </c>
      <c r="X232" s="53" t="str">
        <f t="shared" si="87"/>
        <v>2879.5</v>
      </c>
      <c r="Y232" s="53" t="str">
        <f t="shared" si="88"/>
        <v xml:space="preserve">246
</v>
      </c>
      <c r="Z232" s="53" t="str">
        <f t="shared" si="89"/>
        <v>1734</v>
      </c>
      <c r="AA232" s="53">
        <f t="shared" si="90"/>
        <v>5</v>
      </c>
      <c r="AB232" s="53">
        <f t="shared" si="91"/>
        <v>4</v>
      </c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</row>
    <row r="233" spans="1:41" ht="30" x14ac:dyDescent="0.25">
      <c r="A233" s="51" t="s">
        <v>283</v>
      </c>
      <c r="B233" s="51" t="s">
        <v>3248</v>
      </c>
      <c r="C233" s="51" t="s">
        <v>3249</v>
      </c>
      <c r="D233" s="51" t="s">
        <v>567</v>
      </c>
      <c r="E233" s="51" t="s">
        <v>3250</v>
      </c>
      <c r="F233" s="51">
        <v>4</v>
      </c>
      <c r="G233" s="51" t="s">
        <v>60</v>
      </c>
      <c r="H233" s="51">
        <v>20</v>
      </c>
      <c r="I233" s="51">
        <f t="shared" si="73"/>
        <v>80</v>
      </c>
      <c r="J233" s="51">
        <f t="shared" si="74"/>
        <v>169</v>
      </c>
      <c r="K233" s="51">
        <f t="shared" si="77"/>
        <v>46</v>
      </c>
      <c r="L233" s="51">
        <f t="shared" si="75"/>
        <v>908</v>
      </c>
      <c r="M233" s="51">
        <f t="shared" si="76"/>
        <v>50</v>
      </c>
      <c r="N233" s="53" t="b">
        <f t="shared" si="78"/>
        <v>0</v>
      </c>
      <c r="O233" s="53" t="b">
        <f t="shared" si="79"/>
        <v>1</v>
      </c>
      <c r="P233" s="53" t="str">
        <f t="shared" si="80"/>
        <v>bottles4</v>
      </c>
      <c r="Q233" s="68" t="str">
        <f t="shared" si="81"/>
        <v>169
C001085</v>
      </c>
      <c r="R233" s="53" t="b">
        <f t="shared" si="82"/>
        <v>0</v>
      </c>
      <c r="S233" s="53"/>
      <c r="T233" s="53" t="str">
        <f t="shared" si="83"/>
        <v>BOTTLES</v>
      </c>
      <c r="U233" s="53" t="str">
        <f t="shared" si="84"/>
        <v>bottles</v>
      </c>
      <c r="V233" s="53">
        <f t="shared" si="85"/>
        <v>1</v>
      </c>
      <c r="W233" s="53" t="str">
        <f t="shared" si="86"/>
        <v>bottles 4</v>
      </c>
      <c r="X233" s="53" t="str">
        <f t="shared" si="87"/>
        <v>988</v>
      </c>
      <c r="Y233" s="53" t="str">
        <f t="shared" si="88"/>
        <v xml:space="preserve">169
</v>
      </c>
      <c r="Z233" s="53" t="str">
        <f t="shared" si="89"/>
        <v>1085</v>
      </c>
      <c r="AA233" s="53">
        <f t="shared" si="90"/>
        <v>5</v>
      </c>
      <c r="AB233" s="53">
        <f t="shared" si="91"/>
        <v>4</v>
      </c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</row>
    <row r="234" spans="1:41" ht="30" x14ac:dyDescent="0.25">
      <c r="A234" s="51" t="s">
        <v>55</v>
      </c>
      <c r="B234" s="51" t="s">
        <v>3251</v>
      </c>
      <c r="C234" s="51" t="s">
        <v>3252</v>
      </c>
      <c r="D234" s="51" t="s">
        <v>840</v>
      </c>
      <c r="E234" s="51" t="s">
        <v>1125</v>
      </c>
      <c r="F234" s="51">
        <v>1</v>
      </c>
      <c r="G234" s="51" t="s">
        <v>13</v>
      </c>
      <c r="H234" s="51">
        <v>14</v>
      </c>
      <c r="I234" s="51">
        <f t="shared" si="73"/>
        <v>14</v>
      </c>
      <c r="J234" s="51">
        <f t="shared" si="74"/>
        <v>294</v>
      </c>
      <c r="K234" s="51">
        <f t="shared" si="77"/>
        <v>87</v>
      </c>
      <c r="L234" s="51">
        <f t="shared" si="75"/>
        <v>2079.5</v>
      </c>
      <c r="M234" s="51">
        <f t="shared" si="76"/>
        <v>107</v>
      </c>
      <c r="N234" s="53" t="b">
        <f t="shared" si="78"/>
        <v>0</v>
      </c>
      <c r="O234" s="53" t="b">
        <f t="shared" si="79"/>
        <v>1</v>
      </c>
      <c r="P234" s="53" t="str">
        <f t="shared" si="80"/>
        <v>ct1</v>
      </c>
      <c r="Q234" s="68" t="str">
        <f t="shared" si="81"/>
        <v>294
C003891</v>
      </c>
      <c r="R234" s="53" t="b">
        <f t="shared" si="82"/>
        <v>0</v>
      </c>
      <c r="S234" s="53"/>
      <c r="T234" s="53" t="str">
        <f t="shared" si="83"/>
        <v>CT</v>
      </c>
      <c r="U234" s="53" t="str">
        <f t="shared" si="84"/>
        <v>ct</v>
      </c>
      <c r="V234" s="53">
        <f t="shared" si="85"/>
        <v>1</v>
      </c>
      <c r="W234" s="53" t="str">
        <f t="shared" si="86"/>
        <v>ct 1</v>
      </c>
      <c r="X234" s="53" t="str">
        <f t="shared" si="87"/>
        <v>2879.5</v>
      </c>
      <c r="Y234" s="53" t="str">
        <f t="shared" si="88"/>
        <v xml:space="preserve">294
</v>
      </c>
      <c r="Z234" s="53" t="str">
        <f t="shared" si="89"/>
        <v>3891</v>
      </c>
      <c r="AA234" s="53">
        <f t="shared" si="90"/>
        <v>5</v>
      </c>
      <c r="AB234" s="53">
        <f t="shared" si="91"/>
        <v>2</v>
      </c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</row>
    <row r="235" spans="1:41" ht="30" x14ac:dyDescent="0.25">
      <c r="A235" s="51" t="s">
        <v>173</v>
      </c>
      <c r="B235" s="51" t="s">
        <v>3253</v>
      </c>
      <c r="C235" s="51" t="s">
        <v>3254</v>
      </c>
      <c r="D235" s="51" t="s">
        <v>517</v>
      </c>
      <c r="E235" s="51" t="s">
        <v>534</v>
      </c>
      <c r="F235" s="51">
        <v>6</v>
      </c>
      <c r="G235" s="51" t="s">
        <v>13</v>
      </c>
      <c r="H235" s="51">
        <v>20</v>
      </c>
      <c r="I235" s="51">
        <f t="shared" si="73"/>
        <v>120</v>
      </c>
      <c r="J235" s="51">
        <f t="shared" si="74"/>
        <v>112</v>
      </c>
      <c r="K235" s="51">
        <f t="shared" si="77"/>
        <v>28</v>
      </c>
      <c r="L235" s="51">
        <f t="shared" si="75"/>
        <v>2079.5</v>
      </c>
      <c r="M235" s="51">
        <f t="shared" si="76"/>
        <v>107</v>
      </c>
      <c r="N235" s="53" t="b">
        <f t="shared" si="78"/>
        <v>0</v>
      </c>
      <c r="O235" s="53" t="b">
        <f t="shared" si="79"/>
        <v>0</v>
      </c>
      <c r="P235" s="53" t="str">
        <f t="shared" si="80"/>
        <v>ct6</v>
      </c>
      <c r="Q235" s="68" t="str">
        <f t="shared" si="81"/>
        <v>112
C002540</v>
      </c>
      <c r="R235" s="53" t="b">
        <f t="shared" si="82"/>
        <v>0</v>
      </c>
      <c r="S235" s="53"/>
      <c r="T235" s="53" t="str">
        <f t="shared" si="83"/>
        <v>CT</v>
      </c>
      <c r="U235" s="53" t="str">
        <f t="shared" si="84"/>
        <v>ct</v>
      </c>
      <c r="V235" s="53">
        <f t="shared" si="85"/>
        <v>1</v>
      </c>
      <c r="W235" s="53" t="str">
        <f t="shared" si="86"/>
        <v>ct 6</v>
      </c>
      <c r="X235" s="53" t="str">
        <f t="shared" si="87"/>
        <v>2879.5</v>
      </c>
      <c r="Y235" s="53" t="str">
        <f t="shared" si="88"/>
        <v xml:space="preserve">112
</v>
      </c>
      <c r="Z235" s="53" t="str">
        <f t="shared" si="89"/>
        <v>2540</v>
      </c>
      <c r="AA235" s="53">
        <f t="shared" si="90"/>
        <v>5</v>
      </c>
      <c r="AB235" s="53">
        <f t="shared" si="91"/>
        <v>2</v>
      </c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</row>
    <row r="236" spans="1:41" ht="30" x14ac:dyDescent="0.25">
      <c r="A236" s="51" t="s">
        <v>173</v>
      </c>
      <c r="B236" s="51" t="s">
        <v>3255</v>
      </c>
      <c r="C236" s="51" t="s">
        <v>3256</v>
      </c>
      <c r="D236" s="51" t="s">
        <v>301</v>
      </c>
      <c r="E236" s="51" t="s">
        <v>3250</v>
      </c>
      <c r="F236" s="51">
        <v>10</v>
      </c>
      <c r="G236" s="51" t="s">
        <v>35</v>
      </c>
      <c r="H236" s="51">
        <v>55</v>
      </c>
      <c r="I236" s="51">
        <f t="shared" si="73"/>
        <v>550</v>
      </c>
      <c r="J236" s="51">
        <f t="shared" si="74"/>
        <v>2</v>
      </c>
      <c r="K236" s="51">
        <f t="shared" si="77"/>
        <v>2</v>
      </c>
      <c r="L236" s="51">
        <f t="shared" si="75"/>
        <v>1010.75</v>
      </c>
      <c r="M236" s="51">
        <f t="shared" si="76"/>
        <v>59</v>
      </c>
      <c r="N236" s="53" t="b">
        <f t="shared" si="78"/>
        <v>0</v>
      </c>
      <c r="O236" s="53" t="b">
        <f t="shared" si="79"/>
        <v>1</v>
      </c>
      <c r="P236" s="53" t="str">
        <f t="shared" si="80"/>
        <v>cans10</v>
      </c>
      <c r="Q236" s="68" t="str">
        <f t="shared" si="81"/>
        <v>2
C003071</v>
      </c>
      <c r="R236" s="53" t="b">
        <f t="shared" si="82"/>
        <v>1</v>
      </c>
      <c r="S236" s="53"/>
      <c r="T236" s="53" t="str">
        <f t="shared" si="83"/>
        <v>CANS</v>
      </c>
      <c r="U236" s="53" t="str">
        <f t="shared" si="84"/>
        <v>cans</v>
      </c>
      <c r="V236" s="53">
        <f t="shared" si="85"/>
        <v>1</v>
      </c>
      <c r="W236" s="53" t="str">
        <f t="shared" si="86"/>
        <v>cans 10</v>
      </c>
      <c r="X236" s="53" t="str">
        <f t="shared" si="87"/>
        <v>1818.75</v>
      </c>
      <c r="Y236" s="53" t="str">
        <f t="shared" si="88"/>
        <v>2
C0</v>
      </c>
      <c r="Z236" s="53" t="str">
        <f t="shared" si="89"/>
        <v>3071</v>
      </c>
      <c r="AA236" s="53">
        <f t="shared" si="90"/>
        <v>3</v>
      </c>
      <c r="AB236" s="53">
        <f t="shared" si="91"/>
        <v>2</v>
      </c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</row>
    <row r="237" spans="1:41" ht="30" x14ac:dyDescent="0.25">
      <c r="A237" s="51" t="s">
        <v>162</v>
      </c>
      <c r="B237" s="51" t="s">
        <v>3257</v>
      </c>
      <c r="C237" s="51" t="s">
        <v>3258</v>
      </c>
      <c r="D237" s="51" t="s">
        <v>1544</v>
      </c>
      <c r="E237" s="51" t="s">
        <v>1233</v>
      </c>
      <c r="F237" s="51">
        <v>5</v>
      </c>
      <c r="G237" s="51" t="s">
        <v>35</v>
      </c>
      <c r="H237" s="51">
        <v>6.75</v>
      </c>
      <c r="I237" s="51">
        <f t="shared" si="73"/>
        <v>33.75</v>
      </c>
      <c r="J237" s="51">
        <f t="shared" si="74"/>
        <v>254</v>
      </c>
      <c r="K237" s="51">
        <f t="shared" si="77"/>
        <v>72</v>
      </c>
      <c r="L237" s="51">
        <f t="shared" si="75"/>
        <v>1010.75</v>
      </c>
      <c r="M237" s="51">
        <f t="shared" si="76"/>
        <v>59</v>
      </c>
      <c r="N237" s="53" t="b">
        <f t="shared" si="78"/>
        <v>0</v>
      </c>
      <c r="O237" s="53" t="b">
        <f t="shared" si="79"/>
        <v>1</v>
      </c>
      <c r="P237" s="53" t="str">
        <f t="shared" si="80"/>
        <v>cans5</v>
      </c>
      <c r="Q237" s="68" t="str">
        <f t="shared" si="81"/>
        <v>254
C002737</v>
      </c>
      <c r="R237" s="53" t="b">
        <f t="shared" si="82"/>
        <v>0</v>
      </c>
      <c r="S237" s="53"/>
      <c r="T237" s="53" t="str">
        <f t="shared" si="83"/>
        <v>CANS</v>
      </c>
      <c r="U237" s="53" t="str">
        <f t="shared" si="84"/>
        <v>cans</v>
      </c>
      <c r="V237" s="53">
        <f t="shared" si="85"/>
        <v>1</v>
      </c>
      <c r="W237" s="53" t="str">
        <f t="shared" si="86"/>
        <v>cans 5</v>
      </c>
      <c r="X237" s="53" t="str">
        <f t="shared" si="87"/>
        <v>1818.75</v>
      </c>
      <c r="Y237" s="53" t="str">
        <f t="shared" si="88"/>
        <v xml:space="preserve">254
</v>
      </c>
      <c r="Z237" s="53" t="str">
        <f t="shared" si="89"/>
        <v>2737</v>
      </c>
      <c r="AA237" s="53">
        <f t="shared" si="90"/>
        <v>5</v>
      </c>
      <c r="AB237" s="53">
        <f t="shared" si="91"/>
        <v>7</v>
      </c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</row>
    <row r="238" spans="1:41" ht="30" x14ac:dyDescent="0.25">
      <c r="A238" s="51" t="s">
        <v>30</v>
      </c>
      <c r="B238" s="51" t="s">
        <v>3259</v>
      </c>
      <c r="C238" s="51" t="s">
        <v>3260</v>
      </c>
      <c r="D238" s="51" t="s">
        <v>1697</v>
      </c>
      <c r="E238" s="51" t="s">
        <v>1825</v>
      </c>
      <c r="F238" s="51">
        <v>6</v>
      </c>
      <c r="G238" s="51" t="s">
        <v>35</v>
      </c>
      <c r="H238" s="51">
        <v>16.25</v>
      </c>
      <c r="I238" s="51">
        <f t="shared" si="73"/>
        <v>97.5</v>
      </c>
      <c r="J238" s="51">
        <f t="shared" si="74"/>
        <v>144</v>
      </c>
      <c r="K238" s="51">
        <f t="shared" si="77"/>
        <v>38</v>
      </c>
      <c r="L238" s="51">
        <f t="shared" si="75"/>
        <v>1010.75</v>
      </c>
      <c r="M238" s="51">
        <f t="shared" si="76"/>
        <v>59</v>
      </c>
      <c r="N238" s="53" t="b">
        <f t="shared" si="78"/>
        <v>0</v>
      </c>
      <c r="O238" s="53" t="b">
        <f t="shared" si="79"/>
        <v>0</v>
      </c>
      <c r="P238" s="53" t="str">
        <f t="shared" si="80"/>
        <v>cans6</v>
      </c>
      <c r="Q238" s="68" t="str">
        <f t="shared" si="81"/>
        <v>144
C007871</v>
      </c>
      <c r="R238" s="53" t="b">
        <f t="shared" si="82"/>
        <v>0</v>
      </c>
      <c r="S238" s="53"/>
      <c r="T238" s="53" t="str">
        <f t="shared" si="83"/>
        <v>CANS</v>
      </c>
      <c r="U238" s="53" t="str">
        <f t="shared" si="84"/>
        <v>cans</v>
      </c>
      <c r="V238" s="53">
        <f t="shared" si="85"/>
        <v>1</v>
      </c>
      <c r="W238" s="53" t="str">
        <f t="shared" si="86"/>
        <v>cans 6</v>
      </c>
      <c r="X238" s="53" t="str">
        <f t="shared" si="87"/>
        <v>1818.75</v>
      </c>
      <c r="Y238" s="53" t="str">
        <f t="shared" si="88"/>
        <v xml:space="preserve">144
</v>
      </c>
      <c r="Z238" s="53" t="str">
        <f t="shared" si="89"/>
        <v>7871</v>
      </c>
      <c r="AA238" s="53">
        <f t="shared" si="90"/>
        <v>5</v>
      </c>
      <c r="AB238" s="53">
        <f t="shared" si="91"/>
        <v>7</v>
      </c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</row>
    <row r="239" spans="1:41" ht="30" x14ac:dyDescent="0.25">
      <c r="A239" s="51" t="s">
        <v>209</v>
      </c>
      <c r="B239" s="51" t="s">
        <v>3261</v>
      </c>
      <c r="C239" s="51" t="s">
        <v>3262</v>
      </c>
      <c r="D239" s="51" t="s">
        <v>1340</v>
      </c>
      <c r="E239" s="51" t="s">
        <v>1014</v>
      </c>
      <c r="F239" s="51">
        <v>11</v>
      </c>
      <c r="G239" s="51" t="s">
        <v>13</v>
      </c>
      <c r="H239" s="51">
        <v>18</v>
      </c>
      <c r="I239" s="51">
        <f t="shared" si="73"/>
        <v>198</v>
      </c>
      <c r="J239" s="51">
        <f t="shared" si="74"/>
        <v>34.5</v>
      </c>
      <c r="K239" s="51">
        <f t="shared" si="77"/>
        <v>9</v>
      </c>
      <c r="L239" s="51">
        <f t="shared" si="75"/>
        <v>2079.5</v>
      </c>
      <c r="M239" s="51">
        <f t="shared" si="76"/>
        <v>107</v>
      </c>
      <c r="N239" s="53" t="b">
        <f t="shared" si="78"/>
        <v>0</v>
      </c>
      <c r="O239" s="53" t="b">
        <f t="shared" si="79"/>
        <v>1</v>
      </c>
      <c r="P239" s="53" t="str">
        <f t="shared" si="80"/>
        <v>ct11</v>
      </c>
      <c r="Q239" s="68" t="str">
        <f t="shared" si="81"/>
        <v>34.5
C002768</v>
      </c>
      <c r="R239" s="53" t="b">
        <f t="shared" si="82"/>
        <v>0</v>
      </c>
      <c r="S239" s="53"/>
      <c r="T239" s="53" t="str">
        <f t="shared" si="83"/>
        <v>CT</v>
      </c>
      <c r="U239" s="53" t="str">
        <f t="shared" si="84"/>
        <v>ct</v>
      </c>
      <c r="V239" s="53">
        <f t="shared" si="85"/>
        <v>1</v>
      </c>
      <c r="W239" s="53" t="str">
        <f t="shared" si="86"/>
        <v>ct 11</v>
      </c>
      <c r="X239" s="53" t="str">
        <f t="shared" si="87"/>
        <v>2879.5</v>
      </c>
      <c r="Y239" s="53" t="str">
        <f t="shared" si="88"/>
        <v>34.5</v>
      </c>
      <c r="Z239" s="53" t="str">
        <f t="shared" si="89"/>
        <v>2768</v>
      </c>
      <c r="AA239" s="53">
        <f t="shared" si="90"/>
        <v>6</v>
      </c>
      <c r="AB239" s="53">
        <f t="shared" si="91"/>
        <v>4</v>
      </c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</row>
    <row r="240" spans="1:41" ht="30" x14ac:dyDescent="0.25">
      <c r="A240" s="51" t="s">
        <v>125</v>
      </c>
      <c r="B240" s="51" t="s">
        <v>3263</v>
      </c>
      <c r="C240" s="51" t="s">
        <v>3264</v>
      </c>
      <c r="D240" s="51" t="s">
        <v>370</v>
      </c>
      <c r="E240" s="51" t="s">
        <v>1855</v>
      </c>
      <c r="F240" s="51">
        <v>7</v>
      </c>
      <c r="G240" s="51" t="s">
        <v>167</v>
      </c>
      <c r="H240" s="51">
        <v>17</v>
      </c>
      <c r="I240" s="51">
        <f t="shared" si="73"/>
        <v>119</v>
      </c>
      <c r="J240" s="51">
        <f t="shared" si="74"/>
        <v>117</v>
      </c>
      <c r="K240" s="51">
        <f t="shared" si="77"/>
        <v>29</v>
      </c>
      <c r="L240" s="51">
        <f t="shared" si="75"/>
        <v>307</v>
      </c>
      <c r="M240" s="51">
        <f t="shared" si="76"/>
        <v>19</v>
      </c>
      <c r="N240" s="53" t="b">
        <f t="shared" si="78"/>
        <v>0</v>
      </c>
      <c r="O240" s="53" t="b">
        <f t="shared" si="79"/>
        <v>0</v>
      </c>
      <c r="P240" s="53" t="str">
        <f t="shared" si="80"/>
        <v>oz7</v>
      </c>
      <c r="Q240" s="68" t="str">
        <f t="shared" si="81"/>
        <v>117
C002733</v>
      </c>
      <c r="R240" s="53" t="b">
        <f t="shared" si="82"/>
        <v>0</v>
      </c>
      <c r="S240" s="53"/>
      <c r="T240" s="53" t="str">
        <f t="shared" si="83"/>
        <v>OZ</v>
      </c>
      <c r="U240" s="53" t="str">
        <f t="shared" si="84"/>
        <v>oz</v>
      </c>
      <c r="V240" s="53">
        <f t="shared" si="85"/>
        <v>1</v>
      </c>
      <c r="W240" s="53" t="str">
        <f t="shared" si="86"/>
        <v>oz 7</v>
      </c>
      <c r="X240" s="53" t="str">
        <f t="shared" si="87"/>
        <v>387</v>
      </c>
      <c r="Y240" s="53" t="str">
        <f t="shared" si="88"/>
        <v xml:space="preserve">117
</v>
      </c>
      <c r="Z240" s="53" t="str">
        <f t="shared" si="89"/>
        <v>2733</v>
      </c>
      <c r="AA240" s="53">
        <f t="shared" si="90"/>
        <v>5</v>
      </c>
      <c r="AB240" s="53">
        <f t="shared" si="91"/>
        <v>4</v>
      </c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</row>
    <row r="241" spans="1:41" ht="30" x14ac:dyDescent="0.25">
      <c r="A241" s="51" t="s">
        <v>61</v>
      </c>
      <c r="B241" s="51" t="s">
        <v>3265</v>
      </c>
      <c r="C241" s="51" t="s">
        <v>3266</v>
      </c>
      <c r="D241" s="51" t="s">
        <v>1738</v>
      </c>
      <c r="E241" s="51" t="s">
        <v>2159</v>
      </c>
      <c r="F241" s="51">
        <v>3</v>
      </c>
      <c r="G241" s="51" t="s">
        <v>60</v>
      </c>
      <c r="H241" s="51">
        <v>24</v>
      </c>
      <c r="I241" s="51">
        <f t="shared" si="73"/>
        <v>72</v>
      </c>
      <c r="J241" s="51">
        <f t="shared" si="74"/>
        <v>182</v>
      </c>
      <c r="K241" s="51">
        <f t="shared" si="77"/>
        <v>47</v>
      </c>
      <c r="L241" s="51">
        <f t="shared" si="75"/>
        <v>908</v>
      </c>
      <c r="M241" s="51">
        <f t="shared" si="76"/>
        <v>50</v>
      </c>
      <c r="N241" s="53" t="b">
        <f t="shared" si="78"/>
        <v>0</v>
      </c>
      <c r="O241" s="53" t="b">
        <f t="shared" si="79"/>
        <v>1</v>
      </c>
      <c r="P241" s="53" t="str">
        <f t="shared" si="80"/>
        <v>bottles3</v>
      </c>
      <c r="Q241" s="68" t="str">
        <f t="shared" si="81"/>
        <v>182
C000920</v>
      </c>
      <c r="R241" s="53" t="b">
        <f t="shared" si="82"/>
        <v>0</v>
      </c>
      <c r="S241" s="53"/>
      <c r="T241" s="53" t="str">
        <f t="shared" si="83"/>
        <v>BOTTLES</v>
      </c>
      <c r="U241" s="53" t="str">
        <f t="shared" si="84"/>
        <v>bottles</v>
      </c>
      <c r="V241" s="53">
        <f t="shared" si="85"/>
        <v>1</v>
      </c>
      <c r="W241" s="53" t="str">
        <f t="shared" si="86"/>
        <v>bottles 3</v>
      </c>
      <c r="X241" s="53" t="str">
        <f t="shared" si="87"/>
        <v>988</v>
      </c>
      <c r="Y241" s="53" t="str">
        <f t="shared" si="88"/>
        <v xml:space="preserve">182
</v>
      </c>
      <c r="Z241" s="53" t="str">
        <f t="shared" si="89"/>
        <v>0920</v>
      </c>
      <c r="AA241" s="53">
        <f t="shared" si="90"/>
        <v>5</v>
      </c>
      <c r="AB241" s="53">
        <f t="shared" si="91"/>
        <v>3</v>
      </c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</row>
    <row r="242" spans="1:41" ht="30" x14ac:dyDescent="0.25">
      <c r="A242" s="51" t="s">
        <v>240</v>
      </c>
      <c r="B242" s="51" t="s">
        <v>3267</v>
      </c>
      <c r="C242" s="51" t="s">
        <v>3268</v>
      </c>
      <c r="D242" s="51" t="s">
        <v>397</v>
      </c>
      <c r="E242" s="51" t="s">
        <v>1224</v>
      </c>
      <c r="F242" s="51">
        <v>11</v>
      </c>
      <c r="G242" s="51" t="s">
        <v>35</v>
      </c>
      <c r="H242" s="51">
        <v>16.25</v>
      </c>
      <c r="I242" s="51">
        <f t="shared" si="73"/>
        <v>178.75</v>
      </c>
      <c r="J242" s="51">
        <f t="shared" si="74"/>
        <v>46</v>
      </c>
      <c r="K242" s="51">
        <f t="shared" si="77"/>
        <v>10</v>
      </c>
      <c r="L242" s="51">
        <f t="shared" si="75"/>
        <v>1010.75</v>
      </c>
      <c r="M242" s="51">
        <f t="shared" si="76"/>
        <v>59</v>
      </c>
      <c r="N242" s="53" t="b">
        <f t="shared" si="78"/>
        <v>0</v>
      </c>
      <c r="O242" s="53" t="b">
        <f t="shared" si="79"/>
        <v>1</v>
      </c>
      <c r="P242" s="53" t="str">
        <f t="shared" si="80"/>
        <v>cans11</v>
      </c>
      <c r="Q242" s="68" t="str">
        <f t="shared" si="81"/>
        <v>46
C000852</v>
      </c>
      <c r="R242" s="53" t="b">
        <f t="shared" si="82"/>
        <v>0</v>
      </c>
      <c r="S242" s="53"/>
      <c r="T242" s="53" t="str">
        <f t="shared" si="83"/>
        <v>CANS</v>
      </c>
      <c r="U242" s="53" t="str">
        <f t="shared" si="84"/>
        <v>cans</v>
      </c>
      <c r="V242" s="53">
        <f t="shared" si="85"/>
        <v>1</v>
      </c>
      <c r="W242" s="53" t="str">
        <f t="shared" si="86"/>
        <v>cans 11</v>
      </c>
      <c r="X242" s="53" t="str">
        <f t="shared" si="87"/>
        <v>1818.75</v>
      </c>
      <c r="Y242" s="53" t="str">
        <f t="shared" si="88"/>
        <v>46
C</v>
      </c>
      <c r="Z242" s="53" t="str">
        <f t="shared" si="89"/>
        <v>0852</v>
      </c>
      <c r="AA242" s="53">
        <f t="shared" si="90"/>
        <v>4</v>
      </c>
      <c r="AB242" s="53">
        <f t="shared" si="91"/>
        <v>3</v>
      </c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</row>
    <row r="243" spans="1:41" ht="30" x14ac:dyDescent="0.25">
      <c r="A243" s="51" t="s">
        <v>283</v>
      </c>
      <c r="B243" s="51" t="s">
        <v>3269</v>
      </c>
      <c r="C243" s="51" t="s">
        <v>3270</v>
      </c>
      <c r="D243" s="51" t="s">
        <v>1547</v>
      </c>
      <c r="E243" s="51" t="s">
        <v>2315</v>
      </c>
      <c r="F243" s="51">
        <v>11</v>
      </c>
      <c r="G243" s="51" t="s">
        <v>35</v>
      </c>
      <c r="H243" s="51">
        <v>16.25</v>
      </c>
      <c r="I243" s="51">
        <f t="shared" si="73"/>
        <v>178.75</v>
      </c>
      <c r="J243" s="51">
        <f t="shared" si="74"/>
        <v>46</v>
      </c>
      <c r="K243" s="51">
        <f t="shared" si="77"/>
        <v>10</v>
      </c>
      <c r="L243" s="51">
        <f t="shared" si="75"/>
        <v>1010.75</v>
      </c>
      <c r="M243" s="51">
        <f t="shared" si="76"/>
        <v>59</v>
      </c>
      <c r="N243" s="53" t="b">
        <f t="shared" si="78"/>
        <v>0</v>
      </c>
      <c r="O243" s="53" t="b">
        <f t="shared" si="79"/>
        <v>1</v>
      </c>
      <c r="P243" s="53" t="str">
        <f t="shared" si="80"/>
        <v>cans11</v>
      </c>
      <c r="Q243" s="68" t="str">
        <f t="shared" si="81"/>
        <v>46
C006825</v>
      </c>
      <c r="R243" s="53" t="b">
        <f t="shared" si="82"/>
        <v>0</v>
      </c>
      <c r="S243" s="53"/>
      <c r="T243" s="53" t="str">
        <f t="shared" si="83"/>
        <v>CANS</v>
      </c>
      <c r="U243" s="53" t="str">
        <f t="shared" si="84"/>
        <v>cans</v>
      </c>
      <c r="V243" s="53">
        <f t="shared" si="85"/>
        <v>1</v>
      </c>
      <c r="W243" s="53" t="str">
        <f t="shared" si="86"/>
        <v>cans 11</v>
      </c>
      <c r="X243" s="53" t="str">
        <f t="shared" si="87"/>
        <v>1818.75</v>
      </c>
      <c r="Y243" s="53" t="str">
        <f t="shared" si="88"/>
        <v>46
C</v>
      </c>
      <c r="Z243" s="53" t="str">
        <f t="shared" si="89"/>
        <v>6825</v>
      </c>
      <c r="AA243" s="53">
        <f t="shared" si="90"/>
        <v>4</v>
      </c>
      <c r="AB243" s="53">
        <f t="shared" si="91"/>
        <v>2</v>
      </c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</row>
    <row r="244" spans="1:41" ht="30" x14ac:dyDescent="0.25">
      <c r="A244" s="51" t="s">
        <v>523</v>
      </c>
      <c r="B244" s="51" t="s">
        <v>3271</v>
      </c>
      <c r="C244" s="51" t="s">
        <v>3272</v>
      </c>
      <c r="D244" s="51" t="s">
        <v>1706</v>
      </c>
      <c r="E244" s="51" t="s">
        <v>1842</v>
      </c>
      <c r="F244" s="51">
        <v>3</v>
      </c>
      <c r="G244" s="51" t="s">
        <v>35</v>
      </c>
      <c r="H244" s="51">
        <v>16</v>
      </c>
      <c r="I244" s="51">
        <f t="shared" si="73"/>
        <v>48</v>
      </c>
      <c r="J244" s="51">
        <f t="shared" si="74"/>
        <v>223.5</v>
      </c>
      <c r="K244" s="51">
        <f t="shared" si="77"/>
        <v>54</v>
      </c>
      <c r="L244" s="51">
        <f t="shared" si="75"/>
        <v>1010.75</v>
      </c>
      <c r="M244" s="51">
        <f t="shared" si="76"/>
        <v>59</v>
      </c>
      <c r="N244" s="53" t="b">
        <f t="shared" si="78"/>
        <v>0</v>
      </c>
      <c r="O244" s="53" t="b">
        <f t="shared" si="79"/>
        <v>1</v>
      </c>
      <c r="P244" s="53" t="str">
        <f t="shared" si="80"/>
        <v>cans3</v>
      </c>
      <c r="Q244" s="68" t="str">
        <f t="shared" si="81"/>
        <v>223.5
C003665</v>
      </c>
      <c r="R244" s="53" t="b">
        <f t="shared" si="82"/>
        <v>0</v>
      </c>
      <c r="S244" s="53"/>
      <c r="T244" s="53" t="str">
        <f t="shared" si="83"/>
        <v>CANS</v>
      </c>
      <c r="U244" s="53" t="str">
        <f t="shared" si="84"/>
        <v>cans</v>
      </c>
      <c r="V244" s="53">
        <f t="shared" si="85"/>
        <v>1</v>
      </c>
      <c r="W244" s="53" t="str">
        <f t="shared" si="86"/>
        <v>cans 3</v>
      </c>
      <c r="X244" s="53" t="str">
        <f t="shared" si="87"/>
        <v>1818.75</v>
      </c>
      <c r="Y244" s="53" t="str">
        <f t="shared" si="88"/>
        <v>223.</v>
      </c>
      <c r="Z244" s="53" t="str">
        <f t="shared" si="89"/>
        <v>3665</v>
      </c>
      <c r="AA244" s="53">
        <f t="shared" si="90"/>
        <v>7</v>
      </c>
      <c r="AB244" s="53">
        <f t="shared" si="91"/>
        <v>2</v>
      </c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</row>
    <row r="245" spans="1:41" ht="30" x14ac:dyDescent="0.25">
      <c r="A245" s="51" t="s">
        <v>523</v>
      </c>
      <c r="B245" s="51" t="s">
        <v>3273</v>
      </c>
      <c r="C245" s="51" t="s">
        <v>3274</v>
      </c>
      <c r="D245" s="51" t="s">
        <v>1242</v>
      </c>
      <c r="E245" s="51" t="s">
        <v>1458</v>
      </c>
      <c r="F245" s="51">
        <v>6</v>
      </c>
      <c r="G245" s="51" t="s">
        <v>35</v>
      </c>
      <c r="H245" s="51">
        <v>40</v>
      </c>
      <c r="I245" s="51">
        <f t="shared" si="73"/>
        <v>240</v>
      </c>
      <c r="J245" s="51">
        <f t="shared" si="74"/>
        <v>18.5</v>
      </c>
      <c r="K245" s="51">
        <f t="shared" si="77"/>
        <v>7</v>
      </c>
      <c r="L245" s="51">
        <f t="shared" si="75"/>
        <v>1010.75</v>
      </c>
      <c r="M245" s="51">
        <f t="shared" si="76"/>
        <v>59</v>
      </c>
      <c r="N245" s="53" t="b">
        <f t="shared" si="78"/>
        <v>0</v>
      </c>
      <c r="O245" s="53" t="b">
        <f t="shared" si="79"/>
        <v>1</v>
      </c>
      <c r="P245" s="53" t="str">
        <f t="shared" si="80"/>
        <v>cans6</v>
      </c>
      <c r="Q245" s="68" t="str">
        <f t="shared" si="81"/>
        <v>18.5
C006494</v>
      </c>
      <c r="R245" s="53" t="b">
        <f t="shared" si="82"/>
        <v>0</v>
      </c>
      <c r="S245" s="53"/>
      <c r="T245" s="53" t="str">
        <f t="shared" si="83"/>
        <v>CANS</v>
      </c>
      <c r="U245" s="53" t="str">
        <f t="shared" si="84"/>
        <v>cans</v>
      </c>
      <c r="V245" s="53">
        <f t="shared" si="85"/>
        <v>1</v>
      </c>
      <c r="W245" s="53" t="str">
        <f t="shared" si="86"/>
        <v>cans 6</v>
      </c>
      <c r="X245" s="53" t="str">
        <f t="shared" si="87"/>
        <v>1818.75</v>
      </c>
      <c r="Y245" s="53" t="str">
        <f t="shared" si="88"/>
        <v>18.5</v>
      </c>
      <c r="Z245" s="53" t="str">
        <f t="shared" si="89"/>
        <v>6494</v>
      </c>
      <c r="AA245" s="53">
        <f t="shared" si="90"/>
        <v>6</v>
      </c>
      <c r="AB245" s="53">
        <f t="shared" si="91"/>
        <v>4</v>
      </c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</row>
    <row r="246" spans="1:41" ht="30" x14ac:dyDescent="0.25">
      <c r="A246" s="51" t="s">
        <v>283</v>
      </c>
      <c r="B246" s="51" t="s">
        <v>3275</v>
      </c>
      <c r="C246" s="51" t="s">
        <v>3276</v>
      </c>
      <c r="D246" s="51" t="s">
        <v>3277</v>
      </c>
      <c r="E246" s="51" t="s">
        <v>665</v>
      </c>
      <c r="F246" s="51">
        <v>10</v>
      </c>
      <c r="G246" s="51" t="s">
        <v>1072</v>
      </c>
      <c r="H246" s="51">
        <v>17</v>
      </c>
      <c r="I246" s="51">
        <f t="shared" si="73"/>
        <v>170</v>
      </c>
      <c r="J246" s="51">
        <f t="shared" si="74"/>
        <v>53</v>
      </c>
      <c r="K246" s="51">
        <f t="shared" si="77"/>
        <v>9</v>
      </c>
      <c r="L246" s="51">
        <f t="shared" si="75"/>
        <v>285</v>
      </c>
      <c r="M246" s="51">
        <f t="shared" si="76"/>
        <v>17</v>
      </c>
      <c r="N246" s="53" t="b">
        <f t="shared" si="78"/>
        <v>0</v>
      </c>
      <c r="O246" s="53" t="b">
        <f t="shared" si="79"/>
        <v>1</v>
      </c>
      <c r="P246" s="53" t="str">
        <f t="shared" si="80"/>
        <v>Bags10</v>
      </c>
      <c r="Q246" s="68" t="str">
        <f t="shared" si="81"/>
        <v>53
C007083</v>
      </c>
      <c r="R246" s="53" t="b">
        <f t="shared" si="82"/>
        <v>0</v>
      </c>
      <c r="S246" s="53"/>
      <c r="T246" s="53" t="str">
        <f t="shared" si="83"/>
        <v>BAGS</v>
      </c>
      <c r="U246" s="53" t="str">
        <f t="shared" si="84"/>
        <v>bags</v>
      </c>
      <c r="V246" s="53">
        <f t="shared" si="85"/>
        <v>1</v>
      </c>
      <c r="W246" s="53" t="str">
        <f t="shared" si="86"/>
        <v>Bags 10</v>
      </c>
      <c r="X246" s="53" t="str">
        <f t="shared" si="87"/>
        <v>285</v>
      </c>
      <c r="Y246" s="53" t="str">
        <f t="shared" si="88"/>
        <v>53
C</v>
      </c>
      <c r="Z246" s="53" t="str">
        <f t="shared" si="89"/>
        <v>7083</v>
      </c>
      <c r="AA246" s="53">
        <f t="shared" si="90"/>
        <v>4</v>
      </c>
      <c r="AB246" s="53">
        <f t="shared" si="91"/>
        <v>2</v>
      </c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</row>
    <row r="247" spans="1:41" ht="30" x14ac:dyDescent="0.25">
      <c r="A247" s="51" t="s">
        <v>25</v>
      </c>
      <c r="B247" s="51" t="s">
        <v>117</v>
      </c>
      <c r="C247" s="51" t="s">
        <v>2448</v>
      </c>
      <c r="D247" s="51" t="s">
        <v>476</v>
      </c>
      <c r="E247" s="51" t="s">
        <v>1078</v>
      </c>
      <c r="F247" s="51">
        <v>9</v>
      </c>
      <c r="G247" s="51" t="s">
        <v>13</v>
      </c>
      <c r="H247" s="51">
        <v>32</v>
      </c>
      <c r="I247" s="51">
        <f t="shared" si="73"/>
        <v>288</v>
      </c>
      <c r="J247" s="51">
        <f t="shared" si="74"/>
        <v>14</v>
      </c>
      <c r="K247" s="51">
        <f t="shared" si="77"/>
        <v>5</v>
      </c>
      <c r="L247" s="51">
        <f t="shared" si="75"/>
        <v>2079.5</v>
      </c>
      <c r="M247" s="51">
        <f t="shared" si="76"/>
        <v>107</v>
      </c>
      <c r="N247" s="53" t="b">
        <f t="shared" si="78"/>
        <v>0</v>
      </c>
      <c r="O247" s="53" t="b">
        <f t="shared" si="79"/>
        <v>1</v>
      </c>
      <c r="P247" s="53" t="str">
        <f t="shared" si="80"/>
        <v>ct9</v>
      </c>
      <c r="Q247" s="68" t="str">
        <f t="shared" si="81"/>
        <v>14
C004337</v>
      </c>
      <c r="R247" s="53" t="b">
        <f t="shared" si="82"/>
        <v>0</v>
      </c>
      <c r="S247" s="53"/>
      <c r="T247" s="53" t="str">
        <f t="shared" si="83"/>
        <v>CT</v>
      </c>
      <c r="U247" s="53" t="str">
        <f t="shared" si="84"/>
        <v>ct</v>
      </c>
      <c r="V247" s="53">
        <f t="shared" si="85"/>
        <v>1</v>
      </c>
      <c r="W247" s="53" t="str">
        <f t="shared" si="86"/>
        <v>ct 9</v>
      </c>
      <c r="X247" s="53" t="str">
        <f t="shared" si="87"/>
        <v>2879.5</v>
      </c>
      <c r="Y247" s="53" t="str">
        <f t="shared" si="88"/>
        <v>14
C</v>
      </c>
      <c r="Z247" s="53" t="str">
        <f t="shared" si="89"/>
        <v>4337</v>
      </c>
      <c r="AA247" s="53">
        <f t="shared" si="90"/>
        <v>4</v>
      </c>
      <c r="AB247" s="53">
        <f t="shared" si="91"/>
        <v>2</v>
      </c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</row>
    <row r="248" spans="1:41" ht="30" x14ac:dyDescent="0.25">
      <c r="A248" s="51" t="s">
        <v>101</v>
      </c>
      <c r="B248" s="51" t="s">
        <v>3278</v>
      </c>
      <c r="C248" s="51" t="s">
        <v>3279</v>
      </c>
      <c r="D248" s="51" t="s">
        <v>469</v>
      </c>
      <c r="E248" s="51" t="s">
        <v>2118</v>
      </c>
      <c r="F248" s="51">
        <v>6</v>
      </c>
      <c r="G248" s="51" t="s">
        <v>13</v>
      </c>
      <c r="H248" s="51">
        <v>13</v>
      </c>
      <c r="I248" s="51">
        <f t="shared" si="73"/>
        <v>78</v>
      </c>
      <c r="J248" s="51">
        <f t="shared" si="74"/>
        <v>174.5</v>
      </c>
      <c r="K248" s="51">
        <f t="shared" si="77"/>
        <v>40</v>
      </c>
      <c r="L248" s="51">
        <f t="shared" si="75"/>
        <v>2079.5</v>
      </c>
      <c r="M248" s="51">
        <f t="shared" si="76"/>
        <v>107</v>
      </c>
      <c r="N248" s="53" t="b">
        <f t="shared" si="78"/>
        <v>0</v>
      </c>
      <c r="O248" s="53" t="b">
        <f t="shared" si="79"/>
        <v>1</v>
      </c>
      <c r="P248" s="53" t="str">
        <f t="shared" si="80"/>
        <v>ct6</v>
      </c>
      <c r="Q248" s="68" t="str">
        <f t="shared" si="81"/>
        <v>174.5
C008767</v>
      </c>
      <c r="R248" s="53" t="b">
        <f t="shared" si="82"/>
        <v>0</v>
      </c>
      <c r="S248" s="53"/>
      <c r="T248" s="53" t="str">
        <f t="shared" si="83"/>
        <v>CT</v>
      </c>
      <c r="U248" s="53" t="str">
        <f t="shared" si="84"/>
        <v>ct</v>
      </c>
      <c r="V248" s="53">
        <f t="shared" si="85"/>
        <v>1</v>
      </c>
      <c r="W248" s="53" t="str">
        <f t="shared" si="86"/>
        <v>ct 6</v>
      </c>
      <c r="X248" s="53" t="str">
        <f t="shared" si="87"/>
        <v>2879.5</v>
      </c>
      <c r="Y248" s="53" t="str">
        <f t="shared" si="88"/>
        <v>174.</v>
      </c>
      <c r="Z248" s="53" t="str">
        <f t="shared" si="89"/>
        <v>8767</v>
      </c>
      <c r="AA248" s="53">
        <f t="shared" si="90"/>
        <v>7</v>
      </c>
      <c r="AB248" s="53">
        <f t="shared" si="91"/>
        <v>2</v>
      </c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</row>
    <row r="249" spans="1:41" ht="30" x14ac:dyDescent="0.25">
      <c r="A249" s="51" t="s">
        <v>25</v>
      </c>
      <c r="B249" s="51" t="s">
        <v>3172</v>
      </c>
      <c r="C249" s="51" t="s">
        <v>3280</v>
      </c>
      <c r="D249" s="51" t="s">
        <v>1474</v>
      </c>
      <c r="E249" s="51" t="s">
        <v>786</v>
      </c>
      <c r="F249" s="51">
        <v>2</v>
      </c>
      <c r="G249" s="51" t="s">
        <v>167</v>
      </c>
      <c r="H249" s="51">
        <v>20.5</v>
      </c>
      <c r="I249" s="51">
        <f t="shared" si="73"/>
        <v>41</v>
      </c>
      <c r="J249" s="51">
        <f t="shared" si="74"/>
        <v>237</v>
      </c>
      <c r="K249" s="51">
        <f t="shared" si="77"/>
        <v>57</v>
      </c>
      <c r="L249" s="51">
        <f t="shared" si="75"/>
        <v>307</v>
      </c>
      <c r="M249" s="51">
        <f t="shared" si="76"/>
        <v>19</v>
      </c>
      <c r="N249" s="53" t="b">
        <f t="shared" si="78"/>
        <v>0</v>
      </c>
      <c r="O249" s="53" t="b">
        <f t="shared" si="79"/>
        <v>1</v>
      </c>
      <c r="P249" s="53" t="str">
        <f t="shared" si="80"/>
        <v>oz2</v>
      </c>
      <c r="Q249" s="68" t="str">
        <f t="shared" si="81"/>
        <v>237
C007096</v>
      </c>
      <c r="R249" s="53" t="b">
        <f t="shared" si="82"/>
        <v>0</v>
      </c>
      <c r="S249" s="53"/>
      <c r="T249" s="53" t="str">
        <f t="shared" si="83"/>
        <v>OZ</v>
      </c>
      <c r="U249" s="53" t="str">
        <f t="shared" si="84"/>
        <v>oz</v>
      </c>
      <c r="V249" s="53">
        <f t="shared" si="85"/>
        <v>1</v>
      </c>
      <c r="W249" s="53" t="str">
        <f t="shared" si="86"/>
        <v>oz 2</v>
      </c>
      <c r="X249" s="53" t="str">
        <f t="shared" si="87"/>
        <v>387</v>
      </c>
      <c r="Y249" s="53" t="str">
        <f t="shared" si="88"/>
        <v xml:space="preserve">237
</v>
      </c>
      <c r="Z249" s="53" t="str">
        <f t="shared" si="89"/>
        <v>7096</v>
      </c>
      <c r="AA249" s="53">
        <f t="shared" si="90"/>
        <v>5</v>
      </c>
      <c r="AB249" s="53">
        <f t="shared" si="91"/>
        <v>4</v>
      </c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</row>
    <row r="250" spans="1:41" ht="30" x14ac:dyDescent="0.25">
      <c r="A250" s="51" t="s">
        <v>116</v>
      </c>
      <c r="B250" s="51" t="s">
        <v>3281</v>
      </c>
      <c r="C250" s="51" t="s">
        <v>3282</v>
      </c>
      <c r="D250" s="51" t="s">
        <v>1717</v>
      </c>
      <c r="E250" s="51" t="s">
        <v>1343</v>
      </c>
      <c r="F250" s="51">
        <v>2</v>
      </c>
      <c r="G250" s="51" t="s">
        <v>60</v>
      </c>
      <c r="H250" s="51">
        <v>22</v>
      </c>
      <c r="I250" s="51">
        <f t="shared" si="73"/>
        <v>44</v>
      </c>
      <c r="J250" s="51">
        <f t="shared" si="74"/>
        <v>234.5</v>
      </c>
      <c r="K250" s="51">
        <f t="shared" si="77"/>
        <v>55</v>
      </c>
      <c r="L250" s="51">
        <f t="shared" si="75"/>
        <v>908</v>
      </c>
      <c r="M250" s="51">
        <f t="shared" si="76"/>
        <v>50</v>
      </c>
      <c r="N250" s="53" t="b">
        <f t="shared" si="78"/>
        <v>0</v>
      </c>
      <c r="O250" s="53" t="b">
        <f t="shared" si="79"/>
        <v>1</v>
      </c>
      <c r="P250" s="53" t="str">
        <f t="shared" si="80"/>
        <v>bottles2</v>
      </c>
      <c r="Q250" s="68" t="str">
        <f t="shared" si="81"/>
        <v>234.5
C008298</v>
      </c>
      <c r="R250" s="53" t="b">
        <f t="shared" si="82"/>
        <v>0</v>
      </c>
      <c r="S250" s="53"/>
      <c r="T250" s="53" t="str">
        <f t="shared" si="83"/>
        <v>BOTTLES</v>
      </c>
      <c r="U250" s="53" t="str">
        <f t="shared" si="84"/>
        <v>bottles</v>
      </c>
      <c r="V250" s="53">
        <f t="shared" si="85"/>
        <v>1</v>
      </c>
      <c r="W250" s="53" t="str">
        <f t="shared" si="86"/>
        <v>bottles 2</v>
      </c>
      <c r="X250" s="53" t="str">
        <f t="shared" si="87"/>
        <v>988</v>
      </c>
      <c r="Y250" s="53" t="str">
        <f t="shared" si="88"/>
        <v>234.</v>
      </c>
      <c r="Z250" s="53" t="str">
        <f t="shared" si="89"/>
        <v>8298</v>
      </c>
      <c r="AA250" s="53">
        <f t="shared" si="90"/>
        <v>7</v>
      </c>
      <c r="AB250" s="53">
        <f t="shared" si="91"/>
        <v>2</v>
      </c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</row>
    <row r="251" spans="1:41" ht="30" x14ac:dyDescent="0.25">
      <c r="A251" s="51" t="s">
        <v>116</v>
      </c>
      <c r="B251" s="51" t="s">
        <v>3283</v>
      </c>
      <c r="C251" s="51" t="s">
        <v>3284</v>
      </c>
      <c r="D251" s="51" t="s">
        <v>1766</v>
      </c>
      <c r="E251" s="51" t="s">
        <v>3285</v>
      </c>
      <c r="F251" s="51">
        <v>9</v>
      </c>
      <c r="G251" s="51" t="s">
        <v>60</v>
      </c>
      <c r="H251" s="51">
        <v>29</v>
      </c>
      <c r="I251" s="51">
        <f t="shared" si="73"/>
        <v>261</v>
      </c>
      <c r="J251" s="51">
        <f t="shared" si="74"/>
        <v>16</v>
      </c>
      <c r="K251" s="51">
        <f t="shared" si="77"/>
        <v>5</v>
      </c>
      <c r="L251" s="51">
        <f t="shared" si="75"/>
        <v>908</v>
      </c>
      <c r="M251" s="51">
        <f t="shared" si="76"/>
        <v>50</v>
      </c>
      <c r="N251" s="53" t="b">
        <f t="shared" si="78"/>
        <v>0</v>
      </c>
      <c r="O251" s="53" t="b">
        <f t="shared" si="79"/>
        <v>1</v>
      </c>
      <c r="P251" s="53" t="str">
        <f t="shared" si="80"/>
        <v>bottles9</v>
      </c>
      <c r="Q251" s="68" t="str">
        <f t="shared" si="81"/>
        <v>16
C005635</v>
      </c>
      <c r="R251" s="53" t="b">
        <f t="shared" si="82"/>
        <v>0</v>
      </c>
      <c r="S251" s="53"/>
      <c r="T251" s="53" t="str">
        <f t="shared" si="83"/>
        <v>BOTTLES</v>
      </c>
      <c r="U251" s="53" t="str">
        <f t="shared" si="84"/>
        <v>bottles</v>
      </c>
      <c r="V251" s="53">
        <f t="shared" si="85"/>
        <v>1</v>
      </c>
      <c r="W251" s="53" t="str">
        <f t="shared" si="86"/>
        <v>bottles 9</v>
      </c>
      <c r="X251" s="53" t="str">
        <f t="shared" si="87"/>
        <v>988</v>
      </c>
      <c r="Y251" s="53" t="str">
        <f t="shared" si="88"/>
        <v>16
C</v>
      </c>
      <c r="Z251" s="53" t="str">
        <f t="shared" si="89"/>
        <v>5635</v>
      </c>
      <c r="AA251" s="53">
        <f t="shared" si="90"/>
        <v>4</v>
      </c>
      <c r="AB251" s="53">
        <f t="shared" si="91"/>
        <v>4</v>
      </c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</row>
    <row r="252" spans="1:41" ht="30" x14ac:dyDescent="0.25">
      <c r="A252" s="51" t="s">
        <v>459</v>
      </c>
      <c r="B252" s="51" t="s">
        <v>3286</v>
      </c>
      <c r="C252" s="51" t="s">
        <v>3287</v>
      </c>
      <c r="D252" s="51" t="s">
        <v>703</v>
      </c>
      <c r="E252" s="51" t="s">
        <v>182</v>
      </c>
      <c r="F252" s="51">
        <v>8</v>
      </c>
      <c r="G252" s="51" t="s">
        <v>35</v>
      </c>
      <c r="H252" s="51">
        <v>16.25</v>
      </c>
      <c r="I252" s="51">
        <f t="shared" si="73"/>
        <v>130</v>
      </c>
      <c r="J252" s="51">
        <f t="shared" si="74"/>
        <v>99.5</v>
      </c>
      <c r="K252" s="51">
        <f t="shared" si="77"/>
        <v>17</v>
      </c>
      <c r="L252" s="51">
        <f t="shared" si="75"/>
        <v>1010.75</v>
      </c>
      <c r="M252" s="51">
        <f t="shared" si="76"/>
        <v>59</v>
      </c>
      <c r="N252" s="53" t="b">
        <f t="shared" si="78"/>
        <v>0</v>
      </c>
      <c r="O252" s="53" t="b">
        <f t="shared" si="79"/>
        <v>1</v>
      </c>
      <c r="P252" s="53" t="str">
        <f t="shared" si="80"/>
        <v>cans8</v>
      </c>
      <c r="Q252" s="68" t="str">
        <f t="shared" si="81"/>
        <v>99.5
C002367</v>
      </c>
      <c r="R252" s="53" t="b">
        <f t="shared" si="82"/>
        <v>0</v>
      </c>
      <c r="S252" s="53"/>
      <c r="T252" s="53" t="str">
        <f t="shared" si="83"/>
        <v>CANS</v>
      </c>
      <c r="U252" s="53" t="str">
        <f t="shared" si="84"/>
        <v>cans</v>
      </c>
      <c r="V252" s="53">
        <f t="shared" si="85"/>
        <v>1</v>
      </c>
      <c r="W252" s="53" t="str">
        <f t="shared" si="86"/>
        <v>cans 8</v>
      </c>
      <c r="X252" s="53" t="str">
        <f t="shared" si="87"/>
        <v>1818.75</v>
      </c>
      <c r="Y252" s="53" t="str">
        <f t="shared" si="88"/>
        <v>99.5</v>
      </c>
      <c r="Z252" s="53" t="str">
        <f t="shared" si="89"/>
        <v>2367</v>
      </c>
      <c r="AA252" s="53">
        <f t="shared" si="90"/>
        <v>6</v>
      </c>
      <c r="AB252" s="53">
        <f t="shared" si="91"/>
        <v>4</v>
      </c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</row>
    <row r="253" spans="1:41" ht="30" x14ac:dyDescent="0.25">
      <c r="A253" s="51" t="s">
        <v>224</v>
      </c>
      <c r="B253" s="51" t="s">
        <v>3288</v>
      </c>
      <c r="C253" s="51" t="s">
        <v>3289</v>
      </c>
      <c r="D253" s="51" t="s">
        <v>829</v>
      </c>
      <c r="E253" s="51" t="s">
        <v>3290</v>
      </c>
      <c r="F253" s="51">
        <v>5</v>
      </c>
      <c r="G253" s="51" t="s">
        <v>35</v>
      </c>
      <c r="H253" s="51">
        <v>16</v>
      </c>
      <c r="I253" s="51">
        <f t="shared" si="73"/>
        <v>80</v>
      </c>
      <c r="J253" s="51">
        <f t="shared" si="74"/>
        <v>169</v>
      </c>
      <c r="K253" s="51">
        <f t="shared" si="77"/>
        <v>34</v>
      </c>
      <c r="L253" s="51">
        <f t="shared" si="75"/>
        <v>1010.75</v>
      </c>
      <c r="M253" s="51">
        <f t="shared" si="76"/>
        <v>59</v>
      </c>
      <c r="N253" s="53" t="b">
        <f t="shared" si="78"/>
        <v>0</v>
      </c>
      <c r="O253" s="53" t="b">
        <f t="shared" si="79"/>
        <v>1</v>
      </c>
      <c r="P253" s="53" t="str">
        <f t="shared" si="80"/>
        <v>cans5</v>
      </c>
      <c r="Q253" s="68" t="str">
        <f t="shared" si="81"/>
        <v>169
C004275</v>
      </c>
      <c r="R253" s="53" t="b">
        <f t="shared" si="82"/>
        <v>0</v>
      </c>
      <c r="S253" s="53"/>
      <c r="T253" s="53" t="str">
        <f t="shared" si="83"/>
        <v>CANS</v>
      </c>
      <c r="U253" s="53" t="str">
        <f t="shared" si="84"/>
        <v>cans</v>
      </c>
      <c r="V253" s="53">
        <f t="shared" si="85"/>
        <v>1</v>
      </c>
      <c r="W253" s="53" t="str">
        <f t="shared" si="86"/>
        <v>cans 5</v>
      </c>
      <c r="X253" s="53" t="str">
        <f t="shared" si="87"/>
        <v>1818.75</v>
      </c>
      <c r="Y253" s="53" t="str">
        <f t="shared" si="88"/>
        <v xml:space="preserve">169
</v>
      </c>
      <c r="Z253" s="53" t="str">
        <f t="shared" si="89"/>
        <v>4275</v>
      </c>
      <c r="AA253" s="53">
        <f t="shared" si="90"/>
        <v>5</v>
      </c>
      <c r="AB253" s="53">
        <f t="shared" si="91"/>
        <v>4</v>
      </c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</row>
    <row r="254" spans="1:41" ht="30" x14ac:dyDescent="0.25">
      <c r="A254" s="51" t="s">
        <v>283</v>
      </c>
      <c r="B254" s="51" t="s">
        <v>3291</v>
      </c>
      <c r="C254" s="51" t="s">
        <v>3292</v>
      </c>
      <c r="D254" s="51" t="s">
        <v>778</v>
      </c>
      <c r="E254" s="51" t="s">
        <v>1302</v>
      </c>
      <c r="F254" s="51">
        <v>7</v>
      </c>
      <c r="G254" s="51" t="s">
        <v>269</v>
      </c>
      <c r="H254" s="51">
        <v>15</v>
      </c>
      <c r="I254" s="51">
        <f t="shared" si="73"/>
        <v>105</v>
      </c>
      <c r="J254" s="51">
        <f t="shared" si="74"/>
        <v>131.5</v>
      </c>
      <c r="K254" s="51">
        <f t="shared" si="77"/>
        <v>27</v>
      </c>
      <c r="L254" s="51">
        <f t="shared" si="75"/>
        <v>123</v>
      </c>
      <c r="M254" s="51">
        <f t="shared" si="76"/>
        <v>9</v>
      </c>
      <c r="N254" s="53" t="b">
        <f t="shared" si="78"/>
        <v>0</v>
      </c>
      <c r="O254" s="53" t="b">
        <f t="shared" si="79"/>
        <v>0</v>
      </c>
      <c r="P254" s="53" t="str">
        <f t="shared" si="80"/>
        <v>ct.7</v>
      </c>
      <c r="Q254" s="68" t="str">
        <f t="shared" si="81"/>
        <v>131.5
C000316</v>
      </c>
      <c r="R254" s="53" t="b">
        <f t="shared" si="82"/>
        <v>0</v>
      </c>
      <c r="S254" s="53"/>
      <c r="T254" s="53" t="str">
        <f t="shared" si="83"/>
        <v>CT.</v>
      </c>
      <c r="U254" s="53" t="str">
        <f t="shared" si="84"/>
        <v>ct.</v>
      </c>
      <c r="V254" s="53">
        <f t="shared" si="85"/>
        <v>1</v>
      </c>
      <c r="W254" s="53" t="str">
        <f t="shared" si="86"/>
        <v>ct. 7</v>
      </c>
      <c r="X254" s="53" t="str">
        <f t="shared" si="87"/>
        <v>123</v>
      </c>
      <c r="Y254" s="53" t="str">
        <f t="shared" si="88"/>
        <v>131.</v>
      </c>
      <c r="Z254" s="53" t="str">
        <f t="shared" si="89"/>
        <v>0316</v>
      </c>
      <c r="AA254" s="53">
        <f t="shared" si="90"/>
        <v>7</v>
      </c>
      <c r="AB254" s="53">
        <f t="shared" si="91"/>
        <v>2</v>
      </c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</row>
    <row r="255" spans="1:41" ht="30" x14ac:dyDescent="0.25">
      <c r="A255" s="51" t="s">
        <v>162</v>
      </c>
      <c r="B255" s="51" t="s">
        <v>3293</v>
      </c>
      <c r="C255" s="51" t="s">
        <v>3294</v>
      </c>
      <c r="D255" s="51" t="s">
        <v>1236</v>
      </c>
      <c r="E255" s="51" t="s">
        <v>2929</v>
      </c>
      <c r="F255" s="51">
        <v>11</v>
      </c>
      <c r="G255" s="51" t="s">
        <v>269</v>
      </c>
      <c r="H255" s="51">
        <v>12</v>
      </c>
      <c r="I255" s="51">
        <f t="shared" si="73"/>
        <v>132</v>
      </c>
      <c r="J255" s="51">
        <f t="shared" si="74"/>
        <v>97.5</v>
      </c>
      <c r="K255" s="51">
        <f t="shared" si="77"/>
        <v>16</v>
      </c>
      <c r="L255" s="51">
        <f t="shared" si="75"/>
        <v>123</v>
      </c>
      <c r="M255" s="51">
        <f t="shared" si="76"/>
        <v>9</v>
      </c>
      <c r="N255" s="53" t="b">
        <f t="shared" si="78"/>
        <v>0</v>
      </c>
      <c r="O255" s="53" t="b">
        <f t="shared" si="79"/>
        <v>1</v>
      </c>
      <c r="P255" s="53" t="str">
        <f t="shared" si="80"/>
        <v>ct.11</v>
      </c>
      <c r="Q255" s="68" t="str">
        <f t="shared" si="81"/>
        <v>97.5
C000597</v>
      </c>
      <c r="R255" s="53" t="b">
        <f t="shared" si="82"/>
        <v>0</v>
      </c>
      <c r="S255" s="53"/>
      <c r="T255" s="53" t="str">
        <f t="shared" si="83"/>
        <v>CT.</v>
      </c>
      <c r="U255" s="53" t="str">
        <f t="shared" si="84"/>
        <v>ct.</v>
      </c>
      <c r="V255" s="53">
        <f t="shared" si="85"/>
        <v>1</v>
      </c>
      <c r="W255" s="53" t="str">
        <f t="shared" si="86"/>
        <v>ct. 11</v>
      </c>
      <c r="X255" s="53" t="str">
        <f t="shared" si="87"/>
        <v>123</v>
      </c>
      <c r="Y255" s="53" t="str">
        <f t="shared" si="88"/>
        <v>97.5</v>
      </c>
      <c r="Z255" s="53" t="str">
        <f t="shared" si="89"/>
        <v>0597</v>
      </c>
      <c r="AA255" s="53">
        <f t="shared" si="90"/>
        <v>6</v>
      </c>
      <c r="AB255" s="53">
        <f t="shared" si="91"/>
        <v>4</v>
      </c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</row>
    <row r="256" spans="1:41" ht="30" x14ac:dyDescent="0.25">
      <c r="A256" s="51" t="s">
        <v>55</v>
      </c>
      <c r="B256" s="51" t="s">
        <v>3295</v>
      </c>
      <c r="C256" s="51" t="s">
        <v>3296</v>
      </c>
      <c r="D256" s="51" t="s">
        <v>393</v>
      </c>
      <c r="E256" s="51" t="s">
        <v>3297</v>
      </c>
      <c r="F256" s="51">
        <v>3</v>
      </c>
      <c r="G256" s="51" t="s">
        <v>167</v>
      </c>
      <c r="H256" s="51">
        <v>15</v>
      </c>
      <c r="I256" s="51">
        <f t="shared" si="73"/>
        <v>45</v>
      </c>
      <c r="J256" s="51">
        <f t="shared" si="74"/>
        <v>231.5</v>
      </c>
      <c r="K256" s="51">
        <f t="shared" si="77"/>
        <v>48</v>
      </c>
      <c r="L256" s="51">
        <f t="shared" si="75"/>
        <v>307</v>
      </c>
      <c r="M256" s="51">
        <f t="shared" si="76"/>
        <v>19</v>
      </c>
      <c r="N256" s="53" t="b">
        <f t="shared" si="78"/>
        <v>0</v>
      </c>
      <c r="O256" s="53" t="b">
        <f t="shared" si="79"/>
        <v>1</v>
      </c>
      <c r="P256" s="53" t="str">
        <f t="shared" si="80"/>
        <v>oz3</v>
      </c>
      <c r="Q256" s="68" t="str">
        <f t="shared" si="81"/>
        <v>231.5
C005359</v>
      </c>
      <c r="R256" s="53" t="b">
        <f t="shared" si="82"/>
        <v>0</v>
      </c>
      <c r="S256" s="53"/>
      <c r="T256" s="53" t="str">
        <f t="shared" si="83"/>
        <v>OZ</v>
      </c>
      <c r="U256" s="53" t="str">
        <f t="shared" si="84"/>
        <v>oz</v>
      </c>
      <c r="V256" s="53">
        <f t="shared" si="85"/>
        <v>1</v>
      </c>
      <c r="W256" s="53" t="str">
        <f t="shared" si="86"/>
        <v>oz 3</v>
      </c>
      <c r="X256" s="53" t="str">
        <f t="shared" si="87"/>
        <v>387</v>
      </c>
      <c r="Y256" s="53" t="str">
        <f t="shared" si="88"/>
        <v>231.</v>
      </c>
      <c r="Z256" s="53" t="str">
        <f t="shared" si="89"/>
        <v>5359</v>
      </c>
      <c r="AA256" s="53">
        <f t="shared" si="90"/>
        <v>7</v>
      </c>
      <c r="AB256" s="53">
        <f t="shared" si="91"/>
        <v>4</v>
      </c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</row>
    <row r="257" spans="1:41" ht="30" x14ac:dyDescent="0.25">
      <c r="A257" s="51" t="s">
        <v>459</v>
      </c>
      <c r="B257" s="51" t="s">
        <v>3298</v>
      </c>
      <c r="C257" s="51" t="s">
        <v>3299</v>
      </c>
      <c r="D257" s="51" t="s">
        <v>28</v>
      </c>
      <c r="E257" s="51" t="s">
        <v>767</v>
      </c>
      <c r="F257" s="51">
        <v>4</v>
      </c>
      <c r="G257" s="51" t="s">
        <v>13</v>
      </c>
      <c r="H257" s="51">
        <v>14</v>
      </c>
      <c r="I257" s="51">
        <f t="shared" si="73"/>
        <v>56</v>
      </c>
      <c r="J257" s="51">
        <f t="shared" si="74"/>
        <v>210.5</v>
      </c>
      <c r="K257" s="51">
        <f t="shared" si="77"/>
        <v>42</v>
      </c>
      <c r="L257" s="51">
        <f t="shared" si="75"/>
        <v>2079.5</v>
      </c>
      <c r="M257" s="51">
        <f t="shared" si="76"/>
        <v>107</v>
      </c>
      <c r="N257" s="53" t="b">
        <f t="shared" si="78"/>
        <v>0</v>
      </c>
      <c r="O257" s="53" t="b">
        <f t="shared" si="79"/>
        <v>1</v>
      </c>
      <c r="P257" s="53" t="str">
        <f t="shared" si="80"/>
        <v>ct4</v>
      </c>
      <c r="Q257" s="68" t="str">
        <f t="shared" si="81"/>
        <v>210.5
C004385</v>
      </c>
      <c r="R257" s="53" t="b">
        <f t="shared" si="82"/>
        <v>0</v>
      </c>
      <c r="S257" s="53"/>
      <c r="T257" s="53" t="str">
        <f t="shared" si="83"/>
        <v>CT</v>
      </c>
      <c r="U257" s="53" t="str">
        <f t="shared" si="84"/>
        <v>ct</v>
      </c>
      <c r="V257" s="53">
        <f t="shared" si="85"/>
        <v>1</v>
      </c>
      <c r="W257" s="53" t="str">
        <f t="shared" si="86"/>
        <v>ct 4</v>
      </c>
      <c r="X257" s="53" t="str">
        <f t="shared" si="87"/>
        <v>2879.5</v>
      </c>
      <c r="Y257" s="53" t="str">
        <f t="shared" si="88"/>
        <v>210.</v>
      </c>
      <c r="Z257" s="53" t="str">
        <f t="shared" si="89"/>
        <v>4385</v>
      </c>
      <c r="AA257" s="53">
        <f t="shared" si="90"/>
        <v>7</v>
      </c>
      <c r="AB257" s="53">
        <f t="shared" si="91"/>
        <v>3</v>
      </c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</row>
    <row r="258" spans="1:41" ht="30" x14ac:dyDescent="0.25">
      <c r="A258" s="51" t="s">
        <v>25</v>
      </c>
      <c r="B258" s="51" t="s">
        <v>3300</v>
      </c>
      <c r="C258" s="51" t="s">
        <v>3301</v>
      </c>
      <c r="D258" s="51" t="s">
        <v>1708</v>
      </c>
      <c r="E258" s="51" t="s">
        <v>538</v>
      </c>
      <c r="F258" s="51">
        <v>8</v>
      </c>
      <c r="G258" s="51" t="s">
        <v>35</v>
      </c>
      <c r="H258" s="51">
        <v>16</v>
      </c>
      <c r="I258" s="51">
        <f t="shared" si="73"/>
        <v>128</v>
      </c>
      <c r="J258" s="51">
        <f t="shared" si="74"/>
        <v>102</v>
      </c>
      <c r="K258" s="51">
        <f t="shared" si="77"/>
        <v>16</v>
      </c>
      <c r="L258" s="51">
        <f t="shared" si="75"/>
        <v>1010.75</v>
      </c>
      <c r="M258" s="51">
        <f t="shared" si="76"/>
        <v>59</v>
      </c>
      <c r="N258" s="53" t="b">
        <f t="shared" si="78"/>
        <v>0</v>
      </c>
      <c r="O258" s="53" t="b">
        <f t="shared" si="79"/>
        <v>0</v>
      </c>
      <c r="P258" s="53" t="str">
        <f t="shared" si="80"/>
        <v>cans8</v>
      </c>
      <c r="Q258" s="68" t="str">
        <f t="shared" si="81"/>
        <v>102
C004780</v>
      </c>
      <c r="R258" s="53" t="b">
        <f t="shared" si="82"/>
        <v>0</v>
      </c>
      <c r="S258" s="53"/>
      <c r="T258" s="53" t="str">
        <f t="shared" si="83"/>
        <v>CANS</v>
      </c>
      <c r="U258" s="53" t="str">
        <f t="shared" si="84"/>
        <v>cans</v>
      </c>
      <c r="V258" s="53">
        <f t="shared" si="85"/>
        <v>1</v>
      </c>
      <c r="W258" s="53" t="str">
        <f t="shared" si="86"/>
        <v>cans 8</v>
      </c>
      <c r="X258" s="53" t="str">
        <f t="shared" si="87"/>
        <v>1818.75</v>
      </c>
      <c r="Y258" s="53" t="str">
        <f t="shared" si="88"/>
        <v xml:space="preserve">102
</v>
      </c>
      <c r="Z258" s="53" t="str">
        <f t="shared" si="89"/>
        <v>4780</v>
      </c>
      <c r="AA258" s="53">
        <f t="shared" si="90"/>
        <v>5</v>
      </c>
      <c r="AB258" s="53">
        <f t="shared" si="91"/>
        <v>7</v>
      </c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</row>
    <row r="259" spans="1:41" ht="30" x14ac:dyDescent="0.25">
      <c r="A259" s="51" t="s">
        <v>71</v>
      </c>
      <c r="B259" s="51" t="s">
        <v>3302</v>
      </c>
      <c r="C259" s="51" t="s">
        <v>3303</v>
      </c>
      <c r="D259" s="51" t="s">
        <v>933</v>
      </c>
      <c r="E259" s="51" t="s">
        <v>1536</v>
      </c>
      <c r="F259" s="51">
        <v>5</v>
      </c>
      <c r="G259" s="51" t="s">
        <v>407</v>
      </c>
      <c r="H259" s="51">
        <v>16</v>
      </c>
      <c r="I259" s="51">
        <f t="shared" si="73"/>
        <v>80</v>
      </c>
      <c r="J259" s="51">
        <f t="shared" si="74"/>
        <v>169</v>
      </c>
      <c r="K259" s="51">
        <f t="shared" si="77"/>
        <v>31</v>
      </c>
      <c r="L259" s="51">
        <f t="shared" si="75"/>
        <v>182</v>
      </c>
      <c r="M259" s="51">
        <f t="shared" si="76"/>
        <v>12</v>
      </c>
      <c r="N259" s="53" t="b">
        <f t="shared" si="78"/>
        <v>0</v>
      </c>
      <c r="O259" s="53" t="b">
        <f t="shared" si="79"/>
        <v>1</v>
      </c>
      <c r="P259" s="53" t="str">
        <f t="shared" si="80"/>
        <v>pk5</v>
      </c>
      <c r="Q259" s="68" t="str">
        <f t="shared" si="81"/>
        <v>169
C005263</v>
      </c>
      <c r="R259" s="53" t="b">
        <f t="shared" si="82"/>
        <v>0</v>
      </c>
      <c r="S259" s="53"/>
      <c r="T259" s="53" t="str">
        <f t="shared" si="83"/>
        <v>PK</v>
      </c>
      <c r="U259" s="53" t="str">
        <f t="shared" si="84"/>
        <v>pk</v>
      </c>
      <c r="V259" s="53">
        <f t="shared" si="85"/>
        <v>1</v>
      </c>
      <c r="W259" s="53" t="str">
        <f t="shared" si="86"/>
        <v>pk 5</v>
      </c>
      <c r="X259" s="53" t="str">
        <f t="shared" si="87"/>
        <v>182</v>
      </c>
      <c r="Y259" s="53" t="str">
        <f t="shared" si="88"/>
        <v xml:space="preserve">169
</v>
      </c>
      <c r="Z259" s="53" t="str">
        <f t="shared" si="89"/>
        <v>5263</v>
      </c>
      <c r="AA259" s="53">
        <f t="shared" si="90"/>
        <v>5</v>
      </c>
      <c r="AB259" s="53">
        <f t="shared" si="91"/>
        <v>2</v>
      </c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</row>
    <row r="260" spans="1:41" ht="30" x14ac:dyDescent="0.25">
      <c r="A260" s="51" t="s">
        <v>101</v>
      </c>
      <c r="B260" s="51" t="s">
        <v>3304</v>
      </c>
      <c r="C260" s="51" t="s">
        <v>3305</v>
      </c>
      <c r="D260" s="51" t="s">
        <v>510</v>
      </c>
      <c r="E260" s="51" t="s">
        <v>302</v>
      </c>
      <c r="F260" s="51">
        <v>6</v>
      </c>
      <c r="G260" s="51" t="s">
        <v>167</v>
      </c>
      <c r="H260" s="51">
        <v>10</v>
      </c>
      <c r="I260" s="51">
        <f t="shared" ref="I260:I304" si="92">H260*F260</f>
        <v>60</v>
      </c>
      <c r="J260" s="51">
        <f t="shared" ref="J260:J304" si="93">_xlfn.RANK.AVG(I260,$I$3:$I$304)</f>
        <v>205.5</v>
      </c>
      <c r="K260" s="51">
        <f t="shared" si="77"/>
        <v>39</v>
      </c>
      <c r="L260" s="51">
        <f t="shared" ref="L260:L304" si="94">SUMIF(G$3:G$304,G260,H$3:H$304)</f>
        <v>307</v>
      </c>
      <c r="M260" s="51">
        <f t="shared" ref="M260:M304" si="95">COUNTIF(G$3:G$304,G260)</f>
        <v>19</v>
      </c>
      <c r="N260" s="53" t="b">
        <f t="shared" si="78"/>
        <v>0</v>
      </c>
      <c r="O260" s="53" t="b">
        <f t="shared" si="79"/>
        <v>1</v>
      </c>
      <c r="P260" s="53" t="str">
        <f t="shared" si="80"/>
        <v>oz6</v>
      </c>
      <c r="Q260" s="68" t="str">
        <f t="shared" si="81"/>
        <v>205.5
C002148</v>
      </c>
      <c r="R260" s="53" t="b">
        <f t="shared" si="82"/>
        <v>0</v>
      </c>
      <c r="S260" s="53"/>
      <c r="T260" s="53" t="str">
        <f t="shared" si="83"/>
        <v>OZ</v>
      </c>
      <c r="U260" s="53" t="str">
        <f t="shared" si="84"/>
        <v>oz</v>
      </c>
      <c r="V260" s="53">
        <f t="shared" si="85"/>
        <v>1</v>
      </c>
      <c r="W260" s="53" t="str">
        <f t="shared" si="86"/>
        <v>oz 6</v>
      </c>
      <c r="X260" s="53" t="str">
        <f t="shared" si="87"/>
        <v>387</v>
      </c>
      <c r="Y260" s="53" t="str">
        <f t="shared" si="88"/>
        <v>205.</v>
      </c>
      <c r="Z260" s="53" t="str">
        <f t="shared" si="89"/>
        <v>2148</v>
      </c>
      <c r="AA260" s="53">
        <f t="shared" si="90"/>
        <v>7</v>
      </c>
      <c r="AB260" s="53">
        <f t="shared" si="91"/>
        <v>2</v>
      </c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</row>
    <row r="261" spans="1:41" ht="30" x14ac:dyDescent="0.25">
      <c r="A261" s="51" t="s">
        <v>339</v>
      </c>
      <c r="B261" s="51" t="s">
        <v>3306</v>
      </c>
      <c r="C261" s="51" t="s">
        <v>3307</v>
      </c>
      <c r="D261" s="51" t="s">
        <v>616</v>
      </c>
      <c r="E261" s="51" t="s">
        <v>1354</v>
      </c>
      <c r="F261" s="51">
        <v>9</v>
      </c>
      <c r="G261" s="51" t="s">
        <v>13</v>
      </c>
      <c r="H261" s="51">
        <v>18</v>
      </c>
      <c r="I261" s="51">
        <f t="shared" si="92"/>
        <v>162</v>
      </c>
      <c r="J261" s="51">
        <f t="shared" si="93"/>
        <v>61</v>
      </c>
      <c r="K261" s="51">
        <f t="shared" si="77"/>
        <v>7</v>
      </c>
      <c r="L261" s="51">
        <f t="shared" si="94"/>
        <v>2079.5</v>
      </c>
      <c r="M261" s="51">
        <f t="shared" si="95"/>
        <v>107</v>
      </c>
      <c r="N261" s="53" t="b">
        <f t="shared" si="78"/>
        <v>0</v>
      </c>
      <c r="O261" s="53" t="b">
        <f t="shared" si="79"/>
        <v>1</v>
      </c>
      <c r="P261" s="53" t="str">
        <f t="shared" si="80"/>
        <v>ct9</v>
      </c>
      <c r="Q261" s="68" t="str">
        <f t="shared" si="81"/>
        <v>61
C007317</v>
      </c>
      <c r="R261" s="53" t="b">
        <f t="shared" si="82"/>
        <v>0</v>
      </c>
      <c r="S261" s="53"/>
      <c r="T261" s="53" t="str">
        <f t="shared" si="83"/>
        <v>CT</v>
      </c>
      <c r="U261" s="53" t="str">
        <f t="shared" si="84"/>
        <v>ct</v>
      </c>
      <c r="V261" s="53">
        <f t="shared" si="85"/>
        <v>1</v>
      </c>
      <c r="W261" s="53" t="str">
        <f t="shared" si="86"/>
        <v>ct 9</v>
      </c>
      <c r="X261" s="53" t="str">
        <f t="shared" si="87"/>
        <v>2879.5</v>
      </c>
      <c r="Y261" s="53" t="str">
        <f t="shared" si="88"/>
        <v>61
C</v>
      </c>
      <c r="Z261" s="53" t="str">
        <f t="shared" si="89"/>
        <v>7317</v>
      </c>
      <c r="AA261" s="53">
        <f t="shared" si="90"/>
        <v>4</v>
      </c>
      <c r="AB261" s="53">
        <f t="shared" si="91"/>
        <v>7</v>
      </c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</row>
    <row r="262" spans="1:41" ht="30" x14ac:dyDescent="0.25">
      <c r="A262" s="51" t="s">
        <v>224</v>
      </c>
      <c r="B262" s="51" t="s">
        <v>3308</v>
      </c>
      <c r="C262" s="51" t="s">
        <v>3309</v>
      </c>
      <c r="D262" s="51" t="s">
        <v>596</v>
      </c>
      <c r="E262" s="51" t="s">
        <v>105</v>
      </c>
      <c r="F262" s="51">
        <v>1</v>
      </c>
      <c r="G262" s="51" t="s">
        <v>178</v>
      </c>
      <c r="H262" s="51">
        <v>16</v>
      </c>
      <c r="I262" s="51">
        <f t="shared" si="92"/>
        <v>16</v>
      </c>
      <c r="J262" s="51">
        <f t="shared" si="93"/>
        <v>288</v>
      </c>
      <c r="K262" s="51">
        <f t="shared" si="77"/>
        <v>59</v>
      </c>
      <c r="L262" s="51">
        <f t="shared" si="94"/>
        <v>32</v>
      </c>
      <c r="M262" s="51">
        <f t="shared" si="95"/>
        <v>2</v>
      </c>
      <c r="N262" s="53" t="b">
        <f t="shared" si="78"/>
        <v>0</v>
      </c>
      <c r="O262" s="53" t="b">
        <f t="shared" si="79"/>
        <v>1</v>
      </c>
      <c r="P262" s="53" t="str">
        <f t="shared" si="80"/>
        <v>tubs1</v>
      </c>
      <c r="Q262" s="68" t="str">
        <f t="shared" si="81"/>
        <v>288
C001511</v>
      </c>
      <c r="R262" s="53" t="b">
        <f t="shared" si="82"/>
        <v>0</v>
      </c>
      <c r="S262" s="53"/>
      <c r="T262" s="53" t="str">
        <f t="shared" si="83"/>
        <v>TUBS</v>
      </c>
      <c r="U262" s="53" t="str">
        <f t="shared" si="84"/>
        <v>tubs</v>
      </c>
      <c r="V262" s="53">
        <f t="shared" si="85"/>
        <v>1</v>
      </c>
      <c r="W262" s="53" t="str">
        <f t="shared" si="86"/>
        <v>tubs 1</v>
      </c>
      <c r="X262" s="53" t="str">
        <f t="shared" si="87"/>
        <v>32</v>
      </c>
      <c r="Y262" s="53" t="str">
        <f t="shared" si="88"/>
        <v xml:space="preserve">288
</v>
      </c>
      <c r="Z262" s="53" t="str">
        <f t="shared" si="89"/>
        <v>1511</v>
      </c>
      <c r="AA262" s="53">
        <f t="shared" si="90"/>
        <v>5</v>
      </c>
      <c r="AB262" s="53">
        <f t="shared" si="91"/>
        <v>2</v>
      </c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</row>
    <row r="263" spans="1:41" ht="30" x14ac:dyDescent="0.25">
      <c r="A263" s="51" t="s">
        <v>66</v>
      </c>
      <c r="B263" s="51" t="s">
        <v>3310</v>
      </c>
      <c r="C263" s="51" t="s">
        <v>3311</v>
      </c>
      <c r="D263" s="51" t="s">
        <v>476</v>
      </c>
      <c r="E263" s="51" t="s">
        <v>302</v>
      </c>
      <c r="F263" s="51">
        <v>1</v>
      </c>
      <c r="G263" s="51" t="s">
        <v>13</v>
      </c>
      <c r="H263" s="51">
        <v>32</v>
      </c>
      <c r="I263" s="51">
        <f t="shared" si="92"/>
        <v>32</v>
      </c>
      <c r="J263" s="51">
        <f t="shared" si="93"/>
        <v>261</v>
      </c>
      <c r="K263" s="51">
        <f t="shared" ref="K263:K326" si="96">_xlfn.RANK.EQ(I263,I263:I565)</f>
        <v>50</v>
      </c>
      <c r="L263" s="51">
        <f t="shared" si="94"/>
        <v>2079.5</v>
      </c>
      <c r="M263" s="51">
        <f t="shared" si="95"/>
        <v>107</v>
      </c>
      <c r="N263" s="53" t="b">
        <f t="shared" si="78"/>
        <v>0</v>
      </c>
      <c r="O263" s="53" t="b">
        <f t="shared" si="79"/>
        <v>1</v>
      </c>
      <c r="P263" s="53" t="str">
        <f t="shared" si="80"/>
        <v>ct1</v>
      </c>
      <c r="Q263" s="68" t="str">
        <f t="shared" si="81"/>
        <v>261
C001413</v>
      </c>
      <c r="R263" s="53" t="b">
        <f t="shared" si="82"/>
        <v>0</v>
      </c>
      <c r="S263" s="53"/>
      <c r="T263" s="53" t="str">
        <f t="shared" si="83"/>
        <v>CT</v>
      </c>
      <c r="U263" s="53" t="str">
        <f t="shared" si="84"/>
        <v>ct</v>
      </c>
      <c r="V263" s="53">
        <f t="shared" si="85"/>
        <v>1</v>
      </c>
      <c r="W263" s="53" t="str">
        <f t="shared" si="86"/>
        <v>ct 1</v>
      </c>
      <c r="X263" s="53" t="str">
        <f t="shared" si="87"/>
        <v>2879.5</v>
      </c>
      <c r="Y263" s="53" t="str">
        <f t="shared" si="88"/>
        <v xml:space="preserve">261
</v>
      </c>
      <c r="Z263" s="53" t="str">
        <f t="shared" si="89"/>
        <v>1413</v>
      </c>
      <c r="AA263" s="53">
        <f t="shared" si="90"/>
        <v>5</v>
      </c>
      <c r="AB263" s="53">
        <f t="shared" si="91"/>
        <v>2</v>
      </c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</row>
    <row r="264" spans="1:41" ht="30" x14ac:dyDescent="0.25">
      <c r="A264" s="51" t="s">
        <v>91</v>
      </c>
      <c r="B264" s="51" t="s">
        <v>3312</v>
      </c>
      <c r="C264" s="51" t="s">
        <v>3313</v>
      </c>
      <c r="D264" s="51" t="s">
        <v>902</v>
      </c>
      <c r="E264" s="51" t="s">
        <v>527</v>
      </c>
      <c r="F264" s="51">
        <v>8</v>
      </c>
      <c r="G264" s="51" t="s">
        <v>904</v>
      </c>
      <c r="H264" s="51">
        <v>23</v>
      </c>
      <c r="I264" s="51">
        <f t="shared" si="92"/>
        <v>184</v>
      </c>
      <c r="J264" s="51">
        <f t="shared" si="93"/>
        <v>39</v>
      </c>
      <c r="K264" s="51">
        <f t="shared" si="96"/>
        <v>6</v>
      </c>
      <c r="L264" s="51">
        <f t="shared" si="94"/>
        <v>223</v>
      </c>
      <c r="M264" s="51">
        <f t="shared" si="95"/>
        <v>10</v>
      </c>
      <c r="N264" s="53" t="b">
        <f t="shared" si="78"/>
        <v>0</v>
      </c>
      <c r="O264" s="53" t="b">
        <f t="shared" si="79"/>
        <v>1</v>
      </c>
      <c r="P264" s="53" t="str">
        <f t="shared" si="80"/>
        <v>bars8</v>
      </c>
      <c r="Q264" s="68" t="str">
        <f t="shared" si="81"/>
        <v>39
C004496</v>
      </c>
      <c r="R264" s="53" t="b">
        <f t="shared" si="82"/>
        <v>0</v>
      </c>
      <c r="S264" s="53"/>
      <c r="T264" s="53" t="str">
        <f t="shared" si="83"/>
        <v>BARS</v>
      </c>
      <c r="U264" s="53" t="str">
        <f t="shared" si="84"/>
        <v>bars</v>
      </c>
      <c r="V264" s="53">
        <f t="shared" si="85"/>
        <v>1</v>
      </c>
      <c r="W264" s="53" t="str">
        <f t="shared" si="86"/>
        <v>bars 8</v>
      </c>
      <c r="X264" s="53" t="str">
        <f t="shared" si="87"/>
        <v>223</v>
      </c>
      <c r="Y264" s="53" t="str">
        <f t="shared" si="88"/>
        <v>39
C</v>
      </c>
      <c r="Z264" s="53" t="str">
        <f t="shared" si="89"/>
        <v>4496</v>
      </c>
      <c r="AA264" s="53">
        <f t="shared" si="90"/>
        <v>4</v>
      </c>
      <c r="AB264" s="53">
        <f t="shared" si="91"/>
        <v>7</v>
      </c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</row>
    <row r="265" spans="1:41" ht="30" x14ac:dyDescent="0.25">
      <c r="A265" s="51" t="s">
        <v>66</v>
      </c>
      <c r="B265" s="51" t="s">
        <v>1448</v>
      </c>
      <c r="C265" s="51" t="s">
        <v>3314</v>
      </c>
      <c r="D265" s="51" t="s">
        <v>1706</v>
      </c>
      <c r="E265" s="51" t="s">
        <v>1038</v>
      </c>
      <c r="F265" s="51">
        <v>8</v>
      </c>
      <c r="G265" s="51" t="s">
        <v>35</v>
      </c>
      <c r="H265" s="51">
        <v>16</v>
      </c>
      <c r="I265" s="51">
        <f t="shared" si="92"/>
        <v>128</v>
      </c>
      <c r="J265" s="51">
        <f t="shared" si="93"/>
        <v>102</v>
      </c>
      <c r="K265" s="51">
        <f t="shared" si="96"/>
        <v>14</v>
      </c>
      <c r="L265" s="51">
        <f t="shared" si="94"/>
        <v>1010.75</v>
      </c>
      <c r="M265" s="51">
        <f t="shared" si="95"/>
        <v>59</v>
      </c>
      <c r="N265" s="53" t="b">
        <f t="shared" si="78"/>
        <v>0</v>
      </c>
      <c r="O265" s="53" t="b">
        <f t="shared" si="79"/>
        <v>0</v>
      </c>
      <c r="P265" s="53" t="str">
        <f t="shared" si="80"/>
        <v>cans8</v>
      </c>
      <c r="Q265" s="68" t="str">
        <f t="shared" si="81"/>
        <v>102
C007103</v>
      </c>
      <c r="R265" s="53" t="b">
        <f t="shared" si="82"/>
        <v>0</v>
      </c>
      <c r="S265" s="53"/>
      <c r="T265" s="53" t="str">
        <f t="shared" si="83"/>
        <v>CANS</v>
      </c>
      <c r="U265" s="53" t="str">
        <f t="shared" si="84"/>
        <v>cans</v>
      </c>
      <c r="V265" s="53">
        <f t="shared" si="85"/>
        <v>1</v>
      </c>
      <c r="W265" s="53" t="str">
        <f t="shared" si="86"/>
        <v>cans 8</v>
      </c>
      <c r="X265" s="53" t="str">
        <f t="shared" si="87"/>
        <v>1818.75</v>
      </c>
      <c r="Y265" s="53" t="str">
        <f t="shared" si="88"/>
        <v xml:space="preserve">102
</v>
      </c>
      <c r="Z265" s="53" t="str">
        <f t="shared" si="89"/>
        <v>7103</v>
      </c>
      <c r="AA265" s="53">
        <f t="shared" si="90"/>
        <v>5</v>
      </c>
      <c r="AB265" s="53">
        <f t="shared" si="91"/>
        <v>3</v>
      </c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</row>
    <row r="266" spans="1:41" ht="30" x14ac:dyDescent="0.25">
      <c r="A266" s="51" t="s">
        <v>107</v>
      </c>
      <c r="B266" s="51" t="s">
        <v>2485</v>
      </c>
      <c r="C266" s="51" t="s">
        <v>3315</v>
      </c>
      <c r="D266" s="51" t="s">
        <v>1954</v>
      </c>
      <c r="E266" s="51" t="s">
        <v>3316</v>
      </c>
      <c r="F266" s="51">
        <v>4</v>
      </c>
      <c r="G266" s="51" t="s">
        <v>904</v>
      </c>
      <c r="H266" s="51">
        <v>20</v>
      </c>
      <c r="I266" s="51">
        <f t="shared" si="92"/>
        <v>80</v>
      </c>
      <c r="J266" s="51">
        <f t="shared" si="93"/>
        <v>169</v>
      </c>
      <c r="K266" s="51">
        <f t="shared" si="96"/>
        <v>28</v>
      </c>
      <c r="L266" s="51">
        <f t="shared" si="94"/>
        <v>223</v>
      </c>
      <c r="M266" s="51">
        <f t="shared" si="95"/>
        <v>10</v>
      </c>
      <c r="N266" s="53" t="b">
        <f t="shared" si="78"/>
        <v>0</v>
      </c>
      <c r="O266" s="53" t="b">
        <f t="shared" si="79"/>
        <v>1</v>
      </c>
      <c r="P266" s="53" t="str">
        <f t="shared" si="80"/>
        <v>bars4</v>
      </c>
      <c r="Q266" s="68" t="str">
        <f t="shared" si="81"/>
        <v>169
C009173</v>
      </c>
      <c r="R266" s="53" t="b">
        <f t="shared" si="82"/>
        <v>0</v>
      </c>
      <c r="S266" s="53"/>
      <c r="T266" s="53" t="str">
        <f t="shared" si="83"/>
        <v>BARS</v>
      </c>
      <c r="U266" s="53" t="str">
        <f t="shared" si="84"/>
        <v>bars</v>
      </c>
      <c r="V266" s="53">
        <f t="shared" si="85"/>
        <v>1</v>
      </c>
      <c r="W266" s="53" t="str">
        <f t="shared" si="86"/>
        <v>bars 4</v>
      </c>
      <c r="X266" s="53" t="str">
        <f t="shared" si="87"/>
        <v>223</v>
      </c>
      <c r="Y266" s="53" t="str">
        <f t="shared" si="88"/>
        <v xml:space="preserve">169
</v>
      </c>
      <c r="Z266" s="53" t="str">
        <f t="shared" si="89"/>
        <v>9173</v>
      </c>
      <c r="AA266" s="53">
        <f t="shared" si="90"/>
        <v>5</v>
      </c>
      <c r="AB266" s="53">
        <f t="shared" si="91"/>
        <v>7</v>
      </c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</row>
    <row r="267" spans="1:41" ht="30" x14ac:dyDescent="0.25">
      <c r="A267" s="51" t="s">
        <v>187</v>
      </c>
      <c r="B267" s="51" t="s">
        <v>3317</v>
      </c>
      <c r="C267" s="51" t="s">
        <v>3318</v>
      </c>
      <c r="D267" s="51" t="s">
        <v>592</v>
      </c>
      <c r="E267" s="51" t="s">
        <v>1230</v>
      </c>
      <c r="F267" s="51">
        <v>8</v>
      </c>
      <c r="G267" s="51" t="s">
        <v>13</v>
      </c>
      <c r="H267" s="51">
        <v>19</v>
      </c>
      <c r="I267" s="51">
        <f t="shared" si="92"/>
        <v>152</v>
      </c>
      <c r="J267" s="51">
        <f t="shared" si="93"/>
        <v>79.5</v>
      </c>
      <c r="K267" s="51">
        <f t="shared" si="96"/>
        <v>8</v>
      </c>
      <c r="L267" s="51">
        <f t="shared" si="94"/>
        <v>2079.5</v>
      </c>
      <c r="M267" s="51">
        <f t="shared" si="95"/>
        <v>107</v>
      </c>
      <c r="N267" s="53" t="b">
        <f t="shared" si="78"/>
        <v>0</v>
      </c>
      <c r="O267" s="53" t="b">
        <f t="shared" si="79"/>
        <v>1</v>
      </c>
      <c r="P267" s="53" t="str">
        <f t="shared" si="80"/>
        <v>ct8</v>
      </c>
      <c r="Q267" s="68" t="str">
        <f t="shared" si="81"/>
        <v>79.5
C004887</v>
      </c>
      <c r="R267" s="53" t="b">
        <f t="shared" si="82"/>
        <v>0</v>
      </c>
      <c r="S267" s="53"/>
      <c r="T267" s="53" t="str">
        <f t="shared" si="83"/>
        <v>CT</v>
      </c>
      <c r="U267" s="53" t="str">
        <f t="shared" si="84"/>
        <v>ct</v>
      </c>
      <c r="V267" s="53">
        <f t="shared" si="85"/>
        <v>1</v>
      </c>
      <c r="W267" s="53" t="str">
        <f t="shared" si="86"/>
        <v>ct 8</v>
      </c>
      <c r="X267" s="53" t="str">
        <f t="shared" si="87"/>
        <v>2879.5</v>
      </c>
      <c r="Y267" s="53" t="str">
        <f t="shared" si="88"/>
        <v>79.5</v>
      </c>
      <c r="Z267" s="53" t="str">
        <f t="shared" si="89"/>
        <v>4887</v>
      </c>
      <c r="AA267" s="53">
        <f t="shared" si="90"/>
        <v>6</v>
      </c>
      <c r="AB267" s="53">
        <f t="shared" si="91"/>
        <v>2</v>
      </c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</row>
    <row r="268" spans="1:41" ht="30" x14ac:dyDescent="0.25">
      <c r="A268" s="51" t="s">
        <v>168</v>
      </c>
      <c r="B268" s="51" t="s">
        <v>3017</v>
      </c>
      <c r="C268" s="51" t="s">
        <v>3319</v>
      </c>
      <c r="D268" s="51" t="s">
        <v>1706</v>
      </c>
      <c r="E268" s="51" t="s">
        <v>564</v>
      </c>
      <c r="F268" s="51">
        <v>6</v>
      </c>
      <c r="G268" s="51" t="s">
        <v>35</v>
      </c>
      <c r="H268" s="51">
        <v>16</v>
      </c>
      <c r="I268" s="51">
        <f t="shared" si="92"/>
        <v>96</v>
      </c>
      <c r="J268" s="51">
        <f t="shared" si="93"/>
        <v>147.5</v>
      </c>
      <c r="K268" s="51">
        <f t="shared" si="96"/>
        <v>22</v>
      </c>
      <c r="L268" s="51">
        <f t="shared" si="94"/>
        <v>1010.75</v>
      </c>
      <c r="M268" s="51">
        <f t="shared" si="95"/>
        <v>59</v>
      </c>
      <c r="N268" s="53" t="b">
        <f t="shared" si="78"/>
        <v>0</v>
      </c>
      <c r="O268" s="53" t="b">
        <f t="shared" si="79"/>
        <v>0</v>
      </c>
      <c r="P268" s="53" t="str">
        <f t="shared" si="80"/>
        <v>cans6</v>
      </c>
      <c r="Q268" s="68" t="str">
        <f t="shared" si="81"/>
        <v>147.5
C000229</v>
      </c>
      <c r="R268" s="53" t="b">
        <f t="shared" si="82"/>
        <v>0</v>
      </c>
      <c r="S268" s="53"/>
      <c r="T268" s="53" t="str">
        <f t="shared" si="83"/>
        <v>CANS</v>
      </c>
      <c r="U268" s="53" t="str">
        <f t="shared" si="84"/>
        <v>cans</v>
      </c>
      <c r="V268" s="53">
        <f t="shared" si="85"/>
        <v>1</v>
      </c>
      <c r="W268" s="53" t="str">
        <f t="shared" si="86"/>
        <v>cans 6</v>
      </c>
      <c r="X268" s="53" t="str">
        <f t="shared" si="87"/>
        <v>1818.75</v>
      </c>
      <c r="Y268" s="53" t="str">
        <f t="shared" si="88"/>
        <v>147.</v>
      </c>
      <c r="Z268" s="53" t="str">
        <f t="shared" si="89"/>
        <v>0229</v>
      </c>
      <c r="AA268" s="53">
        <f t="shared" si="90"/>
        <v>7</v>
      </c>
      <c r="AB268" s="53">
        <f t="shared" si="91"/>
        <v>7</v>
      </c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</row>
    <row r="269" spans="1:41" ht="30" x14ac:dyDescent="0.25">
      <c r="A269" s="51" t="s">
        <v>96</v>
      </c>
      <c r="B269" s="51" t="s">
        <v>2900</v>
      </c>
      <c r="C269" s="51" t="s">
        <v>3320</v>
      </c>
      <c r="D269" s="51" t="s">
        <v>949</v>
      </c>
      <c r="E269" s="51" t="s">
        <v>2006</v>
      </c>
      <c r="F269" s="51">
        <v>8</v>
      </c>
      <c r="G269" s="51" t="s">
        <v>106</v>
      </c>
      <c r="H269" s="51">
        <v>17</v>
      </c>
      <c r="I269" s="51">
        <f t="shared" si="92"/>
        <v>136</v>
      </c>
      <c r="J269" s="51">
        <f t="shared" si="93"/>
        <v>94</v>
      </c>
      <c r="K269" s="51">
        <f t="shared" si="96"/>
        <v>12</v>
      </c>
      <c r="L269" s="51">
        <f t="shared" si="94"/>
        <v>285</v>
      </c>
      <c r="M269" s="51">
        <f t="shared" si="95"/>
        <v>17</v>
      </c>
      <c r="N269" s="53" t="b">
        <f t="shared" si="78"/>
        <v>0</v>
      </c>
      <c r="O269" s="53" t="b">
        <f t="shared" si="79"/>
        <v>1</v>
      </c>
      <c r="P269" s="53" t="str">
        <f t="shared" si="80"/>
        <v>bags8</v>
      </c>
      <c r="Q269" s="68" t="str">
        <f t="shared" si="81"/>
        <v>94
C002644</v>
      </c>
      <c r="R269" s="53" t="b">
        <f t="shared" si="82"/>
        <v>0</v>
      </c>
      <c r="S269" s="53"/>
      <c r="T269" s="53" t="str">
        <f t="shared" si="83"/>
        <v>BAGS</v>
      </c>
      <c r="U269" s="53" t="str">
        <f t="shared" si="84"/>
        <v>bags</v>
      </c>
      <c r="V269" s="53">
        <f t="shared" si="85"/>
        <v>1</v>
      </c>
      <c r="W269" s="53" t="str">
        <f t="shared" si="86"/>
        <v>bags 8</v>
      </c>
      <c r="X269" s="53" t="str">
        <f t="shared" si="87"/>
        <v>285</v>
      </c>
      <c r="Y269" s="53" t="str">
        <f t="shared" si="88"/>
        <v>94
C</v>
      </c>
      <c r="Z269" s="53" t="str">
        <f t="shared" si="89"/>
        <v>2644</v>
      </c>
      <c r="AA269" s="53">
        <f t="shared" si="90"/>
        <v>4</v>
      </c>
      <c r="AB269" s="53">
        <f t="shared" si="91"/>
        <v>2</v>
      </c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</row>
    <row r="270" spans="1:41" ht="30" x14ac:dyDescent="0.25">
      <c r="A270" s="51" t="s">
        <v>8</v>
      </c>
      <c r="B270" s="51" t="s">
        <v>3321</v>
      </c>
      <c r="C270" s="51" t="s">
        <v>3322</v>
      </c>
      <c r="D270" s="51" t="s">
        <v>385</v>
      </c>
      <c r="E270" s="51" t="s">
        <v>824</v>
      </c>
      <c r="F270" s="51">
        <v>10</v>
      </c>
      <c r="G270" s="51" t="s">
        <v>269</v>
      </c>
      <c r="H270" s="51">
        <v>14</v>
      </c>
      <c r="I270" s="51">
        <f t="shared" si="92"/>
        <v>140</v>
      </c>
      <c r="J270" s="51">
        <f t="shared" si="93"/>
        <v>91</v>
      </c>
      <c r="K270" s="51">
        <f t="shared" si="96"/>
        <v>11</v>
      </c>
      <c r="L270" s="51">
        <f t="shared" si="94"/>
        <v>123</v>
      </c>
      <c r="M270" s="51">
        <f t="shared" si="95"/>
        <v>9</v>
      </c>
      <c r="N270" s="53" t="b">
        <f t="shared" si="78"/>
        <v>0</v>
      </c>
      <c r="O270" s="53" t="b">
        <f t="shared" si="79"/>
        <v>1</v>
      </c>
      <c r="P270" s="53" t="str">
        <f t="shared" si="80"/>
        <v>ct.10</v>
      </c>
      <c r="Q270" s="68" t="str">
        <f t="shared" si="81"/>
        <v>91
C004936</v>
      </c>
      <c r="R270" s="53" t="b">
        <f t="shared" si="82"/>
        <v>0</v>
      </c>
      <c r="S270" s="53"/>
      <c r="T270" s="53" t="str">
        <f t="shared" si="83"/>
        <v>CT.</v>
      </c>
      <c r="U270" s="53" t="str">
        <f t="shared" si="84"/>
        <v>ct.</v>
      </c>
      <c r="V270" s="53">
        <f t="shared" si="85"/>
        <v>1</v>
      </c>
      <c r="W270" s="53" t="str">
        <f t="shared" si="86"/>
        <v>ct. 10</v>
      </c>
      <c r="X270" s="53" t="str">
        <f t="shared" si="87"/>
        <v>123</v>
      </c>
      <c r="Y270" s="53" t="str">
        <f t="shared" si="88"/>
        <v>91
C</v>
      </c>
      <c r="Z270" s="53" t="str">
        <f t="shared" si="89"/>
        <v>4936</v>
      </c>
      <c r="AA270" s="53">
        <f t="shared" si="90"/>
        <v>4</v>
      </c>
      <c r="AB270" s="53">
        <f t="shared" si="91"/>
        <v>2</v>
      </c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</row>
    <row r="271" spans="1:41" ht="30" x14ac:dyDescent="0.25">
      <c r="A271" s="51" t="s">
        <v>55</v>
      </c>
      <c r="B271" s="51" t="s">
        <v>3323</v>
      </c>
      <c r="C271" s="51" t="s">
        <v>3324</v>
      </c>
      <c r="D271" s="51" t="s">
        <v>537</v>
      </c>
      <c r="E271" s="51" t="s">
        <v>3325</v>
      </c>
      <c r="F271" s="51">
        <v>4</v>
      </c>
      <c r="G271" s="51" t="s">
        <v>60</v>
      </c>
      <c r="H271" s="51">
        <v>10</v>
      </c>
      <c r="I271" s="51">
        <f t="shared" si="92"/>
        <v>40</v>
      </c>
      <c r="J271" s="51">
        <f t="shared" si="93"/>
        <v>242</v>
      </c>
      <c r="K271" s="51">
        <f t="shared" si="96"/>
        <v>39</v>
      </c>
      <c r="L271" s="51">
        <f t="shared" si="94"/>
        <v>908</v>
      </c>
      <c r="M271" s="51">
        <f t="shared" si="95"/>
        <v>50</v>
      </c>
      <c r="N271" s="53" t="b">
        <f t="shared" si="78"/>
        <v>0</v>
      </c>
      <c r="O271" s="53" t="b">
        <f t="shared" si="79"/>
        <v>1</v>
      </c>
      <c r="P271" s="53" t="str">
        <f t="shared" si="80"/>
        <v>bottles4</v>
      </c>
      <c r="Q271" s="68" t="str">
        <f t="shared" si="81"/>
        <v>242
C008563</v>
      </c>
      <c r="R271" s="53" t="b">
        <f t="shared" si="82"/>
        <v>0</v>
      </c>
      <c r="S271" s="53"/>
      <c r="T271" s="53" t="str">
        <f t="shared" si="83"/>
        <v>BOTTLES</v>
      </c>
      <c r="U271" s="53" t="str">
        <f t="shared" si="84"/>
        <v>bottles</v>
      </c>
      <c r="V271" s="53">
        <f t="shared" si="85"/>
        <v>1</v>
      </c>
      <c r="W271" s="53" t="str">
        <f t="shared" si="86"/>
        <v>bottles 4</v>
      </c>
      <c r="X271" s="53" t="str">
        <f t="shared" si="87"/>
        <v>988</v>
      </c>
      <c r="Y271" s="53" t="str">
        <f t="shared" si="88"/>
        <v xml:space="preserve">242
</v>
      </c>
      <c r="Z271" s="53" t="str">
        <f t="shared" si="89"/>
        <v>8563</v>
      </c>
      <c r="AA271" s="53">
        <f t="shared" si="90"/>
        <v>5</v>
      </c>
      <c r="AB271" s="53">
        <f t="shared" si="91"/>
        <v>4</v>
      </c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</row>
    <row r="272" spans="1:41" ht="30" x14ac:dyDescent="0.25">
      <c r="A272" s="51" t="s">
        <v>55</v>
      </c>
      <c r="B272" s="51" t="s">
        <v>3326</v>
      </c>
      <c r="C272" s="51" t="s">
        <v>3327</v>
      </c>
      <c r="D272" s="51" t="s">
        <v>457</v>
      </c>
      <c r="E272" s="51" t="s">
        <v>18</v>
      </c>
      <c r="F272" s="51">
        <v>4</v>
      </c>
      <c r="G272" s="51" t="s">
        <v>407</v>
      </c>
      <c r="H272" s="51">
        <v>14</v>
      </c>
      <c r="I272" s="51">
        <f t="shared" si="92"/>
        <v>56</v>
      </c>
      <c r="J272" s="51">
        <f t="shared" si="93"/>
        <v>210.5</v>
      </c>
      <c r="K272" s="51">
        <f t="shared" si="96"/>
        <v>31</v>
      </c>
      <c r="L272" s="51">
        <f t="shared" si="94"/>
        <v>182</v>
      </c>
      <c r="M272" s="51">
        <f t="shared" si="95"/>
        <v>12</v>
      </c>
      <c r="N272" s="53" t="b">
        <f t="shared" si="78"/>
        <v>0</v>
      </c>
      <c r="O272" s="53" t="b">
        <f t="shared" si="79"/>
        <v>1</v>
      </c>
      <c r="P272" s="53" t="str">
        <f t="shared" si="80"/>
        <v>pk4</v>
      </c>
      <c r="Q272" s="68" t="str">
        <f t="shared" si="81"/>
        <v>210.5
C008335</v>
      </c>
      <c r="R272" s="53" t="b">
        <f t="shared" si="82"/>
        <v>0</v>
      </c>
      <c r="S272" s="53"/>
      <c r="T272" s="53" t="str">
        <f t="shared" si="83"/>
        <v>PK</v>
      </c>
      <c r="U272" s="53" t="str">
        <f t="shared" si="84"/>
        <v>pk</v>
      </c>
      <c r="V272" s="53">
        <f t="shared" si="85"/>
        <v>1</v>
      </c>
      <c r="W272" s="53" t="str">
        <f t="shared" si="86"/>
        <v>pk 4</v>
      </c>
      <c r="X272" s="53" t="str">
        <f t="shared" si="87"/>
        <v>182</v>
      </c>
      <c r="Y272" s="53" t="str">
        <f t="shared" si="88"/>
        <v>210.</v>
      </c>
      <c r="Z272" s="53" t="str">
        <f t="shared" si="89"/>
        <v>8335</v>
      </c>
      <c r="AA272" s="53">
        <f t="shared" si="90"/>
        <v>7</v>
      </c>
      <c r="AB272" s="53">
        <f t="shared" si="91"/>
        <v>2</v>
      </c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</row>
    <row r="273" spans="1:41" ht="30" x14ac:dyDescent="0.25">
      <c r="A273" s="51" t="s">
        <v>523</v>
      </c>
      <c r="B273" s="51" t="s">
        <v>3328</v>
      </c>
      <c r="C273" s="51" t="s">
        <v>3329</v>
      </c>
      <c r="D273" s="51" t="s">
        <v>1181</v>
      </c>
      <c r="E273" s="51" t="s">
        <v>1253</v>
      </c>
      <c r="F273" s="51">
        <v>8</v>
      </c>
      <c r="G273" s="51" t="s">
        <v>13</v>
      </c>
      <c r="H273" s="51">
        <v>14</v>
      </c>
      <c r="I273" s="51">
        <f t="shared" si="92"/>
        <v>112</v>
      </c>
      <c r="J273" s="51">
        <f t="shared" si="93"/>
        <v>124.5</v>
      </c>
      <c r="K273" s="51">
        <f t="shared" si="96"/>
        <v>16</v>
      </c>
      <c r="L273" s="51">
        <f t="shared" si="94"/>
        <v>2079.5</v>
      </c>
      <c r="M273" s="51">
        <f t="shared" si="95"/>
        <v>107</v>
      </c>
      <c r="N273" s="53" t="b">
        <f t="shared" si="78"/>
        <v>0</v>
      </c>
      <c r="O273" s="53" t="b">
        <f t="shared" si="79"/>
        <v>0</v>
      </c>
      <c r="P273" s="53" t="str">
        <f t="shared" si="80"/>
        <v>ct8</v>
      </c>
      <c r="Q273" s="68" t="str">
        <f t="shared" si="81"/>
        <v>124.5
C000891</v>
      </c>
      <c r="R273" s="53" t="b">
        <f t="shared" si="82"/>
        <v>0</v>
      </c>
      <c r="S273" s="53"/>
      <c r="T273" s="53" t="str">
        <f t="shared" si="83"/>
        <v>CT</v>
      </c>
      <c r="U273" s="53" t="str">
        <f t="shared" si="84"/>
        <v>ct</v>
      </c>
      <c r="V273" s="53">
        <f t="shared" si="85"/>
        <v>1</v>
      </c>
      <c r="W273" s="53" t="str">
        <f t="shared" si="86"/>
        <v>ct 8</v>
      </c>
      <c r="X273" s="53" t="str">
        <f t="shared" si="87"/>
        <v>2879.5</v>
      </c>
      <c r="Y273" s="53" t="str">
        <f t="shared" si="88"/>
        <v>124.</v>
      </c>
      <c r="Z273" s="53" t="str">
        <f t="shared" si="89"/>
        <v>0891</v>
      </c>
      <c r="AA273" s="53">
        <f t="shared" si="90"/>
        <v>7</v>
      </c>
      <c r="AB273" s="53">
        <f t="shared" si="91"/>
        <v>2</v>
      </c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</row>
    <row r="274" spans="1:41" ht="30" x14ac:dyDescent="0.25">
      <c r="A274" s="51" t="s">
        <v>76</v>
      </c>
      <c r="B274" s="51" t="s">
        <v>3330</v>
      </c>
      <c r="C274" s="51" t="s">
        <v>3331</v>
      </c>
      <c r="D274" s="51" t="s">
        <v>563</v>
      </c>
      <c r="E274" s="51" t="s">
        <v>3332</v>
      </c>
      <c r="F274" s="51">
        <v>8</v>
      </c>
      <c r="G274" s="51" t="s">
        <v>60</v>
      </c>
      <c r="H274" s="51">
        <v>18</v>
      </c>
      <c r="I274" s="51">
        <f t="shared" si="92"/>
        <v>144</v>
      </c>
      <c r="J274" s="51">
        <f t="shared" si="93"/>
        <v>86.5</v>
      </c>
      <c r="K274" s="51">
        <f t="shared" si="96"/>
        <v>10</v>
      </c>
      <c r="L274" s="51">
        <f t="shared" si="94"/>
        <v>908</v>
      </c>
      <c r="M274" s="51">
        <f t="shared" si="95"/>
        <v>50</v>
      </c>
      <c r="N274" s="53" t="b">
        <f t="shared" si="78"/>
        <v>0</v>
      </c>
      <c r="O274" s="53" t="b">
        <f t="shared" si="79"/>
        <v>1</v>
      </c>
      <c r="P274" s="53" t="str">
        <f t="shared" si="80"/>
        <v>bottles8</v>
      </c>
      <c r="Q274" s="68" t="str">
        <f t="shared" si="81"/>
        <v>86.5
C005061</v>
      </c>
      <c r="R274" s="53" t="b">
        <f t="shared" si="82"/>
        <v>0</v>
      </c>
      <c r="S274" s="53"/>
      <c r="T274" s="53" t="str">
        <f t="shared" si="83"/>
        <v>BOTTLES</v>
      </c>
      <c r="U274" s="53" t="str">
        <f t="shared" si="84"/>
        <v>bottles</v>
      </c>
      <c r="V274" s="53">
        <f t="shared" si="85"/>
        <v>1</v>
      </c>
      <c r="W274" s="53" t="str">
        <f t="shared" si="86"/>
        <v>bottles 8</v>
      </c>
      <c r="X274" s="53" t="str">
        <f t="shared" si="87"/>
        <v>988</v>
      </c>
      <c r="Y274" s="53" t="str">
        <f t="shared" si="88"/>
        <v>86.5</v>
      </c>
      <c r="Z274" s="53" t="str">
        <f t="shared" si="89"/>
        <v>5061</v>
      </c>
      <c r="AA274" s="53">
        <f t="shared" si="90"/>
        <v>6</v>
      </c>
      <c r="AB274" s="53">
        <f t="shared" si="91"/>
        <v>2</v>
      </c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</row>
    <row r="275" spans="1:41" ht="30" x14ac:dyDescent="0.25">
      <c r="A275" s="51" t="s">
        <v>8</v>
      </c>
      <c r="B275" s="51" t="s">
        <v>1222</v>
      </c>
      <c r="C275" s="51" t="s">
        <v>3333</v>
      </c>
      <c r="D275" s="51" t="s">
        <v>956</v>
      </c>
      <c r="E275" s="51" t="s">
        <v>2987</v>
      </c>
      <c r="F275" s="51">
        <v>1</v>
      </c>
      <c r="G275" s="51" t="s">
        <v>13</v>
      </c>
      <c r="H275" s="51">
        <v>12</v>
      </c>
      <c r="I275" s="51">
        <f t="shared" si="92"/>
        <v>12</v>
      </c>
      <c r="J275" s="51">
        <f t="shared" si="93"/>
        <v>297</v>
      </c>
      <c r="K275" s="51">
        <f t="shared" si="96"/>
        <v>49</v>
      </c>
      <c r="L275" s="51">
        <f t="shared" si="94"/>
        <v>2079.5</v>
      </c>
      <c r="M275" s="51">
        <f t="shared" si="95"/>
        <v>107</v>
      </c>
      <c r="N275" s="53" t="b">
        <f t="shared" si="78"/>
        <v>0</v>
      </c>
      <c r="O275" s="53" t="b">
        <f t="shared" si="79"/>
        <v>1</v>
      </c>
      <c r="P275" s="53" t="str">
        <f t="shared" si="80"/>
        <v>ct1</v>
      </c>
      <c r="Q275" s="68" t="str">
        <f t="shared" si="81"/>
        <v>297
C004632</v>
      </c>
      <c r="R275" s="53" t="b">
        <f t="shared" si="82"/>
        <v>0</v>
      </c>
      <c r="S275" s="53"/>
      <c r="T275" s="53" t="str">
        <f t="shared" si="83"/>
        <v>CT</v>
      </c>
      <c r="U275" s="53" t="str">
        <f t="shared" si="84"/>
        <v>ct</v>
      </c>
      <c r="V275" s="53">
        <f t="shared" si="85"/>
        <v>1</v>
      </c>
      <c r="W275" s="53" t="str">
        <f t="shared" si="86"/>
        <v>ct 1</v>
      </c>
      <c r="X275" s="53" t="str">
        <f t="shared" si="87"/>
        <v>2879.5</v>
      </c>
      <c r="Y275" s="53" t="str">
        <f t="shared" si="88"/>
        <v xml:space="preserve">297
</v>
      </c>
      <c r="Z275" s="53" t="str">
        <f t="shared" si="89"/>
        <v>4632</v>
      </c>
      <c r="AA275" s="53">
        <f t="shared" si="90"/>
        <v>5</v>
      </c>
      <c r="AB275" s="53">
        <f t="shared" si="91"/>
        <v>2</v>
      </c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</row>
    <row r="276" spans="1:41" ht="30" x14ac:dyDescent="0.25">
      <c r="A276" s="51" t="s">
        <v>121</v>
      </c>
      <c r="B276" s="51" t="s">
        <v>3334</v>
      </c>
      <c r="C276" s="51" t="s">
        <v>3335</v>
      </c>
      <c r="D276" s="51" t="s">
        <v>592</v>
      </c>
      <c r="E276" s="51" t="s">
        <v>3336</v>
      </c>
      <c r="F276" s="51">
        <v>2</v>
      </c>
      <c r="G276" s="51" t="s">
        <v>13</v>
      </c>
      <c r="H276" s="51">
        <v>19</v>
      </c>
      <c r="I276" s="51">
        <f t="shared" si="92"/>
        <v>38</v>
      </c>
      <c r="J276" s="51">
        <f t="shared" si="93"/>
        <v>244</v>
      </c>
      <c r="K276" s="51">
        <f t="shared" si="96"/>
        <v>36</v>
      </c>
      <c r="L276" s="51">
        <f t="shared" si="94"/>
        <v>2079.5</v>
      </c>
      <c r="M276" s="51">
        <f t="shared" si="95"/>
        <v>107</v>
      </c>
      <c r="N276" s="53" t="b">
        <f t="shared" si="78"/>
        <v>0</v>
      </c>
      <c r="O276" s="53" t="b">
        <f t="shared" si="79"/>
        <v>1</v>
      </c>
      <c r="P276" s="53" t="str">
        <f t="shared" si="80"/>
        <v>ct2</v>
      </c>
      <c r="Q276" s="68" t="str">
        <f t="shared" si="81"/>
        <v>244
C000828</v>
      </c>
      <c r="R276" s="53" t="b">
        <f t="shared" si="82"/>
        <v>0</v>
      </c>
      <c r="S276" s="53"/>
      <c r="T276" s="53" t="str">
        <f t="shared" si="83"/>
        <v>CT</v>
      </c>
      <c r="U276" s="53" t="str">
        <f t="shared" si="84"/>
        <v>ct</v>
      </c>
      <c r="V276" s="53">
        <f t="shared" si="85"/>
        <v>1</v>
      </c>
      <c r="W276" s="53" t="str">
        <f t="shared" si="86"/>
        <v>ct 2</v>
      </c>
      <c r="X276" s="53" t="str">
        <f t="shared" si="87"/>
        <v>2879.5</v>
      </c>
      <c r="Y276" s="53" t="str">
        <f t="shared" si="88"/>
        <v xml:space="preserve">244
</v>
      </c>
      <c r="Z276" s="53" t="str">
        <f t="shared" si="89"/>
        <v>0828</v>
      </c>
      <c r="AA276" s="53">
        <f t="shared" si="90"/>
        <v>5</v>
      </c>
      <c r="AB276" s="53">
        <f t="shared" si="91"/>
        <v>2</v>
      </c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</row>
    <row r="277" spans="1:41" ht="30" x14ac:dyDescent="0.25">
      <c r="A277" s="51" t="s">
        <v>125</v>
      </c>
      <c r="B277" s="51" t="s">
        <v>3337</v>
      </c>
      <c r="C277" s="51" t="s">
        <v>3338</v>
      </c>
      <c r="D277" s="51" t="s">
        <v>823</v>
      </c>
      <c r="E277" s="51" t="s">
        <v>323</v>
      </c>
      <c r="F277" s="51">
        <v>4</v>
      </c>
      <c r="G277" s="51" t="s">
        <v>60</v>
      </c>
      <c r="H277" s="51">
        <v>11</v>
      </c>
      <c r="I277" s="51">
        <f t="shared" si="92"/>
        <v>44</v>
      </c>
      <c r="J277" s="51">
        <f t="shared" si="93"/>
        <v>234.5</v>
      </c>
      <c r="K277" s="51">
        <f t="shared" si="96"/>
        <v>34</v>
      </c>
      <c r="L277" s="51">
        <f t="shared" si="94"/>
        <v>908</v>
      </c>
      <c r="M277" s="51">
        <f t="shared" si="95"/>
        <v>50</v>
      </c>
      <c r="N277" s="53" t="b">
        <f t="shared" si="78"/>
        <v>0</v>
      </c>
      <c r="O277" s="53" t="b">
        <f t="shared" si="79"/>
        <v>1</v>
      </c>
      <c r="P277" s="53" t="str">
        <f t="shared" si="80"/>
        <v>bottles4</v>
      </c>
      <c r="Q277" s="68" t="str">
        <f t="shared" si="81"/>
        <v>234.5
C006812</v>
      </c>
      <c r="R277" s="53" t="b">
        <f t="shared" si="82"/>
        <v>0</v>
      </c>
      <c r="S277" s="53"/>
      <c r="T277" s="53" t="str">
        <f t="shared" si="83"/>
        <v>BOTTLES</v>
      </c>
      <c r="U277" s="53" t="str">
        <f t="shared" si="84"/>
        <v>bottles</v>
      </c>
      <c r="V277" s="53">
        <f t="shared" si="85"/>
        <v>1</v>
      </c>
      <c r="W277" s="53" t="str">
        <f t="shared" si="86"/>
        <v>bottles 4</v>
      </c>
      <c r="X277" s="53" t="str">
        <f t="shared" si="87"/>
        <v>988</v>
      </c>
      <c r="Y277" s="53" t="str">
        <f t="shared" si="88"/>
        <v>234.</v>
      </c>
      <c r="Z277" s="53" t="str">
        <f t="shared" si="89"/>
        <v>6812</v>
      </c>
      <c r="AA277" s="53">
        <f t="shared" si="90"/>
        <v>7</v>
      </c>
      <c r="AB277" s="53">
        <f t="shared" si="91"/>
        <v>2</v>
      </c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</row>
    <row r="278" spans="1:41" ht="30" x14ac:dyDescent="0.25">
      <c r="A278" s="51" t="s">
        <v>101</v>
      </c>
      <c r="B278" s="51" t="s">
        <v>968</v>
      </c>
      <c r="C278" s="51" t="s">
        <v>3339</v>
      </c>
      <c r="D278" s="51" t="s">
        <v>2855</v>
      </c>
      <c r="E278" s="51" t="s">
        <v>1120</v>
      </c>
      <c r="F278" s="51">
        <v>1</v>
      </c>
      <c r="G278" s="51" t="s">
        <v>269</v>
      </c>
      <c r="H278" s="51">
        <v>14</v>
      </c>
      <c r="I278" s="51">
        <f t="shared" si="92"/>
        <v>14</v>
      </c>
      <c r="J278" s="51">
        <f t="shared" si="93"/>
        <v>294</v>
      </c>
      <c r="K278" s="51">
        <f t="shared" si="96"/>
        <v>45</v>
      </c>
      <c r="L278" s="51">
        <f t="shared" si="94"/>
        <v>123</v>
      </c>
      <c r="M278" s="51">
        <f t="shared" si="95"/>
        <v>9</v>
      </c>
      <c r="N278" s="53" t="b">
        <f t="shared" ref="N278:N306" si="97">AND(J278&gt;150, J278&lt;60)</f>
        <v>0</v>
      </c>
      <c r="O278" s="53" t="b">
        <f t="shared" ref="O278:O306" si="98">OR(J278&gt;150,J278&lt;100)</f>
        <v>1</v>
      </c>
      <c r="P278" s="53" t="str">
        <f t="shared" ref="P278:P306" si="99">_xlfn.CONCAT(G278,F278)</f>
        <v>ct.1</v>
      </c>
      <c r="Q278" s="68" t="str">
        <f t="shared" ref="Q278:Q306" si="100">_xlfn.CONCAT(J278,CHAR(10),B278)</f>
        <v>294
C002237</v>
      </c>
      <c r="R278" s="53" t="b">
        <f t="shared" ref="R278:R306" si="101">EXACT(J278,K278)</f>
        <v>0</v>
      </c>
      <c r="S278" s="53"/>
      <c r="T278" s="53" t="str">
        <f t="shared" ref="T278:T306" si="102">UPPER(G278)</f>
        <v>CT.</v>
      </c>
      <c r="U278" s="53" t="str">
        <f t="shared" ref="U278:U306" si="103">LOWER(G278)</f>
        <v>ct.</v>
      </c>
      <c r="V278" s="53">
        <f t="shared" ref="V278:V304" si="104">SEARCH("T",C278)</f>
        <v>1</v>
      </c>
      <c r="W278" s="53" t="str">
        <f t="shared" ref="W278:W306" si="105">_xlfn.TEXTJOIN(" ",FALSE,G278,F278)</f>
        <v>ct. 1</v>
      </c>
      <c r="X278" s="53" t="str">
        <f t="shared" ref="X278:X306" si="106">SUBSTITUTE(L278,"0",8)</f>
        <v>123</v>
      </c>
      <c r="Y278" s="53" t="str">
        <f t="shared" ref="Y278:Y306" si="107">LEFT(Q278,4)</f>
        <v xml:space="preserve">294
</v>
      </c>
      <c r="Z278" s="53" t="str">
        <f t="shared" ref="Z278:Z306" si="108">RIGHT(Q278,4)</f>
        <v>2237</v>
      </c>
      <c r="AA278" s="53">
        <f t="shared" ref="AA278:AA304" si="109">FIND("C",Q278)</f>
        <v>5</v>
      </c>
      <c r="AB278" s="53">
        <f t="shared" ref="AB278:AB306" si="110">LEN(T291)</f>
        <v>4</v>
      </c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</row>
    <row r="279" spans="1:41" ht="30" x14ac:dyDescent="0.25">
      <c r="A279" s="51" t="s">
        <v>359</v>
      </c>
      <c r="B279" s="51" t="s">
        <v>3340</v>
      </c>
      <c r="C279" s="51" t="s">
        <v>3341</v>
      </c>
      <c r="D279" s="51" t="s">
        <v>1752</v>
      </c>
      <c r="E279" s="51" t="s">
        <v>1305</v>
      </c>
      <c r="F279" s="51">
        <v>9</v>
      </c>
      <c r="G279" s="51" t="s">
        <v>60</v>
      </c>
      <c r="H279" s="51">
        <v>17.5</v>
      </c>
      <c r="I279" s="51">
        <f t="shared" si="92"/>
        <v>157.5</v>
      </c>
      <c r="J279" s="51">
        <f t="shared" si="93"/>
        <v>72</v>
      </c>
      <c r="K279" s="51">
        <f t="shared" si="96"/>
        <v>7</v>
      </c>
      <c r="L279" s="51">
        <f t="shared" si="94"/>
        <v>908</v>
      </c>
      <c r="M279" s="51">
        <f t="shared" si="95"/>
        <v>50</v>
      </c>
      <c r="N279" s="53" t="b">
        <f t="shared" si="97"/>
        <v>0</v>
      </c>
      <c r="O279" s="53" t="b">
        <f t="shared" si="98"/>
        <v>1</v>
      </c>
      <c r="P279" s="53" t="str">
        <f t="shared" si="99"/>
        <v>bottles9</v>
      </c>
      <c r="Q279" s="68" t="str">
        <f t="shared" si="100"/>
        <v>72
C003005</v>
      </c>
      <c r="R279" s="53" t="b">
        <f t="shared" si="101"/>
        <v>0</v>
      </c>
      <c r="S279" s="53"/>
      <c r="T279" s="53" t="str">
        <f t="shared" si="102"/>
        <v>BOTTLES</v>
      </c>
      <c r="U279" s="53" t="str">
        <f t="shared" si="103"/>
        <v>bottles</v>
      </c>
      <c r="V279" s="53">
        <f t="shared" si="104"/>
        <v>1</v>
      </c>
      <c r="W279" s="53" t="str">
        <f t="shared" si="105"/>
        <v>bottles 9</v>
      </c>
      <c r="X279" s="53" t="str">
        <f t="shared" si="106"/>
        <v>988</v>
      </c>
      <c r="Y279" s="53" t="str">
        <f t="shared" si="107"/>
        <v>72
C</v>
      </c>
      <c r="Z279" s="53" t="str">
        <f t="shared" si="108"/>
        <v>3005</v>
      </c>
      <c r="AA279" s="53">
        <f t="shared" si="109"/>
        <v>4</v>
      </c>
      <c r="AB279" s="53">
        <f t="shared" si="110"/>
        <v>4</v>
      </c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</row>
    <row r="280" spans="1:41" ht="30" x14ac:dyDescent="0.25">
      <c r="A280" s="51" t="s">
        <v>8</v>
      </c>
      <c r="B280" s="51" t="s">
        <v>3342</v>
      </c>
      <c r="C280" s="51" t="s">
        <v>3343</v>
      </c>
      <c r="D280" s="51" t="s">
        <v>1081</v>
      </c>
      <c r="E280" s="51" t="s">
        <v>3344</v>
      </c>
      <c r="F280" s="51">
        <v>10</v>
      </c>
      <c r="G280" s="51" t="s">
        <v>13</v>
      </c>
      <c r="H280" s="51">
        <v>15</v>
      </c>
      <c r="I280" s="51">
        <f t="shared" si="92"/>
        <v>150</v>
      </c>
      <c r="J280" s="51">
        <f t="shared" si="93"/>
        <v>82</v>
      </c>
      <c r="K280" s="51">
        <f t="shared" si="96"/>
        <v>7</v>
      </c>
      <c r="L280" s="51">
        <f t="shared" si="94"/>
        <v>2079.5</v>
      </c>
      <c r="M280" s="51">
        <f t="shared" si="95"/>
        <v>107</v>
      </c>
      <c r="N280" s="53" t="b">
        <f t="shared" si="97"/>
        <v>0</v>
      </c>
      <c r="O280" s="53" t="b">
        <f t="shared" si="98"/>
        <v>1</v>
      </c>
      <c r="P280" s="53" t="str">
        <f t="shared" si="99"/>
        <v>ct10</v>
      </c>
      <c r="Q280" s="68" t="str">
        <f t="shared" si="100"/>
        <v>82
C007778</v>
      </c>
      <c r="R280" s="53" t="b">
        <f t="shared" si="101"/>
        <v>0</v>
      </c>
      <c r="S280" s="53"/>
      <c r="T280" s="53" t="str">
        <f t="shared" si="102"/>
        <v>CT</v>
      </c>
      <c r="U280" s="53" t="str">
        <f t="shared" si="103"/>
        <v>ct</v>
      </c>
      <c r="V280" s="53">
        <f t="shared" si="104"/>
        <v>1</v>
      </c>
      <c r="W280" s="53" t="str">
        <f t="shared" si="105"/>
        <v>ct 10</v>
      </c>
      <c r="X280" s="53" t="str">
        <f t="shared" si="106"/>
        <v>2879.5</v>
      </c>
      <c r="Y280" s="53" t="str">
        <f t="shared" si="107"/>
        <v>82
C</v>
      </c>
      <c r="Z280" s="53" t="str">
        <f t="shared" si="108"/>
        <v>7778</v>
      </c>
      <c r="AA280" s="53">
        <f t="shared" si="109"/>
        <v>4</v>
      </c>
      <c r="AB280" s="53">
        <f t="shared" si="110"/>
        <v>2</v>
      </c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</row>
    <row r="281" spans="1:41" ht="30" x14ac:dyDescent="0.25">
      <c r="A281" s="51" t="s">
        <v>8</v>
      </c>
      <c r="B281" s="51" t="s">
        <v>3345</v>
      </c>
      <c r="C281" s="51" t="s">
        <v>3346</v>
      </c>
      <c r="D281" s="51" t="s">
        <v>374</v>
      </c>
      <c r="E281" s="51" t="s">
        <v>3347</v>
      </c>
      <c r="F281" s="51">
        <v>5</v>
      </c>
      <c r="G281" s="51" t="s">
        <v>60</v>
      </c>
      <c r="H281" s="51">
        <v>20</v>
      </c>
      <c r="I281" s="51">
        <f t="shared" si="92"/>
        <v>100</v>
      </c>
      <c r="J281" s="51">
        <f t="shared" si="93"/>
        <v>137.5</v>
      </c>
      <c r="K281" s="51">
        <f t="shared" si="96"/>
        <v>15</v>
      </c>
      <c r="L281" s="51">
        <f t="shared" si="94"/>
        <v>908</v>
      </c>
      <c r="M281" s="51">
        <f t="shared" si="95"/>
        <v>50</v>
      </c>
      <c r="N281" s="53" t="b">
        <f t="shared" si="97"/>
        <v>0</v>
      </c>
      <c r="O281" s="53" t="b">
        <f t="shared" si="98"/>
        <v>0</v>
      </c>
      <c r="P281" s="53" t="str">
        <f t="shared" si="99"/>
        <v>bottles5</v>
      </c>
      <c r="Q281" s="68" t="str">
        <f t="shared" si="100"/>
        <v>137.5
C003025</v>
      </c>
      <c r="R281" s="53" t="b">
        <f t="shared" si="101"/>
        <v>0</v>
      </c>
      <c r="S281" s="53"/>
      <c r="T281" s="53" t="str">
        <f t="shared" si="102"/>
        <v>BOTTLES</v>
      </c>
      <c r="U281" s="53" t="str">
        <f t="shared" si="103"/>
        <v>bottles</v>
      </c>
      <c r="V281" s="53">
        <f t="shared" si="104"/>
        <v>1</v>
      </c>
      <c r="W281" s="53" t="str">
        <f t="shared" si="105"/>
        <v>bottles 5</v>
      </c>
      <c r="X281" s="53" t="str">
        <f t="shared" si="106"/>
        <v>988</v>
      </c>
      <c r="Y281" s="53" t="str">
        <f t="shared" si="107"/>
        <v>137.</v>
      </c>
      <c r="Z281" s="53" t="str">
        <f t="shared" si="108"/>
        <v>3025</v>
      </c>
      <c r="AA281" s="53">
        <f t="shared" si="109"/>
        <v>7</v>
      </c>
      <c r="AB281" s="53">
        <f t="shared" si="110"/>
        <v>2</v>
      </c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</row>
    <row r="282" spans="1:41" ht="30" x14ac:dyDescent="0.25">
      <c r="A282" s="51" t="s">
        <v>76</v>
      </c>
      <c r="B282" s="51" t="s">
        <v>3348</v>
      </c>
      <c r="C282" s="51" t="s">
        <v>3349</v>
      </c>
      <c r="D282" s="51" t="s">
        <v>445</v>
      </c>
      <c r="E282" s="51" t="s">
        <v>1804</v>
      </c>
      <c r="F282" s="51">
        <v>6</v>
      </c>
      <c r="G282" s="51" t="s">
        <v>167</v>
      </c>
      <c r="H282" s="51">
        <v>13</v>
      </c>
      <c r="I282" s="51">
        <f t="shared" si="92"/>
        <v>78</v>
      </c>
      <c r="J282" s="51">
        <f t="shared" si="93"/>
        <v>174.5</v>
      </c>
      <c r="K282" s="51">
        <f t="shared" si="96"/>
        <v>20</v>
      </c>
      <c r="L282" s="51">
        <f t="shared" si="94"/>
        <v>307</v>
      </c>
      <c r="M282" s="51">
        <f t="shared" si="95"/>
        <v>19</v>
      </c>
      <c r="N282" s="53" t="b">
        <f t="shared" si="97"/>
        <v>0</v>
      </c>
      <c r="O282" s="53" t="b">
        <f t="shared" si="98"/>
        <v>1</v>
      </c>
      <c r="P282" s="53" t="str">
        <f t="shared" si="99"/>
        <v>oz6</v>
      </c>
      <c r="Q282" s="68" t="str">
        <f t="shared" si="100"/>
        <v>174.5
C002729</v>
      </c>
      <c r="R282" s="53" t="b">
        <f t="shared" si="101"/>
        <v>0</v>
      </c>
      <c r="S282" s="53"/>
      <c r="T282" s="53" t="str">
        <f t="shared" si="102"/>
        <v>OZ</v>
      </c>
      <c r="U282" s="53" t="str">
        <f t="shared" si="103"/>
        <v>oz</v>
      </c>
      <c r="V282" s="53">
        <f t="shared" si="104"/>
        <v>1</v>
      </c>
      <c r="W282" s="53" t="str">
        <f t="shared" si="105"/>
        <v>oz 6</v>
      </c>
      <c r="X282" s="53" t="str">
        <f t="shared" si="106"/>
        <v>387</v>
      </c>
      <c r="Y282" s="53" t="str">
        <f t="shared" si="107"/>
        <v>174.</v>
      </c>
      <c r="Z282" s="53" t="str">
        <f t="shared" si="108"/>
        <v>2729</v>
      </c>
      <c r="AA282" s="53">
        <f t="shared" si="109"/>
        <v>7</v>
      </c>
      <c r="AB282" s="53">
        <f t="shared" si="110"/>
        <v>4</v>
      </c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</row>
    <row r="283" spans="1:41" ht="30" x14ac:dyDescent="0.25">
      <c r="A283" s="51" t="s">
        <v>283</v>
      </c>
      <c r="B283" s="51" t="s">
        <v>3350</v>
      </c>
      <c r="C283" s="51" t="s">
        <v>3351</v>
      </c>
      <c r="D283" s="51" t="s">
        <v>967</v>
      </c>
      <c r="E283" s="51" t="s">
        <v>2835</v>
      </c>
      <c r="F283" s="51">
        <v>6</v>
      </c>
      <c r="G283" s="51" t="s">
        <v>13</v>
      </c>
      <c r="H283" s="51">
        <v>53</v>
      </c>
      <c r="I283" s="51">
        <f t="shared" si="92"/>
        <v>318</v>
      </c>
      <c r="J283" s="51">
        <f t="shared" si="93"/>
        <v>13</v>
      </c>
      <c r="K283" s="51">
        <f t="shared" si="96"/>
        <v>3</v>
      </c>
      <c r="L283" s="51">
        <f t="shared" si="94"/>
        <v>2079.5</v>
      </c>
      <c r="M283" s="51">
        <f t="shared" si="95"/>
        <v>107</v>
      </c>
      <c r="N283" s="53" t="b">
        <f t="shared" si="97"/>
        <v>0</v>
      </c>
      <c r="O283" s="53" t="b">
        <f t="shared" si="98"/>
        <v>1</v>
      </c>
      <c r="P283" s="53" t="str">
        <f t="shared" si="99"/>
        <v>ct6</v>
      </c>
      <c r="Q283" s="68" t="str">
        <f t="shared" si="100"/>
        <v>13
C006376</v>
      </c>
      <c r="R283" s="53" t="b">
        <f t="shared" si="101"/>
        <v>0</v>
      </c>
      <c r="S283" s="53"/>
      <c r="T283" s="53" t="str">
        <f t="shared" si="102"/>
        <v>CT</v>
      </c>
      <c r="U283" s="53" t="str">
        <f t="shared" si="103"/>
        <v>ct</v>
      </c>
      <c r="V283" s="53">
        <f t="shared" si="104"/>
        <v>1</v>
      </c>
      <c r="W283" s="53" t="str">
        <f t="shared" si="105"/>
        <v>ct 6</v>
      </c>
      <c r="X283" s="53" t="str">
        <f t="shared" si="106"/>
        <v>2879.5</v>
      </c>
      <c r="Y283" s="53" t="str">
        <f t="shared" si="107"/>
        <v>13
C</v>
      </c>
      <c r="Z283" s="53" t="str">
        <f t="shared" si="108"/>
        <v>6376</v>
      </c>
      <c r="AA283" s="53">
        <f t="shared" si="109"/>
        <v>4</v>
      </c>
      <c r="AB283" s="53">
        <f t="shared" si="110"/>
        <v>4</v>
      </c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</row>
    <row r="284" spans="1:41" ht="30" x14ac:dyDescent="0.25">
      <c r="A284" s="51" t="s">
        <v>240</v>
      </c>
      <c r="B284" s="51" t="s">
        <v>3352</v>
      </c>
      <c r="C284" s="51" t="s">
        <v>3353</v>
      </c>
      <c r="D284" s="51" t="s">
        <v>1881</v>
      </c>
      <c r="E284" s="51" t="s">
        <v>2434</v>
      </c>
      <c r="F284" s="51">
        <v>5</v>
      </c>
      <c r="G284" s="51" t="s">
        <v>106</v>
      </c>
      <c r="H284" s="51">
        <v>17</v>
      </c>
      <c r="I284" s="51">
        <f t="shared" si="92"/>
        <v>85</v>
      </c>
      <c r="J284" s="51">
        <f t="shared" si="93"/>
        <v>154</v>
      </c>
      <c r="K284" s="51">
        <f t="shared" si="96"/>
        <v>16</v>
      </c>
      <c r="L284" s="51">
        <f t="shared" si="94"/>
        <v>285</v>
      </c>
      <c r="M284" s="51">
        <f t="shared" si="95"/>
        <v>17</v>
      </c>
      <c r="N284" s="53" t="b">
        <f t="shared" si="97"/>
        <v>0</v>
      </c>
      <c r="O284" s="53" t="b">
        <f t="shared" si="98"/>
        <v>1</v>
      </c>
      <c r="P284" s="53" t="str">
        <f t="shared" si="99"/>
        <v>bags5</v>
      </c>
      <c r="Q284" s="68" t="str">
        <f t="shared" si="100"/>
        <v>154
C005081</v>
      </c>
      <c r="R284" s="53" t="b">
        <f t="shared" si="101"/>
        <v>0</v>
      </c>
      <c r="S284" s="53"/>
      <c r="T284" s="53" t="str">
        <f t="shared" si="102"/>
        <v>BAGS</v>
      </c>
      <c r="U284" s="53" t="str">
        <f t="shared" si="103"/>
        <v>bags</v>
      </c>
      <c r="V284" s="53">
        <f t="shared" si="104"/>
        <v>1</v>
      </c>
      <c r="W284" s="53" t="str">
        <f t="shared" si="105"/>
        <v>bags 5</v>
      </c>
      <c r="X284" s="53" t="str">
        <f t="shared" si="106"/>
        <v>285</v>
      </c>
      <c r="Y284" s="53" t="str">
        <f t="shared" si="107"/>
        <v xml:space="preserve">154
</v>
      </c>
      <c r="Z284" s="53" t="str">
        <f t="shared" si="108"/>
        <v>5081</v>
      </c>
      <c r="AA284" s="53">
        <f t="shared" si="109"/>
        <v>5</v>
      </c>
      <c r="AB284" s="53">
        <f t="shared" si="110"/>
        <v>4</v>
      </c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</row>
    <row r="285" spans="1:41" ht="30" x14ac:dyDescent="0.25">
      <c r="A285" s="51" t="s">
        <v>146</v>
      </c>
      <c r="B285" s="51" t="s">
        <v>3354</v>
      </c>
      <c r="C285" s="51" t="s">
        <v>3355</v>
      </c>
      <c r="D285" s="51" t="s">
        <v>628</v>
      </c>
      <c r="E285" s="51" t="s">
        <v>3356</v>
      </c>
      <c r="F285" s="51">
        <v>7</v>
      </c>
      <c r="G285" s="51" t="s">
        <v>13</v>
      </c>
      <c r="H285" s="51">
        <v>16</v>
      </c>
      <c r="I285" s="51">
        <f t="shared" si="92"/>
        <v>112</v>
      </c>
      <c r="J285" s="51">
        <f t="shared" si="93"/>
        <v>124.5</v>
      </c>
      <c r="K285" s="51">
        <f t="shared" si="96"/>
        <v>12</v>
      </c>
      <c r="L285" s="51">
        <f t="shared" si="94"/>
        <v>2079.5</v>
      </c>
      <c r="M285" s="51">
        <f t="shared" si="95"/>
        <v>107</v>
      </c>
      <c r="N285" s="53" t="b">
        <f t="shared" si="97"/>
        <v>0</v>
      </c>
      <c r="O285" s="53" t="b">
        <f t="shared" si="98"/>
        <v>0</v>
      </c>
      <c r="P285" s="53" t="str">
        <f t="shared" si="99"/>
        <v>ct7</v>
      </c>
      <c r="Q285" s="68" t="str">
        <f t="shared" si="100"/>
        <v>124.5
C005278</v>
      </c>
      <c r="R285" s="53" t="b">
        <f t="shared" si="101"/>
        <v>0</v>
      </c>
      <c r="S285" s="53"/>
      <c r="T285" s="53" t="str">
        <f t="shared" si="102"/>
        <v>CT</v>
      </c>
      <c r="U285" s="53" t="str">
        <f t="shared" si="103"/>
        <v>ct</v>
      </c>
      <c r="V285" s="53">
        <f t="shared" si="104"/>
        <v>1</v>
      </c>
      <c r="W285" s="53" t="str">
        <f t="shared" si="105"/>
        <v>ct 7</v>
      </c>
      <c r="X285" s="53" t="str">
        <f t="shared" si="106"/>
        <v>2879.5</v>
      </c>
      <c r="Y285" s="53" t="str">
        <f t="shared" si="107"/>
        <v>124.</v>
      </c>
      <c r="Z285" s="53" t="str">
        <f t="shared" si="108"/>
        <v>5278</v>
      </c>
      <c r="AA285" s="53">
        <f t="shared" si="109"/>
        <v>7</v>
      </c>
      <c r="AB285" s="53">
        <f t="shared" si="110"/>
        <v>2</v>
      </c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</row>
    <row r="286" spans="1:41" ht="30" x14ac:dyDescent="0.25">
      <c r="A286" s="51" t="s">
        <v>137</v>
      </c>
      <c r="B286" s="51" t="s">
        <v>3357</v>
      </c>
      <c r="C286" s="51" t="s">
        <v>3358</v>
      </c>
      <c r="D286" s="51" t="s">
        <v>1139</v>
      </c>
      <c r="E286" s="51" t="s">
        <v>1634</v>
      </c>
      <c r="F286" s="51">
        <v>3</v>
      </c>
      <c r="G286" s="51" t="s">
        <v>13</v>
      </c>
      <c r="H286" s="51">
        <v>16</v>
      </c>
      <c r="I286" s="51">
        <f t="shared" si="92"/>
        <v>48</v>
      </c>
      <c r="J286" s="51">
        <f t="shared" si="93"/>
        <v>223.5</v>
      </c>
      <c r="K286" s="51">
        <f t="shared" si="96"/>
        <v>23</v>
      </c>
      <c r="L286" s="51">
        <f t="shared" si="94"/>
        <v>2079.5</v>
      </c>
      <c r="M286" s="51">
        <f t="shared" si="95"/>
        <v>107</v>
      </c>
      <c r="N286" s="53" t="b">
        <f t="shared" si="97"/>
        <v>0</v>
      </c>
      <c r="O286" s="53" t="b">
        <f t="shared" si="98"/>
        <v>1</v>
      </c>
      <c r="P286" s="53" t="str">
        <f t="shared" si="99"/>
        <v>ct3</v>
      </c>
      <c r="Q286" s="68" t="str">
        <f t="shared" si="100"/>
        <v>223.5
C006847</v>
      </c>
      <c r="R286" s="53" t="b">
        <f t="shared" si="101"/>
        <v>0</v>
      </c>
      <c r="S286" s="53"/>
      <c r="T286" s="53" t="str">
        <f t="shared" si="102"/>
        <v>CT</v>
      </c>
      <c r="U286" s="53" t="str">
        <f t="shared" si="103"/>
        <v>ct</v>
      </c>
      <c r="V286" s="53">
        <f t="shared" si="104"/>
        <v>1</v>
      </c>
      <c r="W286" s="53" t="str">
        <f t="shared" si="105"/>
        <v>ct 3</v>
      </c>
      <c r="X286" s="53" t="str">
        <f t="shared" si="106"/>
        <v>2879.5</v>
      </c>
      <c r="Y286" s="53" t="str">
        <f t="shared" si="107"/>
        <v>223.</v>
      </c>
      <c r="Z286" s="53" t="str">
        <f t="shared" si="108"/>
        <v>6847</v>
      </c>
      <c r="AA286" s="53">
        <f t="shared" si="109"/>
        <v>7</v>
      </c>
      <c r="AB286" s="53">
        <f t="shared" si="110"/>
        <v>7</v>
      </c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</row>
    <row r="287" spans="1:41" ht="30" x14ac:dyDescent="0.25">
      <c r="A287" s="51" t="s">
        <v>743</v>
      </c>
      <c r="B287" s="51" t="s">
        <v>3359</v>
      </c>
      <c r="C287" s="51" t="s">
        <v>3360</v>
      </c>
      <c r="D287" s="51" t="s">
        <v>405</v>
      </c>
      <c r="E287" s="51" t="s">
        <v>3361</v>
      </c>
      <c r="F287" s="51">
        <v>1</v>
      </c>
      <c r="G287" s="51" t="s">
        <v>407</v>
      </c>
      <c r="H287" s="51">
        <v>18</v>
      </c>
      <c r="I287" s="51">
        <f t="shared" si="92"/>
        <v>18</v>
      </c>
      <c r="J287" s="51">
        <f t="shared" si="93"/>
        <v>286</v>
      </c>
      <c r="K287" s="51">
        <f t="shared" si="96"/>
        <v>36</v>
      </c>
      <c r="L287" s="51">
        <f t="shared" si="94"/>
        <v>182</v>
      </c>
      <c r="M287" s="51">
        <f t="shared" si="95"/>
        <v>12</v>
      </c>
      <c r="N287" s="53" t="b">
        <f t="shared" si="97"/>
        <v>0</v>
      </c>
      <c r="O287" s="53" t="b">
        <f t="shared" si="98"/>
        <v>1</v>
      </c>
      <c r="P287" s="53" t="str">
        <f t="shared" si="99"/>
        <v>pk1</v>
      </c>
      <c r="Q287" s="68" t="str">
        <f t="shared" si="100"/>
        <v>286
C006926</v>
      </c>
      <c r="R287" s="53" t="b">
        <f t="shared" si="101"/>
        <v>0</v>
      </c>
      <c r="S287" s="53"/>
      <c r="T287" s="53" t="str">
        <f t="shared" si="102"/>
        <v>PK</v>
      </c>
      <c r="U287" s="53" t="str">
        <f t="shared" si="103"/>
        <v>pk</v>
      </c>
      <c r="V287" s="53">
        <f t="shared" si="104"/>
        <v>1</v>
      </c>
      <c r="W287" s="53" t="str">
        <f t="shared" si="105"/>
        <v>pk 1</v>
      </c>
      <c r="X287" s="53" t="str">
        <f t="shared" si="106"/>
        <v>182</v>
      </c>
      <c r="Y287" s="53" t="str">
        <f t="shared" si="107"/>
        <v xml:space="preserve">286
</v>
      </c>
      <c r="Z287" s="53" t="str">
        <f t="shared" si="108"/>
        <v>6926</v>
      </c>
      <c r="AA287" s="53">
        <f t="shared" si="109"/>
        <v>5</v>
      </c>
      <c r="AB287" s="53">
        <f t="shared" si="110"/>
        <v>2</v>
      </c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</row>
    <row r="288" spans="1:41" ht="30" x14ac:dyDescent="0.25">
      <c r="A288" s="51" t="s">
        <v>459</v>
      </c>
      <c r="B288" s="51" t="s">
        <v>3362</v>
      </c>
      <c r="C288" s="51" t="s">
        <v>3363</v>
      </c>
      <c r="D288" s="51" t="s">
        <v>1876</v>
      </c>
      <c r="E288" s="51" t="s">
        <v>3069</v>
      </c>
      <c r="F288" s="51">
        <v>11</v>
      </c>
      <c r="G288" s="51" t="s">
        <v>13</v>
      </c>
      <c r="H288" s="51">
        <v>42</v>
      </c>
      <c r="I288" s="51">
        <f t="shared" si="92"/>
        <v>462</v>
      </c>
      <c r="J288" s="51">
        <f t="shared" si="93"/>
        <v>3</v>
      </c>
      <c r="K288" s="51">
        <f t="shared" si="96"/>
        <v>2</v>
      </c>
      <c r="L288" s="51">
        <f t="shared" si="94"/>
        <v>2079.5</v>
      </c>
      <c r="M288" s="51">
        <f t="shared" si="95"/>
        <v>107</v>
      </c>
      <c r="N288" s="53" t="b">
        <f t="shared" si="97"/>
        <v>0</v>
      </c>
      <c r="O288" s="53" t="b">
        <f t="shared" si="98"/>
        <v>1</v>
      </c>
      <c r="P288" s="53" t="str">
        <f t="shared" si="99"/>
        <v>ct11</v>
      </c>
      <c r="Q288" s="68" t="str">
        <f t="shared" si="100"/>
        <v>3
C002837</v>
      </c>
      <c r="R288" s="53" t="b">
        <f t="shared" si="101"/>
        <v>0</v>
      </c>
      <c r="S288" s="53"/>
      <c r="T288" s="53" t="str">
        <f t="shared" si="102"/>
        <v>CT</v>
      </c>
      <c r="U288" s="53" t="str">
        <f t="shared" si="103"/>
        <v>ct</v>
      </c>
      <c r="V288" s="53">
        <f t="shared" si="104"/>
        <v>1</v>
      </c>
      <c r="W288" s="53" t="str">
        <f t="shared" si="105"/>
        <v>ct 11</v>
      </c>
      <c r="X288" s="53" t="str">
        <f t="shared" si="106"/>
        <v>2879.5</v>
      </c>
      <c r="Y288" s="53" t="str">
        <f t="shared" si="107"/>
        <v>3
C0</v>
      </c>
      <c r="Z288" s="53" t="str">
        <f t="shared" si="108"/>
        <v>2837</v>
      </c>
      <c r="AA288" s="53">
        <f t="shared" si="109"/>
        <v>3</v>
      </c>
      <c r="AB288" s="53">
        <f t="shared" si="110"/>
        <v>2</v>
      </c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</row>
    <row r="289" spans="1:41" ht="30" x14ac:dyDescent="0.25">
      <c r="A289" s="51" t="s">
        <v>20</v>
      </c>
      <c r="B289" s="51" t="s">
        <v>3364</v>
      </c>
      <c r="C289" s="51" t="s">
        <v>3365</v>
      </c>
      <c r="D289" s="51" t="s">
        <v>1433</v>
      </c>
      <c r="E289" s="51" t="s">
        <v>1848</v>
      </c>
      <c r="F289" s="51">
        <v>5</v>
      </c>
      <c r="G289" s="51" t="s">
        <v>13</v>
      </c>
      <c r="H289" s="51">
        <v>13</v>
      </c>
      <c r="I289" s="51">
        <f t="shared" si="92"/>
        <v>65</v>
      </c>
      <c r="J289" s="51">
        <f t="shared" si="93"/>
        <v>198</v>
      </c>
      <c r="K289" s="51">
        <f t="shared" si="96"/>
        <v>20</v>
      </c>
      <c r="L289" s="51">
        <f t="shared" si="94"/>
        <v>2079.5</v>
      </c>
      <c r="M289" s="51">
        <f t="shared" si="95"/>
        <v>107</v>
      </c>
      <c r="N289" s="53" t="b">
        <f t="shared" si="97"/>
        <v>0</v>
      </c>
      <c r="O289" s="53" t="b">
        <f t="shared" si="98"/>
        <v>1</v>
      </c>
      <c r="P289" s="53" t="str">
        <f t="shared" si="99"/>
        <v>ct5</v>
      </c>
      <c r="Q289" s="68" t="str">
        <f t="shared" si="100"/>
        <v>198
C004455</v>
      </c>
      <c r="R289" s="53" t="b">
        <f t="shared" si="101"/>
        <v>0</v>
      </c>
      <c r="S289" s="53"/>
      <c r="T289" s="53" t="str">
        <f t="shared" si="102"/>
        <v>CT</v>
      </c>
      <c r="U289" s="53" t="str">
        <f t="shared" si="103"/>
        <v>ct</v>
      </c>
      <c r="V289" s="53">
        <f t="shared" si="104"/>
        <v>1</v>
      </c>
      <c r="W289" s="53" t="str">
        <f t="shared" si="105"/>
        <v>ct 5</v>
      </c>
      <c r="X289" s="53" t="str">
        <f t="shared" si="106"/>
        <v>2879.5</v>
      </c>
      <c r="Y289" s="53" t="str">
        <f t="shared" si="107"/>
        <v xml:space="preserve">198
</v>
      </c>
      <c r="Z289" s="53" t="str">
        <f t="shared" si="108"/>
        <v>4455</v>
      </c>
      <c r="AA289" s="53">
        <f t="shared" si="109"/>
        <v>5</v>
      </c>
      <c r="AB289" s="53">
        <f t="shared" si="110"/>
        <v>4</v>
      </c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</row>
    <row r="290" spans="1:41" ht="30" x14ac:dyDescent="0.25">
      <c r="A290" s="51" t="s">
        <v>76</v>
      </c>
      <c r="B290" s="51" t="s">
        <v>3366</v>
      </c>
      <c r="C290" s="51" t="s">
        <v>3367</v>
      </c>
      <c r="D290" s="51" t="s">
        <v>114</v>
      </c>
      <c r="E290" s="51" t="s">
        <v>2130</v>
      </c>
      <c r="F290" s="51">
        <v>8</v>
      </c>
      <c r="G290" s="51" t="s">
        <v>13</v>
      </c>
      <c r="H290" s="51">
        <v>15</v>
      </c>
      <c r="I290" s="51">
        <f t="shared" si="92"/>
        <v>120</v>
      </c>
      <c r="J290" s="51">
        <f t="shared" si="93"/>
        <v>112</v>
      </c>
      <c r="K290" s="51">
        <f t="shared" si="96"/>
        <v>6</v>
      </c>
      <c r="L290" s="51">
        <f t="shared" si="94"/>
        <v>2079.5</v>
      </c>
      <c r="M290" s="51">
        <f t="shared" si="95"/>
        <v>107</v>
      </c>
      <c r="N290" s="53" t="b">
        <f t="shared" si="97"/>
        <v>0</v>
      </c>
      <c r="O290" s="53" t="b">
        <f t="shared" si="98"/>
        <v>0</v>
      </c>
      <c r="P290" s="53" t="str">
        <f t="shared" si="99"/>
        <v>ct8</v>
      </c>
      <c r="Q290" s="68" t="str">
        <f t="shared" si="100"/>
        <v>112
C005028</v>
      </c>
      <c r="R290" s="53" t="b">
        <f t="shared" si="101"/>
        <v>0</v>
      </c>
      <c r="S290" s="53"/>
      <c r="T290" s="53" t="str">
        <f t="shared" si="102"/>
        <v>CT</v>
      </c>
      <c r="U290" s="53" t="str">
        <f t="shared" si="103"/>
        <v>ct</v>
      </c>
      <c r="V290" s="53">
        <f t="shared" si="104"/>
        <v>1</v>
      </c>
      <c r="W290" s="53" t="str">
        <f t="shared" si="105"/>
        <v>ct 8</v>
      </c>
      <c r="X290" s="53" t="str">
        <f t="shared" si="106"/>
        <v>2879.5</v>
      </c>
      <c r="Y290" s="53" t="str">
        <f t="shared" si="107"/>
        <v xml:space="preserve">112
</v>
      </c>
      <c r="Z290" s="53" t="str">
        <f t="shared" si="108"/>
        <v>5028</v>
      </c>
      <c r="AA290" s="53">
        <f t="shared" si="109"/>
        <v>5</v>
      </c>
      <c r="AB290" s="53">
        <f t="shared" si="110"/>
        <v>4</v>
      </c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</row>
    <row r="291" spans="1:41" ht="30" x14ac:dyDescent="0.25">
      <c r="A291" s="51" t="s">
        <v>274</v>
      </c>
      <c r="B291" s="51" t="s">
        <v>3368</v>
      </c>
      <c r="C291" s="51" t="s">
        <v>3369</v>
      </c>
      <c r="D291" s="51" t="s">
        <v>207</v>
      </c>
      <c r="E291" s="51" t="s">
        <v>833</v>
      </c>
      <c r="F291" s="51">
        <v>6</v>
      </c>
      <c r="G291" s="51" t="s">
        <v>35</v>
      </c>
      <c r="H291" s="51">
        <v>16</v>
      </c>
      <c r="I291" s="51">
        <f t="shared" si="92"/>
        <v>96</v>
      </c>
      <c r="J291" s="51">
        <f t="shared" si="93"/>
        <v>147.5</v>
      </c>
      <c r="K291" s="51">
        <f t="shared" si="96"/>
        <v>11</v>
      </c>
      <c r="L291" s="51">
        <f t="shared" si="94"/>
        <v>1010.75</v>
      </c>
      <c r="M291" s="51">
        <f t="shared" si="95"/>
        <v>59</v>
      </c>
      <c r="N291" s="53" t="b">
        <f t="shared" si="97"/>
        <v>0</v>
      </c>
      <c r="O291" s="53" t="b">
        <f t="shared" si="98"/>
        <v>0</v>
      </c>
      <c r="P291" s="53" t="str">
        <f t="shared" si="99"/>
        <v>cans6</v>
      </c>
      <c r="Q291" s="68" t="str">
        <f t="shared" si="100"/>
        <v>147.5
C002902</v>
      </c>
      <c r="R291" s="53" t="b">
        <f t="shared" si="101"/>
        <v>0</v>
      </c>
      <c r="S291" s="53"/>
      <c r="T291" s="53" t="str">
        <f t="shared" si="102"/>
        <v>CANS</v>
      </c>
      <c r="U291" s="53" t="str">
        <f t="shared" si="103"/>
        <v>cans</v>
      </c>
      <c r="V291" s="53">
        <f t="shared" si="104"/>
        <v>1</v>
      </c>
      <c r="W291" s="53" t="str">
        <f t="shared" si="105"/>
        <v>cans 6</v>
      </c>
      <c r="X291" s="53" t="str">
        <f t="shared" si="106"/>
        <v>1818.75</v>
      </c>
      <c r="Y291" s="53" t="str">
        <f t="shared" si="107"/>
        <v>147.</v>
      </c>
      <c r="Z291" s="53" t="str">
        <f t="shared" si="108"/>
        <v>2902</v>
      </c>
      <c r="AA291" s="53">
        <f t="shared" si="109"/>
        <v>7</v>
      </c>
      <c r="AB291" s="53">
        <f t="shared" si="110"/>
        <v>2</v>
      </c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</row>
    <row r="292" spans="1:41" ht="30" x14ac:dyDescent="0.25">
      <c r="A292" s="51" t="s">
        <v>459</v>
      </c>
      <c r="B292" s="51" t="s">
        <v>3370</v>
      </c>
      <c r="C292" s="51" t="s">
        <v>3371</v>
      </c>
      <c r="D292" s="51" t="s">
        <v>252</v>
      </c>
      <c r="E292" s="51" t="s">
        <v>3372</v>
      </c>
      <c r="F292" s="51">
        <v>10</v>
      </c>
      <c r="G292" s="51" t="s">
        <v>35</v>
      </c>
      <c r="H292" s="51">
        <v>6.75</v>
      </c>
      <c r="I292" s="51">
        <f t="shared" si="92"/>
        <v>67.5</v>
      </c>
      <c r="J292" s="51">
        <f t="shared" si="93"/>
        <v>191</v>
      </c>
      <c r="K292" s="51">
        <f t="shared" si="96"/>
        <v>16</v>
      </c>
      <c r="L292" s="51">
        <f t="shared" si="94"/>
        <v>1010.75</v>
      </c>
      <c r="M292" s="51">
        <f t="shared" si="95"/>
        <v>59</v>
      </c>
      <c r="N292" s="53" t="b">
        <f t="shared" si="97"/>
        <v>0</v>
      </c>
      <c r="O292" s="53" t="b">
        <f t="shared" si="98"/>
        <v>1</v>
      </c>
      <c r="P292" s="53" t="str">
        <f t="shared" si="99"/>
        <v>cans10</v>
      </c>
      <c r="Q292" s="68" t="str">
        <f t="shared" si="100"/>
        <v>191
C003073</v>
      </c>
      <c r="R292" s="53" t="b">
        <f t="shared" si="101"/>
        <v>0</v>
      </c>
      <c r="S292" s="53"/>
      <c r="T292" s="53" t="str">
        <f t="shared" si="102"/>
        <v>CANS</v>
      </c>
      <c r="U292" s="53" t="str">
        <f t="shared" si="103"/>
        <v>cans</v>
      </c>
      <c r="V292" s="53">
        <f t="shared" si="104"/>
        <v>1</v>
      </c>
      <c r="W292" s="53" t="str">
        <f t="shared" si="105"/>
        <v>cans 10</v>
      </c>
      <c r="X292" s="53" t="str">
        <f t="shared" si="106"/>
        <v>1818.75</v>
      </c>
      <c r="Y292" s="53" t="str">
        <f t="shared" si="107"/>
        <v xml:space="preserve">191
</v>
      </c>
      <c r="Z292" s="53" t="str">
        <f t="shared" si="108"/>
        <v>3073</v>
      </c>
      <c r="AA292" s="53">
        <f t="shared" si="109"/>
        <v>5</v>
      </c>
      <c r="AB292" s="53">
        <f t="shared" si="110"/>
        <v>0</v>
      </c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</row>
    <row r="293" spans="1:41" ht="30" x14ac:dyDescent="0.25">
      <c r="A293" s="51" t="s">
        <v>125</v>
      </c>
      <c r="B293" s="51" t="s">
        <v>3373</v>
      </c>
      <c r="C293" s="51" t="s">
        <v>3374</v>
      </c>
      <c r="D293" s="51" t="s">
        <v>661</v>
      </c>
      <c r="E293" s="51" t="s">
        <v>3375</v>
      </c>
      <c r="F293" s="51">
        <v>6</v>
      </c>
      <c r="G293" s="51" t="s">
        <v>407</v>
      </c>
      <c r="H293" s="51">
        <v>12</v>
      </c>
      <c r="I293" s="51">
        <f t="shared" si="92"/>
        <v>72</v>
      </c>
      <c r="J293" s="51">
        <f t="shared" si="93"/>
        <v>182</v>
      </c>
      <c r="K293" s="51">
        <f t="shared" si="96"/>
        <v>14</v>
      </c>
      <c r="L293" s="51">
        <f t="shared" si="94"/>
        <v>182</v>
      </c>
      <c r="M293" s="51">
        <f t="shared" si="95"/>
        <v>12</v>
      </c>
      <c r="N293" s="53" t="b">
        <f t="shared" si="97"/>
        <v>0</v>
      </c>
      <c r="O293" s="53" t="b">
        <f t="shared" si="98"/>
        <v>1</v>
      </c>
      <c r="P293" s="53" t="str">
        <f t="shared" si="99"/>
        <v>pk6</v>
      </c>
      <c r="Q293" s="68" t="str">
        <f t="shared" si="100"/>
        <v>182
C008954</v>
      </c>
      <c r="R293" s="53" t="b">
        <f t="shared" si="101"/>
        <v>0</v>
      </c>
      <c r="S293" s="53"/>
      <c r="T293" s="53" t="str">
        <f t="shared" si="102"/>
        <v>PK</v>
      </c>
      <c r="U293" s="53" t="str">
        <f t="shared" si="103"/>
        <v>pk</v>
      </c>
      <c r="V293" s="53">
        <f t="shared" si="104"/>
        <v>1</v>
      </c>
      <c r="W293" s="53" t="str">
        <f t="shared" si="105"/>
        <v>pk 6</v>
      </c>
      <c r="X293" s="53" t="str">
        <f t="shared" si="106"/>
        <v>182</v>
      </c>
      <c r="Y293" s="53" t="str">
        <f t="shared" si="107"/>
        <v xml:space="preserve">182
</v>
      </c>
      <c r="Z293" s="53" t="str">
        <f t="shared" si="108"/>
        <v>8954</v>
      </c>
      <c r="AA293" s="53">
        <f t="shared" si="109"/>
        <v>5</v>
      </c>
      <c r="AB293" s="53">
        <f t="shared" si="110"/>
        <v>0</v>
      </c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</row>
    <row r="294" spans="1:41" ht="30" x14ac:dyDescent="0.25">
      <c r="A294" s="51" t="s">
        <v>240</v>
      </c>
      <c r="B294" s="51" t="s">
        <v>372</v>
      </c>
      <c r="C294" s="51" t="s">
        <v>3376</v>
      </c>
      <c r="D294" s="51" t="s">
        <v>1063</v>
      </c>
      <c r="E294" s="51" t="s">
        <v>208</v>
      </c>
      <c r="F294" s="51">
        <v>2</v>
      </c>
      <c r="G294" s="51" t="s">
        <v>13</v>
      </c>
      <c r="H294" s="51">
        <v>16.5</v>
      </c>
      <c r="I294" s="51">
        <f t="shared" si="92"/>
        <v>33</v>
      </c>
      <c r="J294" s="51">
        <f t="shared" si="93"/>
        <v>256.5</v>
      </c>
      <c r="K294" s="51">
        <f t="shared" si="96"/>
        <v>21</v>
      </c>
      <c r="L294" s="51">
        <f t="shared" si="94"/>
        <v>2079.5</v>
      </c>
      <c r="M294" s="51">
        <f t="shared" si="95"/>
        <v>107</v>
      </c>
      <c r="N294" s="53" t="b">
        <f t="shared" si="97"/>
        <v>0</v>
      </c>
      <c r="O294" s="53" t="b">
        <f t="shared" si="98"/>
        <v>1</v>
      </c>
      <c r="P294" s="53" t="str">
        <f t="shared" si="99"/>
        <v>ct2</v>
      </c>
      <c r="Q294" s="68" t="str">
        <f t="shared" si="100"/>
        <v>256.5
C001890</v>
      </c>
      <c r="R294" s="53" t="b">
        <f t="shared" si="101"/>
        <v>0</v>
      </c>
      <c r="S294" s="53"/>
      <c r="T294" s="53" t="str">
        <f t="shared" si="102"/>
        <v>CT</v>
      </c>
      <c r="U294" s="53" t="str">
        <f t="shared" si="103"/>
        <v>ct</v>
      </c>
      <c r="V294" s="53">
        <f t="shared" si="104"/>
        <v>1</v>
      </c>
      <c r="W294" s="53" t="str">
        <f t="shared" si="105"/>
        <v>ct 2</v>
      </c>
      <c r="X294" s="53" t="str">
        <f t="shared" si="106"/>
        <v>2879.5</v>
      </c>
      <c r="Y294" s="53" t="str">
        <f t="shared" si="107"/>
        <v>256.</v>
      </c>
      <c r="Z294" s="53" t="str">
        <f t="shared" si="108"/>
        <v>1890</v>
      </c>
      <c r="AA294" s="53">
        <f t="shared" si="109"/>
        <v>7</v>
      </c>
      <c r="AB294" s="53">
        <f t="shared" si="110"/>
        <v>0</v>
      </c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</row>
    <row r="295" spans="1:41" ht="30" x14ac:dyDescent="0.25">
      <c r="A295" s="51" t="s">
        <v>339</v>
      </c>
      <c r="B295" s="51" t="s">
        <v>3377</v>
      </c>
      <c r="C295" s="51" t="s">
        <v>3378</v>
      </c>
      <c r="D295" s="51" t="s">
        <v>326</v>
      </c>
      <c r="E295" s="51" t="s">
        <v>3379</v>
      </c>
      <c r="F295" s="51">
        <v>2</v>
      </c>
      <c r="G295" s="51" t="s">
        <v>35</v>
      </c>
      <c r="H295" s="51">
        <v>40</v>
      </c>
      <c r="I295" s="51">
        <f t="shared" si="92"/>
        <v>80</v>
      </c>
      <c r="J295" s="51">
        <f t="shared" si="93"/>
        <v>169</v>
      </c>
      <c r="K295" s="51">
        <f t="shared" si="96"/>
        <v>13</v>
      </c>
      <c r="L295" s="51">
        <f t="shared" si="94"/>
        <v>1010.75</v>
      </c>
      <c r="M295" s="51">
        <f t="shared" si="95"/>
        <v>59</v>
      </c>
      <c r="N295" s="53" t="b">
        <f t="shared" si="97"/>
        <v>0</v>
      </c>
      <c r="O295" s="53" t="b">
        <f t="shared" si="98"/>
        <v>1</v>
      </c>
      <c r="P295" s="53" t="str">
        <f t="shared" si="99"/>
        <v>cans2</v>
      </c>
      <c r="Q295" s="68" t="str">
        <f t="shared" si="100"/>
        <v>169
C002714</v>
      </c>
      <c r="R295" s="53" t="b">
        <f t="shared" si="101"/>
        <v>0</v>
      </c>
      <c r="S295" s="53"/>
      <c r="T295" s="53" t="str">
        <f t="shared" si="102"/>
        <v>CANS</v>
      </c>
      <c r="U295" s="53" t="str">
        <f t="shared" si="103"/>
        <v>cans</v>
      </c>
      <c r="V295" s="53">
        <f t="shared" si="104"/>
        <v>1</v>
      </c>
      <c r="W295" s="53" t="str">
        <f t="shared" si="105"/>
        <v>cans 2</v>
      </c>
      <c r="X295" s="53" t="str">
        <f t="shared" si="106"/>
        <v>1818.75</v>
      </c>
      <c r="Y295" s="53" t="str">
        <f t="shared" si="107"/>
        <v xml:space="preserve">169
</v>
      </c>
      <c r="Z295" s="53" t="str">
        <f t="shared" si="108"/>
        <v>2714</v>
      </c>
      <c r="AA295" s="53">
        <f t="shared" si="109"/>
        <v>5</v>
      </c>
      <c r="AB295" s="53">
        <f t="shared" si="110"/>
        <v>0</v>
      </c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</row>
    <row r="296" spans="1:41" ht="30" x14ac:dyDescent="0.25">
      <c r="A296" s="51" t="s">
        <v>523</v>
      </c>
      <c r="B296" s="51" t="s">
        <v>3380</v>
      </c>
      <c r="C296" s="51" t="s">
        <v>3381</v>
      </c>
      <c r="D296" s="51" t="s">
        <v>1697</v>
      </c>
      <c r="E296" s="51" t="s">
        <v>1113</v>
      </c>
      <c r="F296" s="51">
        <v>5</v>
      </c>
      <c r="G296" s="51" t="s">
        <v>35</v>
      </c>
      <c r="H296" s="51">
        <v>16.25</v>
      </c>
      <c r="I296" s="51">
        <f t="shared" si="92"/>
        <v>81.25</v>
      </c>
      <c r="J296" s="51">
        <f t="shared" si="93"/>
        <v>162.5</v>
      </c>
      <c r="K296" s="51">
        <f t="shared" si="96"/>
        <v>12</v>
      </c>
      <c r="L296" s="51">
        <f t="shared" si="94"/>
        <v>1010.75</v>
      </c>
      <c r="M296" s="51">
        <f t="shared" si="95"/>
        <v>59</v>
      </c>
      <c r="N296" s="53" t="b">
        <f t="shared" si="97"/>
        <v>0</v>
      </c>
      <c r="O296" s="53" t="b">
        <f t="shared" si="98"/>
        <v>1</v>
      </c>
      <c r="P296" s="53" t="str">
        <f t="shared" si="99"/>
        <v>cans5</v>
      </c>
      <c r="Q296" s="68" t="str">
        <f t="shared" si="100"/>
        <v>162.5
C007254</v>
      </c>
      <c r="R296" s="53" t="b">
        <f t="shared" si="101"/>
        <v>0</v>
      </c>
      <c r="S296" s="53"/>
      <c r="T296" s="53" t="str">
        <f t="shared" si="102"/>
        <v>CANS</v>
      </c>
      <c r="U296" s="53" t="str">
        <f t="shared" si="103"/>
        <v>cans</v>
      </c>
      <c r="V296" s="53">
        <f t="shared" si="104"/>
        <v>1</v>
      </c>
      <c r="W296" s="53" t="str">
        <f t="shared" si="105"/>
        <v>cans 5</v>
      </c>
      <c r="X296" s="53" t="str">
        <f t="shared" si="106"/>
        <v>1818.75</v>
      </c>
      <c r="Y296" s="53" t="str">
        <f t="shared" si="107"/>
        <v>162.</v>
      </c>
      <c r="Z296" s="53" t="str">
        <f t="shared" si="108"/>
        <v>7254</v>
      </c>
      <c r="AA296" s="53">
        <f t="shared" si="109"/>
        <v>7</v>
      </c>
      <c r="AB296" s="53">
        <f t="shared" si="110"/>
        <v>10</v>
      </c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</row>
    <row r="297" spans="1:41" ht="30" x14ac:dyDescent="0.25">
      <c r="A297" s="51" t="s">
        <v>71</v>
      </c>
      <c r="B297" s="51" t="s">
        <v>3382</v>
      </c>
      <c r="C297" s="51" t="s">
        <v>3383</v>
      </c>
      <c r="D297" s="51" t="s">
        <v>1216</v>
      </c>
      <c r="E297" s="51" t="s">
        <v>1839</v>
      </c>
      <c r="F297" s="51">
        <v>4</v>
      </c>
      <c r="G297" s="51" t="s">
        <v>35</v>
      </c>
      <c r="H297" s="51">
        <v>37</v>
      </c>
      <c r="I297" s="51">
        <f t="shared" si="92"/>
        <v>148</v>
      </c>
      <c r="J297" s="51">
        <f t="shared" si="93"/>
        <v>84.5</v>
      </c>
      <c r="K297" s="51">
        <f t="shared" si="96"/>
        <v>5</v>
      </c>
      <c r="L297" s="51">
        <f t="shared" si="94"/>
        <v>1010.75</v>
      </c>
      <c r="M297" s="51">
        <f t="shared" si="95"/>
        <v>59</v>
      </c>
      <c r="N297" s="53" t="b">
        <f t="shared" si="97"/>
        <v>0</v>
      </c>
      <c r="O297" s="53" t="b">
        <f t="shared" si="98"/>
        <v>1</v>
      </c>
      <c r="P297" s="53" t="str">
        <f t="shared" si="99"/>
        <v>cans4</v>
      </c>
      <c r="Q297" s="68" t="str">
        <f t="shared" si="100"/>
        <v>84.5
C000477</v>
      </c>
      <c r="R297" s="53" t="b">
        <f t="shared" si="101"/>
        <v>0</v>
      </c>
      <c r="S297" s="53"/>
      <c r="T297" s="53" t="str">
        <f t="shared" si="102"/>
        <v>CANS</v>
      </c>
      <c r="U297" s="53" t="str">
        <f t="shared" si="103"/>
        <v>cans</v>
      </c>
      <c r="V297" s="53">
        <f t="shared" si="104"/>
        <v>1</v>
      </c>
      <c r="W297" s="53" t="str">
        <f t="shared" si="105"/>
        <v>cans 4</v>
      </c>
      <c r="X297" s="53" t="str">
        <f t="shared" si="106"/>
        <v>1818.75</v>
      </c>
      <c r="Y297" s="53" t="str">
        <f t="shared" si="107"/>
        <v>84.5</v>
      </c>
      <c r="Z297" s="53" t="str">
        <f t="shared" si="108"/>
        <v>0477</v>
      </c>
      <c r="AA297" s="53">
        <f t="shared" si="109"/>
        <v>6</v>
      </c>
      <c r="AB297" s="53">
        <f t="shared" si="110"/>
        <v>2</v>
      </c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</row>
    <row r="298" spans="1:41" ht="30" x14ac:dyDescent="0.25">
      <c r="A298" s="51" t="s">
        <v>459</v>
      </c>
      <c r="B298" s="51" t="s">
        <v>3384</v>
      </c>
      <c r="C298" s="51" t="s">
        <v>3385</v>
      </c>
      <c r="D298" s="51" t="s">
        <v>362</v>
      </c>
      <c r="E298" s="51" t="s">
        <v>678</v>
      </c>
      <c r="F298" s="51">
        <v>10</v>
      </c>
      <c r="G298" s="51" t="s">
        <v>13</v>
      </c>
      <c r="H298" s="51">
        <v>24</v>
      </c>
      <c r="I298" s="51">
        <f t="shared" si="92"/>
        <v>240</v>
      </c>
      <c r="J298" s="51">
        <f t="shared" si="93"/>
        <v>18.5</v>
      </c>
      <c r="K298" s="51">
        <f t="shared" si="96"/>
        <v>3</v>
      </c>
      <c r="L298" s="51">
        <f t="shared" si="94"/>
        <v>2079.5</v>
      </c>
      <c r="M298" s="51">
        <f t="shared" si="95"/>
        <v>107</v>
      </c>
      <c r="N298" s="53" t="b">
        <f t="shared" si="97"/>
        <v>0</v>
      </c>
      <c r="O298" s="53" t="b">
        <f t="shared" si="98"/>
        <v>1</v>
      </c>
      <c r="P298" s="53" t="str">
        <f t="shared" si="99"/>
        <v>ct10</v>
      </c>
      <c r="Q298" s="68" t="str">
        <f t="shared" si="100"/>
        <v>18.5
C006337</v>
      </c>
      <c r="R298" s="53" t="b">
        <f t="shared" si="101"/>
        <v>0</v>
      </c>
      <c r="S298" s="53"/>
      <c r="T298" s="53" t="str">
        <f t="shared" si="102"/>
        <v>CT</v>
      </c>
      <c r="U298" s="53" t="str">
        <f t="shared" si="103"/>
        <v>ct</v>
      </c>
      <c r="V298" s="53">
        <f t="shared" si="104"/>
        <v>1</v>
      </c>
      <c r="W298" s="53" t="str">
        <f t="shared" si="105"/>
        <v>ct 10</v>
      </c>
      <c r="X298" s="53" t="str">
        <f t="shared" si="106"/>
        <v>2879.5</v>
      </c>
      <c r="Y298" s="53" t="str">
        <f t="shared" si="107"/>
        <v>18.5</v>
      </c>
      <c r="Z298" s="53" t="str">
        <f t="shared" si="108"/>
        <v>6337</v>
      </c>
      <c r="AA298" s="53">
        <f t="shared" si="109"/>
        <v>6</v>
      </c>
      <c r="AB298" s="53">
        <f t="shared" si="110"/>
        <v>0</v>
      </c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</row>
    <row r="299" spans="1:41" ht="30" x14ac:dyDescent="0.25">
      <c r="A299" s="51" t="s">
        <v>209</v>
      </c>
      <c r="B299" s="51" t="s">
        <v>3386</v>
      </c>
      <c r="C299" s="51" t="s">
        <v>3387</v>
      </c>
      <c r="D299" s="51" t="s">
        <v>823</v>
      </c>
      <c r="E299" s="51" t="s">
        <v>2679</v>
      </c>
      <c r="F299" s="51">
        <v>3</v>
      </c>
      <c r="G299" s="51" t="s">
        <v>60</v>
      </c>
      <c r="H299" s="51">
        <v>11</v>
      </c>
      <c r="I299" s="51">
        <f t="shared" si="92"/>
        <v>33</v>
      </c>
      <c r="J299" s="51">
        <f t="shared" si="93"/>
        <v>256.5</v>
      </c>
      <c r="K299" s="51">
        <f t="shared" si="96"/>
        <v>17</v>
      </c>
      <c r="L299" s="51">
        <f t="shared" si="94"/>
        <v>908</v>
      </c>
      <c r="M299" s="51">
        <f t="shared" si="95"/>
        <v>50</v>
      </c>
      <c r="N299" s="53" t="b">
        <f t="shared" si="97"/>
        <v>0</v>
      </c>
      <c r="O299" s="53" t="b">
        <f t="shared" si="98"/>
        <v>1</v>
      </c>
      <c r="P299" s="53" t="str">
        <f t="shared" si="99"/>
        <v>bottles3</v>
      </c>
      <c r="Q299" s="68" t="str">
        <f t="shared" si="100"/>
        <v>256.5
C007959</v>
      </c>
      <c r="R299" s="53" t="b">
        <f t="shared" si="101"/>
        <v>0</v>
      </c>
      <c r="S299" s="53"/>
      <c r="T299" s="53" t="str">
        <f t="shared" si="102"/>
        <v>BOTTLES</v>
      </c>
      <c r="U299" s="53" t="str">
        <f t="shared" si="103"/>
        <v>bottles</v>
      </c>
      <c r="V299" s="53">
        <f t="shared" si="104"/>
        <v>1</v>
      </c>
      <c r="W299" s="53" t="str">
        <f t="shared" si="105"/>
        <v>bottles 3</v>
      </c>
      <c r="X299" s="53" t="str">
        <f t="shared" si="106"/>
        <v>988</v>
      </c>
      <c r="Y299" s="53" t="str">
        <f t="shared" si="107"/>
        <v>256.</v>
      </c>
      <c r="Z299" s="53" t="str">
        <f t="shared" si="108"/>
        <v>7959</v>
      </c>
      <c r="AA299" s="53">
        <f t="shared" si="109"/>
        <v>7</v>
      </c>
      <c r="AB299" s="53">
        <f t="shared" si="110"/>
        <v>0</v>
      </c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</row>
    <row r="300" spans="1:41" ht="30" x14ac:dyDescent="0.25">
      <c r="A300" s="51" t="s">
        <v>30</v>
      </c>
      <c r="B300" s="51" t="s">
        <v>3388</v>
      </c>
      <c r="C300" s="51" t="s">
        <v>3389</v>
      </c>
      <c r="D300" s="51" t="s">
        <v>237</v>
      </c>
      <c r="E300" s="51" t="s">
        <v>1109</v>
      </c>
      <c r="F300" s="51">
        <v>8</v>
      </c>
      <c r="G300" s="51" t="s">
        <v>239</v>
      </c>
      <c r="H300" s="51">
        <v>15</v>
      </c>
      <c r="I300" s="51">
        <f t="shared" si="92"/>
        <v>120</v>
      </c>
      <c r="J300" s="51">
        <f t="shared" si="93"/>
        <v>112</v>
      </c>
      <c r="K300" s="51">
        <f t="shared" si="96"/>
        <v>4</v>
      </c>
      <c r="L300" s="51">
        <f t="shared" si="94"/>
        <v>45</v>
      </c>
      <c r="M300" s="51">
        <f t="shared" si="95"/>
        <v>3</v>
      </c>
      <c r="N300" s="53" t="b">
        <f t="shared" si="97"/>
        <v>0</v>
      </c>
      <c r="O300" s="53" t="b">
        <f t="shared" si="98"/>
        <v>0</v>
      </c>
      <c r="P300" s="53" t="str">
        <f t="shared" si="99"/>
        <v>lb8</v>
      </c>
      <c r="Q300" s="68" t="str">
        <f t="shared" si="100"/>
        <v>112
C007570</v>
      </c>
      <c r="R300" s="53" t="b">
        <f t="shared" si="101"/>
        <v>0</v>
      </c>
      <c r="S300" s="53"/>
      <c r="T300" s="53" t="str">
        <f t="shared" si="102"/>
        <v>LB</v>
      </c>
      <c r="U300" s="53" t="str">
        <f t="shared" si="103"/>
        <v>lb</v>
      </c>
      <c r="V300" s="53">
        <f t="shared" si="104"/>
        <v>1</v>
      </c>
      <c r="W300" s="53" t="str">
        <f t="shared" si="105"/>
        <v>lb 8</v>
      </c>
      <c r="X300" s="53" t="str">
        <f t="shared" si="106"/>
        <v>45</v>
      </c>
      <c r="Y300" s="53" t="str">
        <f t="shared" si="107"/>
        <v xml:space="preserve">112
</v>
      </c>
      <c r="Z300" s="53" t="str">
        <f t="shared" si="108"/>
        <v>7570</v>
      </c>
      <c r="AA300" s="53">
        <f t="shared" si="109"/>
        <v>5</v>
      </c>
      <c r="AB300" s="53">
        <f t="shared" si="110"/>
        <v>10</v>
      </c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</row>
    <row r="301" spans="1:41" ht="30" x14ac:dyDescent="0.25">
      <c r="A301" s="51" t="s">
        <v>55</v>
      </c>
      <c r="B301" s="51" t="s">
        <v>3390</v>
      </c>
      <c r="C301" s="51" t="s">
        <v>3391</v>
      </c>
      <c r="D301" s="51" t="s">
        <v>640</v>
      </c>
      <c r="E301" s="51" t="s">
        <v>1866</v>
      </c>
      <c r="F301" s="51">
        <v>3</v>
      </c>
      <c r="G301" s="51" t="s">
        <v>13</v>
      </c>
      <c r="H301" s="51">
        <v>17</v>
      </c>
      <c r="I301" s="51">
        <f t="shared" si="92"/>
        <v>51</v>
      </c>
      <c r="J301" s="51">
        <f t="shared" si="93"/>
        <v>216.5</v>
      </c>
      <c r="K301" s="51">
        <f t="shared" si="96"/>
        <v>11</v>
      </c>
      <c r="L301" s="51">
        <f t="shared" si="94"/>
        <v>2079.5</v>
      </c>
      <c r="M301" s="51">
        <f t="shared" si="95"/>
        <v>107</v>
      </c>
      <c r="N301" s="53" t="b">
        <f t="shared" si="97"/>
        <v>0</v>
      </c>
      <c r="O301" s="53" t="b">
        <f t="shared" si="98"/>
        <v>1</v>
      </c>
      <c r="P301" s="53" t="str">
        <f t="shared" si="99"/>
        <v>ct3</v>
      </c>
      <c r="Q301" s="68" t="str">
        <f t="shared" si="100"/>
        <v>216.5
C006070</v>
      </c>
      <c r="R301" s="53" t="b">
        <f t="shared" si="101"/>
        <v>0</v>
      </c>
      <c r="S301" s="53"/>
      <c r="T301" s="53" t="str">
        <f t="shared" si="102"/>
        <v>CT</v>
      </c>
      <c r="U301" s="53" t="str">
        <f t="shared" si="103"/>
        <v>ct</v>
      </c>
      <c r="V301" s="53">
        <f t="shared" si="104"/>
        <v>1</v>
      </c>
      <c r="W301" s="53" t="str">
        <f t="shared" si="105"/>
        <v>ct 3</v>
      </c>
      <c r="X301" s="53" t="str">
        <f t="shared" si="106"/>
        <v>2879.5</v>
      </c>
      <c r="Y301" s="53" t="str">
        <f t="shared" si="107"/>
        <v>216.</v>
      </c>
      <c r="Z301" s="53" t="str">
        <f t="shared" si="108"/>
        <v>6070</v>
      </c>
      <c r="AA301" s="53">
        <f t="shared" si="109"/>
        <v>7</v>
      </c>
      <c r="AB301" s="53">
        <f t="shared" si="110"/>
        <v>4</v>
      </c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</row>
    <row r="302" spans="1:41" ht="30" x14ac:dyDescent="0.25">
      <c r="A302" s="51" t="s">
        <v>307</v>
      </c>
      <c r="B302" s="51" t="s">
        <v>3392</v>
      </c>
      <c r="C302" s="51" t="s">
        <v>3393</v>
      </c>
      <c r="D302" s="51" t="s">
        <v>1544</v>
      </c>
      <c r="E302" s="51" t="s">
        <v>338</v>
      </c>
      <c r="F302" s="51">
        <v>6</v>
      </c>
      <c r="G302" s="51" t="s">
        <v>35</v>
      </c>
      <c r="H302" s="51">
        <v>6.75</v>
      </c>
      <c r="I302" s="51">
        <f t="shared" si="92"/>
        <v>40.5</v>
      </c>
      <c r="J302" s="51">
        <f t="shared" si="93"/>
        <v>239</v>
      </c>
      <c r="K302" s="51">
        <f t="shared" si="96"/>
        <v>14</v>
      </c>
      <c r="L302" s="51">
        <f t="shared" si="94"/>
        <v>1010.75</v>
      </c>
      <c r="M302" s="51">
        <f t="shared" si="95"/>
        <v>59</v>
      </c>
      <c r="N302" s="53" t="b">
        <f t="shared" si="97"/>
        <v>0</v>
      </c>
      <c r="O302" s="53" t="b">
        <f t="shared" si="98"/>
        <v>1</v>
      </c>
      <c r="P302" s="53" t="str">
        <f t="shared" si="99"/>
        <v>cans6</v>
      </c>
      <c r="Q302" s="68" t="str">
        <f t="shared" si="100"/>
        <v>239
C009025</v>
      </c>
      <c r="R302" s="53" t="b">
        <f t="shared" si="101"/>
        <v>0</v>
      </c>
      <c r="S302" s="53"/>
      <c r="T302" s="53" t="str">
        <f t="shared" si="102"/>
        <v>CANS</v>
      </c>
      <c r="U302" s="53" t="str">
        <f t="shared" si="103"/>
        <v>cans</v>
      </c>
      <c r="V302" s="53">
        <f t="shared" si="104"/>
        <v>1</v>
      </c>
      <c r="W302" s="53" t="str">
        <f t="shared" si="105"/>
        <v>cans 6</v>
      </c>
      <c r="X302" s="53" t="str">
        <f t="shared" si="106"/>
        <v>1818.75</v>
      </c>
      <c r="Y302" s="53" t="str">
        <f t="shared" si="107"/>
        <v xml:space="preserve">239
</v>
      </c>
      <c r="Z302" s="53" t="str">
        <f t="shared" si="108"/>
        <v>9025</v>
      </c>
      <c r="AA302" s="53">
        <f t="shared" si="109"/>
        <v>5</v>
      </c>
      <c r="AB302" s="53">
        <f t="shared" si="110"/>
        <v>0</v>
      </c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</row>
    <row r="303" spans="1:41" ht="30" x14ac:dyDescent="0.25">
      <c r="A303" s="51" t="s">
        <v>359</v>
      </c>
      <c r="B303" s="51" t="s">
        <v>3394</v>
      </c>
      <c r="C303" s="51" t="s">
        <v>3395</v>
      </c>
      <c r="D303" s="51" t="s">
        <v>1563</v>
      </c>
      <c r="E303" s="51" t="s">
        <v>438</v>
      </c>
      <c r="F303" s="51">
        <v>3</v>
      </c>
      <c r="G303" s="51" t="s">
        <v>35</v>
      </c>
      <c r="H303" s="51">
        <v>6.75</v>
      </c>
      <c r="I303" s="51">
        <f t="shared" si="92"/>
        <v>20.25</v>
      </c>
      <c r="J303" s="51">
        <f t="shared" si="93"/>
        <v>283.5</v>
      </c>
      <c r="K303" s="51">
        <f t="shared" si="96"/>
        <v>18</v>
      </c>
      <c r="L303" s="51">
        <f t="shared" si="94"/>
        <v>1010.75</v>
      </c>
      <c r="M303" s="51">
        <f t="shared" si="95"/>
        <v>59</v>
      </c>
      <c r="N303" s="53" t="b">
        <f t="shared" si="97"/>
        <v>0</v>
      </c>
      <c r="O303" s="53" t="b">
        <f t="shared" si="98"/>
        <v>1</v>
      </c>
      <c r="P303" s="53" t="str">
        <f t="shared" si="99"/>
        <v>cans3</v>
      </c>
      <c r="Q303" s="68" t="str">
        <f t="shared" si="100"/>
        <v>283.5
C000185</v>
      </c>
      <c r="R303" s="53" t="b">
        <f t="shared" si="101"/>
        <v>0</v>
      </c>
      <c r="S303" s="53"/>
      <c r="T303" s="53" t="str">
        <f t="shared" si="102"/>
        <v>CANS</v>
      </c>
      <c r="U303" s="53" t="str">
        <f t="shared" si="103"/>
        <v>cans</v>
      </c>
      <c r="V303" s="53">
        <f t="shared" si="104"/>
        <v>1</v>
      </c>
      <c r="W303" s="53" t="str">
        <f t="shared" si="105"/>
        <v>cans 3</v>
      </c>
      <c r="X303" s="53" t="str">
        <f t="shared" si="106"/>
        <v>1818.75</v>
      </c>
      <c r="Y303" s="53" t="str">
        <f t="shared" si="107"/>
        <v>283.</v>
      </c>
      <c r="Z303" s="53" t="str">
        <f t="shared" si="108"/>
        <v>0185</v>
      </c>
      <c r="AA303" s="53">
        <f t="shared" si="109"/>
        <v>7</v>
      </c>
      <c r="AB303" s="53">
        <f t="shared" si="110"/>
        <v>10</v>
      </c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</row>
    <row r="304" spans="1:41" ht="30" x14ac:dyDescent="0.25">
      <c r="A304" s="51" t="s">
        <v>20</v>
      </c>
      <c r="B304" s="51" t="s">
        <v>3396</v>
      </c>
      <c r="C304" s="51" t="s">
        <v>3397</v>
      </c>
      <c r="D304" s="51" t="s">
        <v>1477</v>
      </c>
      <c r="E304" s="51" t="s">
        <v>801</v>
      </c>
      <c r="F304" s="51">
        <v>2</v>
      </c>
      <c r="G304" s="51" t="s">
        <v>13</v>
      </c>
      <c r="H304" s="51">
        <v>15</v>
      </c>
      <c r="I304" s="51">
        <f t="shared" si="92"/>
        <v>30</v>
      </c>
      <c r="J304" s="51">
        <f t="shared" si="93"/>
        <v>267.5</v>
      </c>
      <c r="K304" s="51">
        <f t="shared" si="96"/>
        <v>16</v>
      </c>
      <c r="L304" s="51">
        <f t="shared" si="94"/>
        <v>2079.5</v>
      </c>
      <c r="M304" s="51">
        <f t="shared" si="95"/>
        <v>107</v>
      </c>
      <c r="N304" s="53" t="b">
        <f t="shared" si="97"/>
        <v>0</v>
      </c>
      <c r="O304" s="53" t="b">
        <f t="shared" si="98"/>
        <v>1</v>
      </c>
      <c r="P304" s="53" t="str">
        <f t="shared" si="99"/>
        <v>ct2</v>
      </c>
      <c r="Q304" s="68" t="str">
        <f t="shared" si="100"/>
        <v>267.5
C007451</v>
      </c>
      <c r="R304" s="53" t="b">
        <f t="shared" si="101"/>
        <v>0</v>
      </c>
      <c r="S304" s="53"/>
      <c r="T304" s="53" t="str">
        <f t="shared" si="102"/>
        <v>CT</v>
      </c>
      <c r="U304" s="53" t="str">
        <f t="shared" si="103"/>
        <v>ct</v>
      </c>
      <c r="V304" s="53">
        <f t="shared" si="104"/>
        <v>1</v>
      </c>
      <c r="W304" s="53" t="str">
        <f t="shared" si="105"/>
        <v>ct 2</v>
      </c>
      <c r="X304" s="53" t="str">
        <f t="shared" si="106"/>
        <v>2879.5</v>
      </c>
      <c r="Y304" s="53" t="str">
        <f t="shared" si="107"/>
        <v>267.</v>
      </c>
      <c r="Z304" s="53" t="str">
        <f t="shared" si="108"/>
        <v>7451</v>
      </c>
      <c r="AA304" s="53">
        <f t="shared" si="109"/>
        <v>7</v>
      </c>
      <c r="AB304" s="53">
        <f t="shared" si="110"/>
        <v>2</v>
      </c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</row>
    <row r="305" spans="1:41" ht="30" x14ac:dyDescent="0.25">
      <c r="A305" s="53"/>
      <c r="B305" s="53"/>
      <c r="C305" s="53"/>
      <c r="D305" s="53"/>
      <c r="E305" s="53"/>
      <c r="F305" s="53"/>
      <c r="G305" s="53"/>
      <c r="H305" s="69" t="s">
        <v>2234</v>
      </c>
      <c r="I305" s="70">
        <f>SUM(I3:I304)</f>
        <v>33471.75</v>
      </c>
      <c r="J305" s="53"/>
      <c r="K305" s="53"/>
      <c r="L305" s="53"/>
      <c r="M305" s="53"/>
      <c r="N305" s="53"/>
      <c r="O305" s="53"/>
      <c r="P305" s="53" t="str">
        <f t="shared" si="99"/>
        <v/>
      </c>
      <c r="Q305" s="68" t="str">
        <f t="shared" si="100"/>
        <v xml:space="preserve">
</v>
      </c>
      <c r="R305" s="53"/>
      <c r="S305" s="53"/>
      <c r="T305" s="53" t="str">
        <f t="shared" si="102"/>
        <v/>
      </c>
      <c r="U305" s="53" t="str">
        <f t="shared" si="103"/>
        <v/>
      </c>
      <c r="V305" s="53"/>
      <c r="W305" s="53" t="str">
        <f t="shared" si="105"/>
        <v xml:space="preserve"> </v>
      </c>
      <c r="X305" s="53" t="str">
        <f t="shared" si="106"/>
        <v/>
      </c>
      <c r="Y305" s="53" t="str">
        <f t="shared" si="107"/>
        <v xml:space="preserve">
</v>
      </c>
      <c r="Z305" s="53" t="str">
        <f t="shared" si="108"/>
        <v xml:space="preserve">
</v>
      </c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</row>
    <row r="306" spans="1:41" ht="30" x14ac:dyDescent="0.25">
      <c r="A306" s="53"/>
      <c r="B306" s="53"/>
      <c r="C306" s="53"/>
      <c r="D306" s="53"/>
      <c r="E306" s="53"/>
      <c r="F306" s="53"/>
      <c r="G306" s="53"/>
      <c r="H306" s="59" t="s">
        <v>2235</v>
      </c>
      <c r="I306" s="51">
        <f>AVERAGE(I3:I304)</f>
        <v>110.83360927152317</v>
      </c>
      <c r="J306" s="53"/>
      <c r="K306" s="53"/>
      <c r="L306" s="53"/>
      <c r="M306" s="53"/>
      <c r="N306" s="53"/>
      <c r="O306" s="53"/>
      <c r="P306" s="53" t="str">
        <f t="shared" si="99"/>
        <v/>
      </c>
      <c r="Q306" s="68" t="str">
        <f t="shared" si="100"/>
        <v xml:space="preserve">
</v>
      </c>
      <c r="R306" s="53"/>
      <c r="S306" s="53"/>
      <c r="T306" s="53" t="str">
        <f t="shared" si="102"/>
        <v/>
      </c>
      <c r="U306" s="53" t="str">
        <f t="shared" si="103"/>
        <v/>
      </c>
      <c r="V306" s="53"/>
      <c r="W306" s="53" t="str">
        <f t="shared" si="105"/>
        <v xml:space="preserve"> </v>
      </c>
      <c r="X306" s="53" t="str">
        <f t="shared" si="106"/>
        <v/>
      </c>
      <c r="Y306" s="53" t="str">
        <f t="shared" si="107"/>
        <v xml:space="preserve">
</v>
      </c>
      <c r="Z306" s="53" t="str">
        <f t="shared" si="108"/>
        <v xml:space="preserve">
</v>
      </c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</row>
    <row r="307" spans="1:41" x14ac:dyDescent="0.25">
      <c r="A307" s="53"/>
      <c r="B307" s="53"/>
      <c r="C307" s="53"/>
      <c r="D307" s="53"/>
      <c r="E307" s="53"/>
      <c r="F307" s="53"/>
      <c r="G307" s="53"/>
      <c r="H307" s="59" t="s">
        <v>2236</v>
      </c>
      <c r="I307" s="51">
        <f>COUNT(I3:I304)</f>
        <v>302</v>
      </c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</row>
    <row r="308" spans="1:41" x14ac:dyDescent="0.2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</row>
    <row r="309" spans="1:41" ht="18.75" x14ac:dyDescent="0.25">
      <c r="A309" s="71" t="s">
        <v>0</v>
      </c>
      <c r="B309" s="71" t="s">
        <v>1</v>
      </c>
      <c r="C309" s="71" t="s">
        <v>2</v>
      </c>
      <c r="D309" s="71" t="s">
        <v>3</v>
      </c>
      <c r="E309" s="71" t="s">
        <v>4</v>
      </c>
      <c r="F309" s="71" t="s">
        <v>5</v>
      </c>
      <c r="G309" s="71" t="s">
        <v>6</v>
      </c>
      <c r="H309" s="71" t="s">
        <v>7</v>
      </c>
      <c r="I309" s="71" t="s">
        <v>1650</v>
      </c>
      <c r="J309" s="53"/>
      <c r="K309" s="72" t="s">
        <v>3590</v>
      </c>
      <c r="L309" s="53"/>
      <c r="M309" s="71" t="s">
        <v>0</v>
      </c>
      <c r="N309" s="71" t="s">
        <v>1</v>
      </c>
      <c r="O309" s="71" t="s">
        <v>2</v>
      </c>
      <c r="P309" s="71" t="s">
        <v>3</v>
      </c>
      <c r="Q309" s="71" t="s">
        <v>4</v>
      </c>
      <c r="R309" s="71" t="s">
        <v>5</v>
      </c>
      <c r="S309" s="43" t="s">
        <v>6</v>
      </c>
      <c r="T309" s="43" t="s">
        <v>7</v>
      </c>
      <c r="U309" s="43" t="s">
        <v>1650</v>
      </c>
    </row>
    <row r="310" spans="1:41" x14ac:dyDescent="0.25">
      <c r="A310" s="51" t="s">
        <v>459</v>
      </c>
      <c r="B310" s="51" t="s">
        <v>225</v>
      </c>
      <c r="C310" s="51" t="s">
        <v>2742</v>
      </c>
      <c r="D310" s="51" t="s">
        <v>1646</v>
      </c>
      <c r="E310" s="51" t="s">
        <v>2743</v>
      </c>
      <c r="F310" s="51">
        <v>6</v>
      </c>
      <c r="G310" s="51" t="s">
        <v>13</v>
      </c>
      <c r="H310" s="51">
        <v>19</v>
      </c>
      <c r="I310" s="51">
        <v>114</v>
      </c>
      <c r="J310" s="53"/>
      <c r="K310" s="53"/>
      <c r="L310" s="53"/>
      <c r="M310" s="73" t="s">
        <v>459</v>
      </c>
      <c r="N310" s="73" t="str" cm="1">
        <f t="array" ref="N310:U310">_xlfn.XLOOKUP(M310,A310:A325,B310:I325,2,0)</f>
        <v>C004785</v>
      </c>
      <c r="O310" s="73" t="str">
        <v>T057760</v>
      </c>
      <c r="P310" s="73" t="str">
        <v>I00176</v>
      </c>
      <c r="Q310" s="73" t="str">
        <v>S00370</v>
      </c>
      <c r="R310" s="73">
        <v>6</v>
      </c>
      <c r="S310" s="67" t="str">
        <v>ct</v>
      </c>
      <c r="T310" s="67">
        <v>19</v>
      </c>
      <c r="U310" s="67">
        <v>114</v>
      </c>
    </row>
    <row r="311" spans="1:41" x14ac:dyDescent="0.25">
      <c r="A311" s="51" t="s">
        <v>459</v>
      </c>
      <c r="B311" s="51" t="s">
        <v>2771</v>
      </c>
      <c r="C311" s="51" t="s">
        <v>2772</v>
      </c>
      <c r="D311" s="51" t="s">
        <v>374</v>
      </c>
      <c r="E311" s="51" t="s">
        <v>1955</v>
      </c>
      <c r="F311" s="51">
        <v>1</v>
      </c>
      <c r="G311" s="51" t="s">
        <v>60</v>
      </c>
      <c r="H311" s="51">
        <v>20</v>
      </c>
      <c r="I311" s="51">
        <v>20</v>
      </c>
      <c r="J311" s="53"/>
      <c r="K311" s="53"/>
      <c r="L311" s="53"/>
      <c r="M311" s="53"/>
      <c r="N311" s="53"/>
      <c r="O311" s="53"/>
      <c r="P311" s="53"/>
      <c r="Q311" s="53"/>
      <c r="R311" s="53"/>
    </row>
    <row r="312" spans="1:41" x14ac:dyDescent="0.25">
      <c r="A312" s="51" t="s">
        <v>82</v>
      </c>
      <c r="B312" s="51" t="s">
        <v>2773</v>
      </c>
      <c r="C312" s="51" t="s">
        <v>2774</v>
      </c>
      <c r="D312" s="51" t="s">
        <v>1167</v>
      </c>
      <c r="E312" s="51" t="s">
        <v>1106</v>
      </c>
      <c r="F312" s="51">
        <v>3</v>
      </c>
      <c r="G312" s="51" t="s">
        <v>35</v>
      </c>
      <c r="H312" s="51">
        <v>6.75</v>
      </c>
      <c r="I312" s="51">
        <v>20.25</v>
      </c>
      <c r="J312" s="53"/>
      <c r="K312" s="53"/>
      <c r="L312" s="53"/>
      <c r="M312" s="53"/>
      <c r="N312" s="53"/>
      <c r="O312" s="53"/>
      <c r="P312" s="53"/>
      <c r="Q312" s="53"/>
      <c r="R312" s="53"/>
    </row>
    <row r="313" spans="1:41" ht="18.75" x14ac:dyDescent="0.25">
      <c r="A313" s="51" t="s">
        <v>125</v>
      </c>
      <c r="B313" s="51" t="s">
        <v>2784</v>
      </c>
      <c r="C313" s="51" t="s">
        <v>2785</v>
      </c>
      <c r="D313" s="51" t="s">
        <v>930</v>
      </c>
      <c r="E313" s="51" t="s">
        <v>2786</v>
      </c>
      <c r="F313" s="51">
        <v>4</v>
      </c>
      <c r="G313" s="51" t="s">
        <v>60</v>
      </c>
      <c r="H313" s="51">
        <v>8</v>
      </c>
      <c r="I313" s="51">
        <v>32</v>
      </c>
      <c r="J313" s="53"/>
      <c r="K313" s="74" t="s">
        <v>3591</v>
      </c>
      <c r="L313" s="53"/>
      <c r="M313" s="71" t="s">
        <v>0</v>
      </c>
      <c r="N313" s="71" t="s">
        <v>1</v>
      </c>
      <c r="O313" s="71" t="s">
        <v>2</v>
      </c>
      <c r="P313" s="71" t="s">
        <v>3</v>
      </c>
      <c r="Q313" s="71" t="s">
        <v>4</v>
      </c>
      <c r="R313" s="71" t="s">
        <v>5</v>
      </c>
      <c r="S313" s="43" t="s">
        <v>6</v>
      </c>
      <c r="T313" s="43" t="s">
        <v>7</v>
      </c>
      <c r="U313" s="43" t="s">
        <v>1650</v>
      </c>
    </row>
    <row r="314" spans="1:41" x14ac:dyDescent="0.25">
      <c r="A314" s="51" t="s">
        <v>218</v>
      </c>
      <c r="B314" s="51" t="s">
        <v>2787</v>
      </c>
      <c r="C314" s="51" t="s">
        <v>2788</v>
      </c>
      <c r="D314" s="51" t="s">
        <v>165</v>
      </c>
      <c r="E314" s="51" t="s">
        <v>2789</v>
      </c>
      <c r="F314" s="51">
        <v>3</v>
      </c>
      <c r="G314" s="51" t="s">
        <v>167</v>
      </c>
      <c r="H314" s="51">
        <v>15</v>
      </c>
      <c r="I314" s="51">
        <v>45</v>
      </c>
      <c r="J314" s="53"/>
      <c r="K314" s="53"/>
      <c r="L314" s="53"/>
      <c r="M314" s="73" t="s">
        <v>224</v>
      </c>
      <c r="N314" s="73" t="str">
        <f>VLOOKUP(M314,A309:I325,2,FALSE)</f>
        <v>C005015</v>
      </c>
      <c r="O314" s="73" t="str">
        <f t="shared" ref="O314:U314" si="111">VLOOKUP(N314,B309:J325,2,TRUE)</f>
        <v>T098787</v>
      </c>
      <c r="P314" s="73" t="str">
        <f t="shared" si="111"/>
        <v>I00195</v>
      </c>
      <c r="Q314" s="73" t="str">
        <f t="shared" si="111"/>
        <v>S00122</v>
      </c>
      <c r="R314" s="73">
        <f t="shared" si="111"/>
        <v>1</v>
      </c>
      <c r="S314" s="67" t="str">
        <f t="shared" si="111"/>
        <v>ct</v>
      </c>
      <c r="T314" s="67">
        <f t="shared" si="111"/>
        <v>12.5</v>
      </c>
      <c r="U314" s="67">
        <f t="shared" si="111"/>
        <v>12.5</v>
      </c>
    </row>
    <row r="315" spans="1:41" x14ac:dyDescent="0.25">
      <c r="A315" s="51" t="s">
        <v>519</v>
      </c>
      <c r="B315" s="51" t="s">
        <v>2790</v>
      </c>
      <c r="C315" s="51" t="s">
        <v>2791</v>
      </c>
      <c r="D315" s="51" t="s">
        <v>203</v>
      </c>
      <c r="E315" s="51" t="s">
        <v>1071</v>
      </c>
      <c r="F315" s="51">
        <v>10</v>
      </c>
      <c r="G315" s="51" t="s">
        <v>35</v>
      </c>
      <c r="H315" s="51">
        <v>6.75</v>
      </c>
      <c r="I315" s="51">
        <v>67.5</v>
      </c>
      <c r="J315" s="53"/>
      <c r="K315" s="53"/>
      <c r="L315" s="53"/>
      <c r="M315" s="53"/>
      <c r="N315" s="53"/>
      <c r="O315" s="53"/>
      <c r="P315" s="53"/>
      <c r="Q315" s="53"/>
      <c r="R315" s="53"/>
    </row>
    <row r="316" spans="1:41" ht="18.75" x14ac:dyDescent="0.25">
      <c r="A316" s="51" t="s">
        <v>146</v>
      </c>
      <c r="B316" s="51" t="s">
        <v>2792</v>
      </c>
      <c r="C316" s="51" t="s">
        <v>2793</v>
      </c>
      <c r="D316" s="51" t="s">
        <v>1706</v>
      </c>
      <c r="E316" s="51" t="s">
        <v>2794</v>
      </c>
      <c r="F316" s="51">
        <v>6</v>
      </c>
      <c r="G316" s="51" t="s">
        <v>35</v>
      </c>
      <c r="H316" s="51">
        <v>16</v>
      </c>
      <c r="I316" s="51">
        <v>96</v>
      </c>
      <c r="J316" s="53"/>
      <c r="K316" s="74" t="s">
        <v>3592</v>
      </c>
      <c r="L316" s="53"/>
      <c r="M316" s="71" t="s">
        <v>0</v>
      </c>
      <c r="N316" s="71" t="s">
        <v>1</v>
      </c>
      <c r="O316" s="71" t="s">
        <v>2</v>
      </c>
      <c r="P316" s="71" t="s">
        <v>3</v>
      </c>
      <c r="Q316" s="71" t="s">
        <v>4</v>
      </c>
      <c r="R316" s="71" t="s">
        <v>5</v>
      </c>
      <c r="S316" s="43" t="s">
        <v>6</v>
      </c>
      <c r="T316" s="43" t="s">
        <v>7</v>
      </c>
      <c r="U316" s="43" t="s">
        <v>1650</v>
      </c>
    </row>
    <row r="317" spans="1:41" x14ac:dyDescent="0.25">
      <c r="A317" s="51" t="s">
        <v>224</v>
      </c>
      <c r="B317" s="51" t="s">
        <v>2795</v>
      </c>
      <c r="C317" s="51" t="s">
        <v>2796</v>
      </c>
      <c r="D317" s="51" t="s">
        <v>23</v>
      </c>
      <c r="E317" s="51" t="s">
        <v>1075</v>
      </c>
      <c r="F317" s="51">
        <v>1</v>
      </c>
      <c r="G317" s="51" t="s">
        <v>13</v>
      </c>
      <c r="H317" s="51">
        <v>12.5</v>
      </c>
      <c r="I317" s="51">
        <v>12.5</v>
      </c>
      <c r="J317" s="53"/>
      <c r="K317" s="53"/>
      <c r="L317" s="53"/>
      <c r="M317" s="73" t="str">
        <f>HLOOKUP(M316,A309:I325,10,FALSE)</f>
        <v>P022</v>
      </c>
      <c r="N317" s="73" t="str">
        <f t="shared" ref="N317:U317" si="112">HLOOKUP(N316,B309:J325,10,FALSE)</f>
        <v>C009148</v>
      </c>
      <c r="O317" s="73" t="str">
        <f t="shared" si="112"/>
        <v>T070745</v>
      </c>
      <c r="P317" s="73" t="str">
        <f t="shared" si="112"/>
        <v>I00056</v>
      </c>
      <c r="Q317" s="73" t="str">
        <f t="shared" si="112"/>
        <v>S00289</v>
      </c>
      <c r="R317" s="73">
        <f t="shared" si="112"/>
        <v>3</v>
      </c>
      <c r="S317" s="67" t="str">
        <f t="shared" si="112"/>
        <v>bottles</v>
      </c>
      <c r="T317" s="67">
        <f t="shared" si="112"/>
        <v>24</v>
      </c>
      <c r="U317" s="67">
        <f t="shared" si="112"/>
        <v>72</v>
      </c>
    </row>
    <row r="318" spans="1:41" x14ac:dyDescent="0.25">
      <c r="A318" s="51" t="s">
        <v>14</v>
      </c>
      <c r="B318" s="51" t="s">
        <v>2797</v>
      </c>
      <c r="C318" s="51" t="s">
        <v>2798</v>
      </c>
      <c r="D318" s="51" t="s">
        <v>410</v>
      </c>
      <c r="E318" s="51" t="s">
        <v>538</v>
      </c>
      <c r="F318" s="51">
        <v>3</v>
      </c>
      <c r="G318" s="51" t="s">
        <v>60</v>
      </c>
      <c r="H318" s="51">
        <v>24</v>
      </c>
      <c r="I318" s="51">
        <v>72</v>
      </c>
      <c r="J318" s="53"/>
      <c r="K318" s="53"/>
      <c r="L318" s="53"/>
      <c r="M318" s="53"/>
      <c r="N318" s="53"/>
      <c r="O318" s="53"/>
      <c r="P318" s="53"/>
      <c r="Q318" s="53"/>
      <c r="R318" s="53"/>
    </row>
    <row r="319" spans="1:41" x14ac:dyDescent="0.25">
      <c r="A319" s="51" t="s">
        <v>76</v>
      </c>
      <c r="B319" s="51" t="s">
        <v>2799</v>
      </c>
      <c r="C319" s="51" t="s">
        <v>2800</v>
      </c>
      <c r="D319" s="51" t="s">
        <v>930</v>
      </c>
      <c r="E319" s="51" t="s">
        <v>1217</v>
      </c>
      <c r="F319" s="51">
        <v>4</v>
      </c>
      <c r="G319" s="51" t="s">
        <v>60</v>
      </c>
      <c r="H319" s="51">
        <v>8</v>
      </c>
      <c r="I319" s="51">
        <v>32</v>
      </c>
      <c r="J319" s="53"/>
      <c r="K319" s="53"/>
      <c r="L319" s="53"/>
      <c r="M319" s="53"/>
      <c r="N319" s="53"/>
      <c r="O319" s="53"/>
      <c r="P319" s="53"/>
      <c r="Q319" s="53"/>
      <c r="R319" s="53"/>
    </row>
    <row r="320" spans="1:41" x14ac:dyDescent="0.25">
      <c r="A320" s="51" t="s">
        <v>240</v>
      </c>
      <c r="B320" s="51" t="s">
        <v>2801</v>
      </c>
      <c r="C320" s="51" t="s">
        <v>2802</v>
      </c>
      <c r="D320" s="51" t="s">
        <v>104</v>
      </c>
      <c r="E320" s="51" t="s">
        <v>1818</v>
      </c>
      <c r="F320" s="51">
        <v>8</v>
      </c>
      <c r="G320" s="51" t="s">
        <v>106</v>
      </c>
      <c r="H320" s="51">
        <v>15</v>
      </c>
      <c r="I320" s="51">
        <v>120</v>
      </c>
      <c r="J320" s="53"/>
      <c r="K320" s="53"/>
      <c r="L320" s="53"/>
      <c r="M320" s="53"/>
      <c r="N320" s="53"/>
      <c r="O320" s="53"/>
      <c r="P320" s="53"/>
      <c r="Q320" s="53"/>
      <c r="R320" s="53"/>
    </row>
    <row r="321" spans="1:18" x14ac:dyDescent="0.25">
      <c r="A321" s="51" t="s">
        <v>162</v>
      </c>
      <c r="B321" s="51" t="s">
        <v>2803</v>
      </c>
      <c r="C321" s="51" t="s">
        <v>2804</v>
      </c>
      <c r="D321" s="51" t="s">
        <v>895</v>
      </c>
      <c r="E321" s="51" t="s">
        <v>1237</v>
      </c>
      <c r="F321" s="51">
        <v>3</v>
      </c>
      <c r="G321" s="51" t="s">
        <v>60</v>
      </c>
      <c r="H321" s="51">
        <v>9</v>
      </c>
      <c r="I321" s="51">
        <v>27</v>
      </c>
      <c r="J321" s="53"/>
      <c r="K321" s="53"/>
      <c r="L321" s="53"/>
      <c r="M321" s="53"/>
      <c r="N321" s="53"/>
      <c r="O321" s="53"/>
      <c r="P321" s="53"/>
      <c r="Q321" s="53"/>
      <c r="R321" s="53"/>
    </row>
    <row r="322" spans="1:18" x14ac:dyDescent="0.25">
      <c r="A322" s="51" t="s">
        <v>125</v>
      </c>
      <c r="B322" s="51" t="s">
        <v>2805</v>
      </c>
      <c r="C322" s="51" t="s">
        <v>2806</v>
      </c>
      <c r="D322" s="51" t="s">
        <v>1617</v>
      </c>
      <c r="E322" s="51" t="s">
        <v>1020</v>
      </c>
      <c r="F322" s="51">
        <v>4</v>
      </c>
      <c r="G322" s="51" t="s">
        <v>13</v>
      </c>
      <c r="H322" s="51">
        <v>12</v>
      </c>
      <c r="I322" s="51">
        <v>48</v>
      </c>
      <c r="J322" s="53"/>
      <c r="K322" s="53"/>
      <c r="L322" s="53"/>
      <c r="M322" s="53"/>
      <c r="N322" s="53"/>
      <c r="O322" s="53"/>
      <c r="P322" s="53"/>
      <c r="Q322" s="53"/>
      <c r="R322" s="53"/>
    </row>
    <row r="323" spans="1:18" x14ac:dyDescent="0.25">
      <c r="A323" s="51" t="s">
        <v>55</v>
      </c>
      <c r="B323" s="51" t="s">
        <v>2807</v>
      </c>
      <c r="C323" s="51" t="s">
        <v>2808</v>
      </c>
      <c r="D323" s="51" t="s">
        <v>495</v>
      </c>
      <c r="E323" s="51" t="s">
        <v>2809</v>
      </c>
      <c r="F323" s="51">
        <v>3</v>
      </c>
      <c r="G323" s="51" t="s">
        <v>167</v>
      </c>
      <c r="H323" s="51">
        <v>16</v>
      </c>
      <c r="I323" s="51">
        <v>48</v>
      </c>
      <c r="J323" s="53"/>
      <c r="K323" s="53"/>
      <c r="L323" s="53"/>
      <c r="M323" s="53"/>
      <c r="N323" s="53"/>
      <c r="O323" s="53"/>
      <c r="P323" s="53"/>
      <c r="Q323" s="53"/>
      <c r="R323" s="53"/>
    </row>
    <row r="324" spans="1:18" x14ac:dyDescent="0.25">
      <c r="A324" s="51" t="s">
        <v>200</v>
      </c>
      <c r="B324" s="51" t="s">
        <v>2810</v>
      </c>
      <c r="C324" s="51" t="s">
        <v>2811</v>
      </c>
      <c r="D324" s="51" t="s">
        <v>567</v>
      </c>
      <c r="E324" s="51" t="s">
        <v>2321</v>
      </c>
      <c r="F324" s="51">
        <v>8</v>
      </c>
      <c r="G324" s="51" t="s">
        <v>60</v>
      </c>
      <c r="H324" s="51">
        <v>20</v>
      </c>
      <c r="I324" s="51">
        <v>160</v>
      </c>
      <c r="J324" s="53"/>
      <c r="K324" s="53"/>
      <c r="L324" s="53"/>
      <c r="M324" s="53"/>
      <c r="N324" s="53"/>
      <c r="O324" s="53"/>
      <c r="P324" s="53"/>
      <c r="Q324" s="53"/>
      <c r="R324" s="53"/>
    </row>
    <row r="325" spans="1:18" x14ac:dyDescent="0.25">
      <c r="A325" s="51" t="s">
        <v>459</v>
      </c>
      <c r="B325" s="51" t="s">
        <v>2812</v>
      </c>
      <c r="C325" s="51" t="s">
        <v>2813</v>
      </c>
      <c r="D325" s="51" t="s">
        <v>592</v>
      </c>
      <c r="E325" s="51" t="s">
        <v>1872</v>
      </c>
      <c r="F325" s="51">
        <v>6</v>
      </c>
      <c r="G325" s="51" t="s">
        <v>13</v>
      </c>
      <c r="H325" s="51">
        <v>19</v>
      </c>
      <c r="I325" s="51">
        <v>114</v>
      </c>
      <c r="J325" s="53"/>
      <c r="K325" s="53"/>
      <c r="L325" s="53"/>
      <c r="M325" s="53"/>
      <c r="N325" s="53"/>
      <c r="O325" s="53"/>
      <c r="P325" s="53"/>
      <c r="Q325" s="53"/>
      <c r="R325" s="53"/>
    </row>
  </sheetData>
  <sortState xmlns:xlrd2="http://schemas.microsoft.com/office/spreadsheetml/2017/richdata2" ref="AD3:AD42">
    <sortCondition ref="AD3:AD42"/>
  </sortState>
  <mergeCells count="2">
    <mergeCell ref="AE2:AO2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Sheet1!Criteria</vt:lpstr>
      <vt:lpstr>Sheet2!Criteria</vt:lpstr>
      <vt:lpstr>Sheet3!Criteria</vt:lpstr>
      <vt:lpstr>Sheet4!Criteria</vt:lpstr>
      <vt:lpstr>Sheet5!Criteria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Pravin-PC</dc:creator>
  <cp:lastModifiedBy>Shivani Pardhi</cp:lastModifiedBy>
  <dcterms:created xsi:type="dcterms:W3CDTF">2015-06-05T18:17:20Z</dcterms:created>
  <dcterms:modified xsi:type="dcterms:W3CDTF">2026-04-12T15:43:54Z</dcterms:modified>
</cp:coreProperties>
</file>